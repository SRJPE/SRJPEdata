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https://doimspp.sharepoint.com/sites/TributariesMonitoring/Shared Documents/RST/Update Daily/Mark-Recap/"/>
    </mc:Choice>
  </mc:AlternateContent>
  <xr:revisionPtr revIDLastSave="3824" documentId="14_{8C9298A4-4D55-45E7-8062-4558751A8BB6}" xr6:coauthVersionLast="47" xr6:coauthVersionMax="47" xr10:uidLastSave="{FACF13C1-83E4-4C4A-8106-48F207071426}"/>
  <bookViews>
    <workbookView xWindow="-28920" yWindow="-120" windowWidth="29040" windowHeight="15720" tabRatio="834" activeTab="8" xr2:uid="{00000000-000D-0000-FFFF-FFFF00000000}"/>
  </bookViews>
  <sheets>
    <sheet name="Metadata" sheetId="28" r:id="rId1"/>
    <sheet name="Issues" sheetId="13" r:id="rId2"/>
    <sheet name="UBC CHN 25-26 (COMBINED)" sheetId="34" r:id="rId3"/>
    <sheet name="UBC CHN 25-26" sheetId="18" state="hidden" r:id="rId4"/>
    <sheet name="UBC CHN 25-26 PG (2)" sheetId="31" state="hidden" r:id="rId5"/>
    <sheet name="UBC CHN 25-26 PG (3)" sheetId="33" state="hidden" r:id="rId6"/>
    <sheet name="UBC WCS 25-26" sheetId="29" r:id="rId7"/>
    <sheet name="UBC RBT 25-26" sheetId="21" r:id="rId8"/>
    <sheet name="UBC Tables &amp; Figures " sheetId="26"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3" i="26" l="1"/>
  <c r="X14" i="26"/>
  <c r="X15" i="26"/>
  <c r="X16" i="26"/>
  <c r="X17" i="26"/>
  <c r="X18" i="26"/>
  <c r="X19" i="26"/>
  <c r="X20" i="26"/>
  <c r="X21" i="26"/>
  <c r="X22" i="26"/>
  <c r="X23" i="26"/>
  <c r="X24" i="26"/>
  <c r="X25" i="26"/>
  <c r="X26" i="26"/>
  <c r="X27" i="26"/>
  <c r="X28" i="26"/>
  <c r="X29" i="26"/>
  <c r="X30" i="26"/>
  <c r="X31" i="26"/>
  <c r="X32" i="26"/>
  <c r="X33" i="26"/>
  <c r="X34" i="26"/>
  <c r="X35" i="26"/>
  <c r="X36" i="26"/>
  <c r="X37" i="26"/>
  <c r="X38" i="26"/>
  <c r="X39" i="26"/>
  <c r="X40" i="26"/>
  <c r="X41" i="26"/>
  <c r="X42" i="26"/>
  <c r="X43" i="26"/>
  <c r="X44" i="26"/>
  <c r="X45" i="26"/>
  <c r="X46" i="26"/>
  <c r="X47" i="26"/>
  <c r="X48" i="26"/>
  <c r="X49" i="26"/>
  <c r="X50" i="26"/>
  <c r="X51" i="26"/>
  <c r="X52" i="26"/>
  <c r="X53" i="26"/>
  <c r="X3" i="26"/>
  <c r="X4" i="26"/>
  <c r="X5" i="26"/>
  <c r="X6" i="26"/>
  <c r="X7" i="26"/>
  <c r="X8" i="26"/>
  <c r="X9" i="26"/>
  <c r="X10" i="26"/>
  <c r="X11" i="26"/>
  <c r="X12" i="26"/>
  <c r="X2" i="26"/>
  <c r="I61"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5" i="26"/>
  <c r="J29" i="29" l="1"/>
  <c r="I29" i="29"/>
  <c r="H70" i="34"/>
  <c r="I63" i="34"/>
  <c r="H63" i="34"/>
  <c r="E63" i="34"/>
  <c r="W61" i="34"/>
  <c r="W60" i="34"/>
  <c r="W59" i="34"/>
  <c r="W58" i="34"/>
  <c r="W57" i="34"/>
  <c r="W56" i="34"/>
  <c r="W55" i="34"/>
  <c r="W54" i="34"/>
  <c r="W53" i="34"/>
  <c r="W52" i="34"/>
  <c r="W51" i="34"/>
  <c r="W50" i="34"/>
  <c r="W49" i="34"/>
  <c r="W48" i="34"/>
  <c r="W47" i="34"/>
  <c r="W46" i="34"/>
  <c r="W43" i="34"/>
  <c r="W62" i="34"/>
  <c r="W42" i="34"/>
  <c r="W40" i="34"/>
  <c r="W39" i="34"/>
  <c r="W38" i="34"/>
  <c r="W37" i="34"/>
  <c r="W36" i="34"/>
  <c r="W35" i="34"/>
  <c r="W34" i="34"/>
  <c r="W33" i="34"/>
  <c r="W32" i="34"/>
  <c r="W31" i="34"/>
  <c r="W30" i="34"/>
  <c r="W29" i="34"/>
  <c r="W28" i="34"/>
  <c r="W27" i="34"/>
  <c r="W26" i="34"/>
  <c r="W25" i="34"/>
  <c r="W24" i="34"/>
  <c r="W23" i="34"/>
  <c r="V62" i="34"/>
  <c r="V61" i="34"/>
  <c r="V60" i="34"/>
  <c r="V59" i="34"/>
  <c r="V58" i="34"/>
  <c r="V57" i="34"/>
  <c r="V56" i="34"/>
  <c r="V55" i="34"/>
  <c r="V54" i="34"/>
  <c r="V53" i="34"/>
  <c r="V52" i="34"/>
  <c r="V51" i="34"/>
  <c r="V50" i="34"/>
  <c r="V49" i="34"/>
  <c r="V48" i="34"/>
  <c r="V47" i="34"/>
  <c r="V46" i="34"/>
  <c r="V43" i="34"/>
  <c r="V42" i="34"/>
  <c r="V40" i="34"/>
  <c r="V39" i="34"/>
  <c r="V38" i="34"/>
  <c r="V37" i="34"/>
  <c r="V36" i="34"/>
  <c r="V35" i="34"/>
  <c r="V34" i="34"/>
  <c r="V33" i="34"/>
  <c r="V32" i="34"/>
  <c r="V31" i="34"/>
  <c r="V30" i="34"/>
  <c r="V29" i="34"/>
  <c r="V28" i="34"/>
  <c r="V27" i="34"/>
  <c r="V26" i="34"/>
  <c r="V25" i="34"/>
  <c r="V24" i="34"/>
  <c r="V23" i="34"/>
  <c r="T62" i="34"/>
  <c r="T61" i="34"/>
  <c r="T60" i="34"/>
  <c r="T59" i="34"/>
  <c r="T58" i="34"/>
  <c r="T57" i="34"/>
  <c r="T56" i="34"/>
  <c r="T55" i="34"/>
  <c r="T54" i="34"/>
  <c r="T53" i="34"/>
  <c r="T52" i="34"/>
  <c r="T51" i="34"/>
  <c r="T50" i="34"/>
  <c r="T49" i="34"/>
  <c r="T48" i="34"/>
  <c r="T47" i="34"/>
  <c r="T46" i="34"/>
  <c r="T43" i="34"/>
  <c r="T42" i="34"/>
  <c r="T40" i="34"/>
  <c r="T39" i="34"/>
  <c r="T38" i="34"/>
  <c r="T37" i="34"/>
  <c r="T36" i="34"/>
  <c r="T35" i="34"/>
  <c r="T34" i="34"/>
  <c r="T33" i="34"/>
  <c r="T32" i="34"/>
  <c r="T31" i="34"/>
  <c r="T30" i="34"/>
  <c r="T29" i="34"/>
  <c r="T28" i="34"/>
  <c r="T27" i="34"/>
  <c r="T26" i="34"/>
  <c r="T25" i="34"/>
  <c r="T24" i="34"/>
  <c r="T23" i="34"/>
  <c r="T22" i="34"/>
  <c r="T21" i="34"/>
  <c r="T20" i="34"/>
  <c r="T19" i="34"/>
  <c r="T18" i="34"/>
  <c r="T17" i="34"/>
  <c r="T16" i="34"/>
  <c r="T15" i="34"/>
  <c r="T14" i="34"/>
  <c r="T13" i="34"/>
  <c r="T12" i="34"/>
  <c r="T11" i="34"/>
  <c r="T10" i="34"/>
  <c r="T9" i="34"/>
  <c r="T8" i="34"/>
  <c r="T7" i="34"/>
  <c r="T6" i="34"/>
  <c r="T5" i="34"/>
  <c r="T4" i="34"/>
  <c r="T3" i="34"/>
  <c r="R62" i="34"/>
  <c r="R61" i="34"/>
  <c r="R60" i="34"/>
  <c r="R59" i="34"/>
  <c r="R58" i="34"/>
  <c r="R57" i="34"/>
  <c r="R56" i="34"/>
  <c r="R55" i="34"/>
  <c r="R54" i="34"/>
  <c r="R53" i="34"/>
  <c r="R52" i="34"/>
  <c r="R51" i="34"/>
  <c r="R50" i="34"/>
  <c r="R49" i="34"/>
  <c r="R48" i="34"/>
  <c r="R47" i="34"/>
  <c r="R46" i="34"/>
  <c r="R43" i="34"/>
  <c r="R42" i="34"/>
  <c r="R40" i="34"/>
  <c r="R39" i="34"/>
  <c r="R38" i="34"/>
  <c r="R37" i="34"/>
  <c r="R36" i="34"/>
  <c r="R35" i="34"/>
  <c r="R34" i="34"/>
  <c r="R33" i="34"/>
  <c r="R32" i="34"/>
  <c r="R31" i="34"/>
  <c r="R30" i="34"/>
  <c r="R29" i="34"/>
  <c r="R28" i="34"/>
  <c r="R27" i="34"/>
  <c r="R26" i="34"/>
  <c r="R25" i="34"/>
  <c r="R24" i="34"/>
  <c r="R23" i="34"/>
  <c r="R22" i="34"/>
  <c r="R21" i="34"/>
  <c r="R20" i="34"/>
  <c r="R19" i="34"/>
  <c r="R18" i="34"/>
  <c r="R17" i="34"/>
  <c r="R16" i="34"/>
  <c r="R15" i="34"/>
  <c r="R14" i="34"/>
  <c r="R13" i="34"/>
  <c r="R12" i="34"/>
  <c r="R11" i="34"/>
  <c r="R10" i="34"/>
  <c r="R9" i="34"/>
  <c r="R8" i="34"/>
  <c r="R7" i="34"/>
  <c r="R6" i="34"/>
  <c r="R5" i="34"/>
  <c r="R4" i="34"/>
  <c r="R3" i="34"/>
  <c r="P62" i="34"/>
  <c r="P61" i="34"/>
  <c r="P60" i="34"/>
  <c r="P59" i="34"/>
  <c r="P58" i="34"/>
  <c r="P57" i="34"/>
  <c r="P56" i="34"/>
  <c r="P55" i="34"/>
  <c r="P54" i="34"/>
  <c r="P53" i="34"/>
  <c r="P52" i="34"/>
  <c r="P51" i="34"/>
  <c r="P50" i="34"/>
  <c r="P49" i="34"/>
  <c r="P48" i="34"/>
  <c r="P47" i="34"/>
  <c r="P46" i="34"/>
  <c r="P43" i="34"/>
  <c r="P42" i="34"/>
  <c r="P40" i="34"/>
  <c r="P39" i="34"/>
  <c r="P38" i="34"/>
  <c r="P37" i="34"/>
  <c r="P36" i="34"/>
  <c r="P35" i="34"/>
  <c r="P34" i="34"/>
  <c r="P33" i="34"/>
  <c r="P32" i="34"/>
  <c r="P31" i="34"/>
  <c r="P30" i="34"/>
  <c r="P29" i="34"/>
  <c r="P28" i="34"/>
  <c r="P27" i="34"/>
  <c r="P26" i="34"/>
  <c r="P25" i="34"/>
  <c r="P24" i="34"/>
  <c r="P23" i="34"/>
  <c r="N62" i="34"/>
  <c r="N61" i="34"/>
  <c r="N60" i="34"/>
  <c r="N59" i="34"/>
  <c r="N58" i="34"/>
  <c r="N57" i="34"/>
  <c r="N56" i="34"/>
  <c r="N55" i="34"/>
  <c r="N54" i="34"/>
  <c r="N53" i="34"/>
  <c r="N52" i="34"/>
  <c r="N51" i="34"/>
  <c r="N50" i="34"/>
  <c r="N49" i="34"/>
  <c r="N48" i="34"/>
  <c r="N47" i="34"/>
  <c r="N46" i="34"/>
  <c r="N43" i="34"/>
  <c r="N42" i="34"/>
  <c r="N41" i="34"/>
  <c r="N40" i="34"/>
  <c r="N39" i="34"/>
  <c r="N38" i="34"/>
  <c r="N37" i="34"/>
  <c r="N36" i="34"/>
  <c r="N35" i="34"/>
  <c r="N34" i="34"/>
  <c r="N33" i="34"/>
  <c r="N32" i="34"/>
  <c r="N31" i="34"/>
  <c r="N30" i="34"/>
  <c r="N29" i="34"/>
  <c r="N28" i="34"/>
  <c r="N27" i="34"/>
  <c r="N26" i="34"/>
  <c r="N25" i="34"/>
  <c r="N24" i="34"/>
  <c r="N23" i="34"/>
  <c r="L62" i="34"/>
  <c r="K62" i="34"/>
  <c r="K61" i="34"/>
  <c r="K60" i="34"/>
  <c r="K59" i="34"/>
  <c r="K58" i="34"/>
  <c r="K57" i="34"/>
  <c r="K56" i="34"/>
  <c r="K55" i="34"/>
  <c r="K54" i="34"/>
  <c r="K53" i="34"/>
  <c r="K52" i="34"/>
  <c r="K51" i="34"/>
  <c r="K50" i="34"/>
  <c r="K49" i="34"/>
  <c r="K48" i="34"/>
  <c r="K47" i="34"/>
  <c r="K46" i="34"/>
  <c r="K43" i="34"/>
  <c r="K42" i="34"/>
  <c r="K40" i="34"/>
  <c r="K39" i="34"/>
  <c r="K38" i="34"/>
  <c r="K37" i="34"/>
  <c r="K36" i="34"/>
  <c r="K35" i="34"/>
  <c r="K34" i="34"/>
  <c r="K33" i="34"/>
  <c r="K32" i="34"/>
  <c r="K31" i="34"/>
  <c r="K30" i="34"/>
  <c r="K29" i="34"/>
  <c r="K28" i="34"/>
  <c r="K27" i="34"/>
  <c r="K26" i="34"/>
  <c r="K25" i="34"/>
  <c r="K24" i="34"/>
  <c r="K23" i="34"/>
  <c r="K22" i="34"/>
  <c r="K21" i="34"/>
  <c r="K20" i="34"/>
  <c r="K19" i="34"/>
  <c r="K18" i="34"/>
  <c r="K17" i="34"/>
  <c r="K16" i="34"/>
  <c r="K15" i="34"/>
  <c r="K14" i="34"/>
  <c r="K13" i="34"/>
  <c r="K12" i="34"/>
  <c r="K11" i="34"/>
  <c r="K10" i="34"/>
  <c r="K9" i="34"/>
  <c r="K8" i="34"/>
  <c r="K7" i="34"/>
  <c r="K6" i="34"/>
  <c r="K5" i="34"/>
  <c r="K4" i="34"/>
  <c r="K3" i="34"/>
  <c r="J62" i="34"/>
  <c r="J61" i="34"/>
  <c r="J60" i="34"/>
  <c r="J59" i="34"/>
  <c r="J58" i="34"/>
  <c r="J57" i="34"/>
  <c r="J56" i="34"/>
  <c r="J55" i="34"/>
  <c r="J54" i="34"/>
  <c r="J53" i="34"/>
  <c r="J52" i="34"/>
  <c r="J51" i="34"/>
  <c r="J50" i="34"/>
  <c r="J49" i="34"/>
  <c r="J48" i="34"/>
  <c r="J47" i="34"/>
  <c r="J46" i="34"/>
  <c r="J43" i="34"/>
  <c r="J42" i="34"/>
  <c r="J41" i="34"/>
  <c r="J40" i="34"/>
  <c r="J39" i="34"/>
  <c r="J38" i="34"/>
  <c r="J37" i="34"/>
  <c r="J36" i="34"/>
  <c r="J35" i="34"/>
  <c r="J34" i="34"/>
  <c r="J33" i="34"/>
  <c r="J32" i="34"/>
  <c r="J31" i="34"/>
  <c r="J30" i="34"/>
  <c r="J29" i="34"/>
  <c r="J28" i="34"/>
  <c r="J27" i="34"/>
  <c r="J26" i="34"/>
  <c r="J25" i="34"/>
  <c r="J24" i="34"/>
  <c r="J23" i="34"/>
  <c r="J22" i="34"/>
  <c r="J21" i="34"/>
  <c r="J20" i="34"/>
  <c r="J19" i="34"/>
  <c r="J18" i="34"/>
  <c r="J17" i="34"/>
  <c r="J16" i="34"/>
  <c r="J15" i="34"/>
  <c r="J14" i="34"/>
  <c r="J13" i="34"/>
  <c r="J12" i="34"/>
  <c r="J11" i="34"/>
  <c r="J10" i="34"/>
  <c r="J9" i="34"/>
  <c r="J8" i="34"/>
  <c r="J7" i="34"/>
  <c r="J6" i="34"/>
  <c r="J5" i="34"/>
  <c r="J4" i="34"/>
  <c r="J3" i="34"/>
  <c r="I62" i="34"/>
  <c r="I61" i="34"/>
  <c r="I60" i="34"/>
  <c r="I59" i="34"/>
  <c r="I58" i="34"/>
  <c r="I57" i="34"/>
  <c r="I56" i="34"/>
  <c r="I55" i="34"/>
  <c r="I54" i="34"/>
  <c r="I53" i="34"/>
  <c r="I52" i="34"/>
  <c r="I51" i="34"/>
  <c r="I50" i="34"/>
  <c r="I49" i="34"/>
  <c r="I48" i="34"/>
  <c r="I47" i="34"/>
  <c r="I46" i="34"/>
  <c r="I45" i="34"/>
  <c r="I44" i="34"/>
  <c r="I43" i="34"/>
  <c r="I42" i="34"/>
  <c r="I41" i="34"/>
  <c r="I40" i="34"/>
  <c r="I39" i="34"/>
  <c r="I38" i="34"/>
  <c r="I37" i="34"/>
  <c r="I36" i="34"/>
  <c r="I35" i="34"/>
  <c r="I34" i="34"/>
  <c r="I33" i="34"/>
  <c r="I32" i="34"/>
  <c r="I31" i="34"/>
  <c r="I30" i="34"/>
  <c r="I29" i="34"/>
  <c r="I28" i="34"/>
  <c r="I27" i="34"/>
  <c r="I26" i="34"/>
  <c r="I25" i="34"/>
  <c r="I24" i="34"/>
  <c r="I23" i="34"/>
  <c r="I22" i="34"/>
  <c r="I21" i="34"/>
  <c r="I20" i="34"/>
  <c r="I19" i="34"/>
  <c r="I18" i="34"/>
  <c r="I17" i="34"/>
  <c r="I16" i="34"/>
  <c r="I15" i="34"/>
  <c r="I14" i="34"/>
  <c r="I13" i="34"/>
  <c r="I12" i="34"/>
  <c r="I11" i="34"/>
  <c r="I10" i="34"/>
  <c r="I9" i="34"/>
  <c r="I8" i="34"/>
  <c r="I7" i="34"/>
  <c r="I6" i="34"/>
  <c r="I5" i="34"/>
  <c r="I4" i="34"/>
  <c r="I3" i="34"/>
  <c r="H62" i="34"/>
  <c r="H61" i="34"/>
  <c r="H60" i="34"/>
  <c r="H59" i="34"/>
  <c r="H58" i="34"/>
  <c r="H57" i="34"/>
  <c r="H56" i="34"/>
  <c r="H55" i="34"/>
  <c r="H54" i="34"/>
  <c r="H53" i="34"/>
  <c r="H52" i="34"/>
  <c r="H51" i="34"/>
  <c r="H50" i="34"/>
  <c r="H49" i="34"/>
  <c r="H48" i="34"/>
  <c r="H47" i="34"/>
  <c r="H46" i="34"/>
  <c r="H45" i="34"/>
  <c r="H44" i="34"/>
  <c r="H43" i="34"/>
  <c r="H42" i="34"/>
  <c r="H41" i="34"/>
  <c r="H40" i="34"/>
  <c r="H39" i="34"/>
  <c r="H38" i="34"/>
  <c r="H37" i="34"/>
  <c r="H36" i="34"/>
  <c r="H35" i="34"/>
  <c r="H34" i="34"/>
  <c r="H33" i="34"/>
  <c r="H32" i="34"/>
  <c r="H31" i="34"/>
  <c r="H30" i="34"/>
  <c r="H29" i="34"/>
  <c r="H28" i="34"/>
  <c r="H27" i="34"/>
  <c r="H26" i="34"/>
  <c r="H25" i="34"/>
  <c r="H24" i="34"/>
  <c r="H23" i="34"/>
  <c r="H22" i="34"/>
  <c r="H21" i="34"/>
  <c r="H20" i="34"/>
  <c r="H19" i="34"/>
  <c r="H18" i="34"/>
  <c r="H17" i="34"/>
  <c r="H16" i="34"/>
  <c r="H15" i="34"/>
  <c r="H14" i="34"/>
  <c r="H13" i="34"/>
  <c r="H12" i="34"/>
  <c r="H11" i="34"/>
  <c r="H10" i="34"/>
  <c r="H9" i="34"/>
  <c r="H8" i="34"/>
  <c r="H7" i="34"/>
  <c r="H6" i="34"/>
  <c r="H5" i="34"/>
  <c r="H4" i="34"/>
  <c r="H3" i="34"/>
  <c r="G62" i="34"/>
  <c r="G61" i="34"/>
  <c r="G60" i="34"/>
  <c r="G59" i="34"/>
  <c r="G58" i="34"/>
  <c r="G57" i="34"/>
  <c r="G56" i="34"/>
  <c r="G55" i="34"/>
  <c r="G54" i="34"/>
  <c r="G53" i="34"/>
  <c r="G52" i="34"/>
  <c r="G51" i="34"/>
  <c r="G50" i="34"/>
  <c r="G49" i="34"/>
  <c r="G48" i="34"/>
  <c r="G47" i="34"/>
  <c r="G46" i="34"/>
  <c r="G43" i="34"/>
  <c r="G42" i="34"/>
  <c r="G41" i="34"/>
  <c r="G40" i="34"/>
  <c r="G39" i="34"/>
  <c r="G38" i="34"/>
  <c r="G37" i="34"/>
  <c r="G36" i="34"/>
  <c r="G35" i="34"/>
  <c r="G34" i="34"/>
  <c r="G33" i="34"/>
  <c r="G32" i="34"/>
  <c r="G31" i="34"/>
  <c r="G30" i="34"/>
  <c r="G29" i="34"/>
  <c r="G28" i="34"/>
  <c r="G27" i="34"/>
  <c r="G26" i="34"/>
  <c r="G25" i="34"/>
  <c r="G24" i="34"/>
  <c r="G23" i="34"/>
  <c r="G22" i="34"/>
  <c r="G21" i="34"/>
  <c r="G20" i="34"/>
  <c r="G19" i="34"/>
  <c r="G18" i="34"/>
  <c r="G17" i="34"/>
  <c r="G16" i="34"/>
  <c r="G15" i="34"/>
  <c r="G14" i="34"/>
  <c r="G13" i="34"/>
  <c r="G12" i="34"/>
  <c r="G11" i="34"/>
  <c r="G10" i="34"/>
  <c r="G9" i="34"/>
  <c r="G8" i="34"/>
  <c r="G7" i="34"/>
  <c r="G6" i="34"/>
  <c r="G5" i="34"/>
  <c r="G4" i="34"/>
  <c r="G3" i="34"/>
  <c r="F62" i="34"/>
  <c r="F61" i="34"/>
  <c r="F60" i="34"/>
  <c r="F59" i="34"/>
  <c r="F58" i="34"/>
  <c r="F57" i="34"/>
  <c r="F56" i="34"/>
  <c r="F55" i="34"/>
  <c r="F54" i="34"/>
  <c r="F53" i="34"/>
  <c r="F52" i="34"/>
  <c r="F51" i="34"/>
  <c r="F50" i="34"/>
  <c r="F49" i="34"/>
  <c r="F48" i="34"/>
  <c r="F47" i="34"/>
  <c r="F46" i="34"/>
  <c r="F43" i="34"/>
  <c r="F42" i="34"/>
  <c r="F41" i="34"/>
  <c r="F40" i="34"/>
  <c r="F39" i="34"/>
  <c r="F38" i="34"/>
  <c r="F37" i="34"/>
  <c r="F36" i="34"/>
  <c r="F35" i="34"/>
  <c r="F34" i="34"/>
  <c r="F33" i="34"/>
  <c r="F32" i="34"/>
  <c r="F31" i="34"/>
  <c r="F30" i="34"/>
  <c r="F29" i="34"/>
  <c r="F28" i="34"/>
  <c r="F27" i="34"/>
  <c r="F26" i="34"/>
  <c r="F25" i="34"/>
  <c r="F24" i="34"/>
  <c r="E62" i="34"/>
  <c r="E61" i="34"/>
  <c r="E60" i="34"/>
  <c r="E59" i="34"/>
  <c r="E58" i="34"/>
  <c r="E57" i="34"/>
  <c r="E56" i="34"/>
  <c r="E55" i="34"/>
  <c r="E54" i="34"/>
  <c r="E53" i="34"/>
  <c r="E52" i="34"/>
  <c r="E51" i="34"/>
  <c r="E50" i="34"/>
  <c r="E49" i="34"/>
  <c r="E48" i="34"/>
  <c r="E47" i="34"/>
  <c r="E46" i="34"/>
  <c r="E45" i="34"/>
  <c r="E44" i="34"/>
  <c r="E43" i="34"/>
  <c r="E42" i="34"/>
  <c r="E41" i="34"/>
  <c r="E40" i="34"/>
  <c r="E39" i="34"/>
  <c r="E38" i="34"/>
  <c r="E37" i="34"/>
  <c r="E36" i="34"/>
  <c r="E35" i="34"/>
  <c r="E34" i="34"/>
  <c r="E33" i="34"/>
  <c r="E32" i="34"/>
  <c r="E31" i="34"/>
  <c r="E30" i="34"/>
  <c r="E29" i="34"/>
  <c r="E28" i="34"/>
  <c r="E27" i="34"/>
  <c r="E26" i="34"/>
  <c r="E25" i="34"/>
  <c r="F23" i="34"/>
  <c r="E24" i="34"/>
  <c r="E23" i="34"/>
  <c r="E9" i="34"/>
  <c r="AX302" i="34"/>
  <c r="AW302" i="34"/>
  <c r="AU302" i="34"/>
  <c r="AT302" i="34"/>
  <c r="AR302" i="34"/>
  <c r="AQ302" i="34"/>
  <c r="AO302" i="34"/>
  <c r="AN302" i="34"/>
  <c r="AL302" i="34"/>
  <c r="AK302" i="34"/>
  <c r="AJ302" i="34"/>
  <c r="AI302" i="34"/>
  <c r="AH302" i="34"/>
  <c r="AG302" i="34"/>
  <c r="BA301" i="34"/>
  <c r="AZ301" i="34"/>
  <c r="BB301" i="34" s="1"/>
  <c r="BC301" i="34" s="1"/>
  <c r="AY301" i="34"/>
  <c r="AV301" i="34"/>
  <c r="AS301" i="34"/>
  <c r="AP301" i="34"/>
  <c r="AM301" i="34"/>
  <c r="BA300" i="34"/>
  <c r="AZ300" i="34"/>
  <c r="BB300" i="34" s="1"/>
  <c r="BC300" i="34" s="1"/>
  <c r="AY300" i="34"/>
  <c r="AV300" i="34"/>
  <c r="AS300" i="34"/>
  <c r="AP300" i="34"/>
  <c r="AM300" i="34"/>
  <c r="BA299" i="34"/>
  <c r="BA302" i="34" s="1"/>
  <c r="AZ299" i="34"/>
  <c r="AY299" i="34"/>
  <c r="AV299" i="34"/>
  <c r="AS299" i="34"/>
  <c r="AP299" i="34"/>
  <c r="AM299" i="34"/>
  <c r="AX297" i="34"/>
  <c r="AW297" i="34"/>
  <c r="AU297" i="34"/>
  <c r="AT297" i="34"/>
  <c r="AR297" i="34"/>
  <c r="AQ297" i="34"/>
  <c r="AO297" i="34"/>
  <c r="AN297" i="34"/>
  <c r="AL297" i="34"/>
  <c r="AK297" i="34"/>
  <c r="AJ297" i="34"/>
  <c r="AI297" i="34"/>
  <c r="AH297" i="34"/>
  <c r="AG297" i="34"/>
  <c r="BA296" i="34"/>
  <c r="AZ296" i="34"/>
  <c r="BB296" i="34" s="1"/>
  <c r="BC296" i="34" s="1"/>
  <c r="AY296" i="34"/>
  <c r="AV296" i="34"/>
  <c r="AS296" i="34"/>
  <c r="AP296" i="34"/>
  <c r="AM296" i="34"/>
  <c r="BA295" i="34"/>
  <c r="AZ295" i="34"/>
  <c r="BB295" i="34" s="1"/>
  <c r="BC295" i="34" s="1"/>
  <c r="AY295" i="34"/>
  <c r="AV295" i="34"/>
  <c r="AS295" i="34"/>
  <c r="AP295" i="34"/>
  <c r="AM295" i="34"/>
  <c r="BA294" i="34"/>
  <c r="BA297" i="34" s="1"/>
  <c r="AZ294" i="34"/>
  <c r="AY294" i="34"/>
  <c r="AV294" i="34"/>
  <c r="AS294" i="34"/>
  <c r="AP294" i="34"/>
  <c r="AM294" i="34"/>
  <c r="AX292" i="34"/>
  <c r="AW292" i="34"/>
  <c r="AU292" i="34"/>
  <c r="AT292" i="34"/>
  <c r="AR292" i="34"/>
  <c r="AQ292" i="34"/>
  <c r="AO292" i="34"/>
  <c r="AN292" i="34"/>
  <c r="AL292" i="34"/>
  <c r="AK292" i="34"/>
  <c r="AJ292" i="34"/>
  <c r="AI292" i="34"/>
  <c r="AH292" i="34"/>
  <c r="AG292" i="34"/>
  <c r="BA291" i="34"/>
  <c r="AZ291" i="34"/>
  <c r="BB291" i="34" s="1"/>
  <c r="BC291" i="34" s="1"/>
  <c r="AY291" i="34"/>
  <c r="AV291" i="34"/>
  <c r="AS291" i="34"/>
  <c r="AP291" i="34"/>
  <c r="AM291" i="34"/>
  <c r="BA290" i="34"/>
  <c r="AZ290" i="34"/>
  <c r="BB290" i="34" s="1"/>
  <c r="BC290" i="34" s="1"/>
  <c r="AY290" i="34"/>
  <c r="AV290" i="34"/>
  <c r="AS290" i="34"/>
  <c r="AP290" i="34"/>
  <c r="AM290" i="34"/>
  <c r="BA289" i="34"/>
  <c r="BA292" i="34" s="1"/>
  <c r="AZ289" i="34"/>
  <c r="AY289" i="34"/>
  <c r="AV289" i="34"/>
  <c r="AS289" i="34"/>
  <c r="AP289" i="34"/>
  <c r="AM289" i="34"/>
  <c r="AX287" i="34"/>
  <c r="AW287" i="34"/>
  <c r="AU287" i="34"/>
  <c r="AT287" i="34"/>
  <c r="AR287" i="34"/>
  <c r="AQ287" i="34"/>
  <c r="AO287" i="34"/>
  <c r="AN287" i="34"/>
  <c r="AL287" i="34"/>
  <c r="AK287" i="34"/>
  <c r="AJ287" i="34"/>
  <c r="AI287" i="34"/>
  <c r="AH287" i="34"/>
  <c r="AG287" i="34"/>
  <c r="BA286" i="34"/>
  <c r="AZ286" i="34"/>
  <c r="BB286" i="34" s="1"/>
  <c r="BC286" i="34" s="1"/>
  <c r="AY286" i="34"/>
  <c r="AV286" i="34"/>
  <c r="AS286" i="34"/>
  <c r="AP286" i="34"/>
  <c r="AM286" i="34"/>
  <c r="BA285" i="34"/>
  <c r="AZ285" i="34"/>
  <c r="BB285" i="34" s="1"/>
  <c r="BC285" i="34" s="1"/>
  <c r="AY285" i="34"/>
  <c r="AV285" i="34"/>
  <c r="AS285" i="34"/>
  <c r="AP285" i="34"/>
  <c r="AM285" i="34"/>
  <c r="BA284" i="34"/>
  <c r="BA287" i="34" s="1"/>
  <c r="AZ284" i="34"/>
  <c r="AY284" i="34"/>
  <c r="AV284" i="34"/>
  <c r="AS284" i="34"/>
  <c r="AP284" i="34"/>
  <c r="AM284" i="34"/>
  <c r="AX282" i="34"/>
  <c r="AW282" i="34"/>
  <c r="AU282" i="34"/>
  <c r="AT282" i="34"/>
  <c r="AR282" i="34"/>
  <c r="AQ282" i="34"/>
  <c r="AO282" i="34"/>
  <c r="AN282" i="34"/>
  <c r="AL282" i="34"/>
  <c r="AK282" i="34"/>
  <c r="AJ282" i="34"/>
  <c r="AI282" i="34"/>
  <c r="AH282" i="34"/>
  <c r="AG282" i="34"/>
  <c r="BA281" i="34"/>
  <c r="AZ281" i="34"/>
  <c r="BB281" i="34" s="1"/>
  <c r="BC281" i="34" s="1"/>
  <c r="AY281" i="34"/>
  <c r="AV281" i="34"/>
  <c r="AS281" i="34"/>
  <c r="AP281" i="34"/>
  <c r="AM281" i="34"/>
  <c r="BA280" i="34"/>
  <c r="AZ280" i="34"/>
  <c r="BB280" i="34" s="1"/>
  <c r="BC280" i="34" s="1"/>
  <c r="AY280" i="34"/>
  <c r="AV280" i="34"/>
  <c r="AS280" i="34"/>
  <c r="AP280" i="34"/>
  <c r="AM280" i="34"/>
  <c r="BA279" i="34"/>
  <c r="BA282" i="34" s="1"/>
  <c r="AZ279" i="34"/>
  <c r="AY279" i="34"/>
  <c r="AV279" i="34"/>
  <c r="AS279" i="34"/>
  <c r="AP279" i="34"/>
  <c r="AM279" i="34"/>
  <c r="AX277" i="34"/>
  <c r="AW277" i="34"/>
  <c r="AU277" i="34"/>
  <c r="AT277" i="34"/>
  <c r="AR277" i="34"/>
  <c r="AQ277" i="34"/>
  <c r="AO277" i="34"/>
  <c r="AN277" i="34"/>
  <c r="AL277" i="34"/>
  <c r="AK277" i="34"/>
  <c r="AJ277" i="34"/>
  <c r="AI277" i="34"/>
  <c r="AH277" i="34"/>
  <c r="AG277" i="34"/>
  <c r="BA276" i="34"/>
  <c r="AZ276" i="34"/>
  <c r="BB276" i="34" s="1"/>
  <c r="BC276" i="34" s="1"/>
  <c r="AY276" i="34"/>
  <c r="AV276" i="34"/>
  <c r="AS276" i="34"/>
  <c r="AP276" i="34"/>
  <c r="AM276" i="34"/>
  <c r="BA275" i="34"/>
  <c r="AZ275" i="34"/>
  <c r="BB275" i="34" s="1"/>
  <c r="BC275" i="34" s="1"/>
  <c r="AY275" i="34"/>
  <c r="AV275" i="34"/>
  <c r="AS275" i="34"/>
  <c r="AP275" i="34"/>
  <c r="AM275" i="34"/>
  <c r="BA274" i="34"/>
  <c r="BA277" i="34" s="1"/>
  <c r="AZ274" i="34"/>
  <c r="AY274" i="34"/>
  <c r="AV274" i="34"/>
  <c r="AS274" i="34"/>
  <c r="AP274" i="34"/>
  <c r="AM274" i="34"/>
  <c r="AX272" i="34"/>
  <c r="AW272" i="34"/>
  <c r="AU272" i="34"/>
  <c r="AT272" i="34"/>
  <c r="AR272" i="34"/>
  <c r="AQ272" i="34"/>
  <c r="AO272" i="34"/>
  <c r="AN272" i="34"/>
  <c r="AL272" i="34"/>
  <c r="AK272" i="34"/>
  <c r="AJ272" i="34"/>
  <c r="AI272" i="34"/>
  <c r="AH272" i="34"/>
  <c r="AG272" i="34"/>
  <c r="BA271" i="34"/>
  <c r="AZ271" i="34"/>
  <c r="BB271" i="34" s="1"/>
  <c r="BC271" i="34" s="1"/>
  <c r="AY271" i="34"/>
  <c r="AV271" i="34"/>
  <c r="AS271" i="34"/>
  <c r="AP271" i="34"/>
  <c r="AM271" i="34"/>
  <c r="BA270" i="34"/>
  <c r="AZ270" i="34"/>
  <c r="BB270" i="34" s="1"/>
  <c r="BC270" i="34" s="1"/>
  <c r="AY270" i="34"/>
  <c r="AV270" i="34"/>
  <c r="AS270" i="34"/>
  <c r="AP270" i="34"/>
  <c r="AM270" i="34"/>
  <c r="BA269" i="34"/>
  <c r="BA272" i="34" s="1"/>
  <c r="AZ269" i="34"/>
  <c r="AY269" i="34"/>
  <c r="AV269" i="34"/>
  <c r="AS269" i="34"/>
  <c r="AP269" i="34"/>
  <c r="AM269" i="34"/>
  <c r="AX267" i="34"/>
  <c r="AW267" i="34"/>
  <c r="AU267" i="34"/>
  <c r="AT267" i="34"/>
  <c r="AR267" i="34"/>
  <c r="AQ267" i="34"/>
  <c r="AO267" i="34"/>
  <c r="AN267" i="34"/>
  <c r="AL267" i="34"/>
  <c r="AK267" i="34"/>
  <c r="AJ267" i="34"/>
  <c r="AI267" i="34"/>
  <c r="AH267" i="34"/>
  <c r="AG267" i="34"/>
  <c r="BA266" i="34"/>
  <c r="AZ266" i="34"/>
  <c r="BB266" i="34" s="1"/>
  <c r="BC266" i="34" s="1"/>
  <c r="AY266" i="34"/>
  <c r="AV266" i="34"/>
  <c r="AS266" i="34"/>
  <c r="AP266" i="34"/>
  <c r="AM266" i="34"/>
  <c r="BA265" i="34"/>
  <c r="AZ265" i="34"/>
  <c r="BB265" i="34" s="1"/>
  <c r="BC265" i="34" s="1"/>
  <c r="AY265" i="34"/>
  <c r="AV265" i="34"/>
  <c r="AS265" i="34"/>
  <c r="AP265" i="34"/>
  <c r="AM265" i="34"/>
  <c r="BA264" i="34"/>
  <c r="BA267" i="34" s="1"/>
  <c r="AZ264" i="34"/>
  <c r="AY264" i="34"/>
  <c r="AV264" i="34"/>
  <c r="AS264" i="34"/>
  <c r="AP264" i="34"/>
  <c r="AM264" i="34"/>
  <c r="AX262" i="34"/>
  <c r="AW262" i="34"/>
  <c r="AU262" i="34"/>
  <c r="AT262" i="34"/>
  <c r="AR262" i="34"/>
  <c r="AQ262" i="34"/>
  <c r="AO262" i="34"/>
  <c r="AN262" i="34"/>
  <c r="AL262" i="34"/>
  <c r="AK262" i="34"/>
  <c r="AJ262" i="34"/>
  <c r="AI262" i="34"/>
  <c r="AH262" i="34"/>
  <c r="AG262" i="34"/>
  <c r="BA261" i="34"/>
  <c r="AZ261" i="34"/>
  <c r="BB261" i="34" s="1"/>
  <c r="BC261" i="34" s="1"/>
  <c r="AY261" i="34"/>
  <c r="AV261" i="34"/>
  <c r="AS261" i="34"/>
  <c r="AP261" i="34"/>
  <c r="AM261" i="34"/>
  <c r="BA260" i="34"/>
  <c r="AZ260" i="34"/>
  <c r="BB260" i="34" s="1"/>
  <c r="BC260" i="34" s="1"/>
  <c r="AY260" i="34"/>
  <c r="AV260" i="34"/>
  <c r="AS260" i="34"/>
  <c r="AP260" i="34"/>
  <c r="AM260" i="34"/>
  <c r="BA259" i="34"/>
  <c r="BA262" i="34" s="1"/>
  <c r="AZ259" i="34"/>
  <c r="AY259" i="34"/>
  <c r="AV259" i="34"/>
  <c r="AS259" i="34"/>
  <c r="AP259" i="34"/>
  <c r="AM259" i="34"/>
  <c r="AX257" i="34"/>
  <c r="AW257" i="34"/>
  <c r="AU257" i="34"/>
  <c r="AT257" i="34"/>
  <c r="AR257" i="34"/>
  <c r="AQ257" i="34"/>
  <c r="AO257" i="34"/>
  <c r="AN257" i="34"/>
  <c r="AL257" i="34"/>
  <c r="AK257" i="34"/>
  <c r="AJ257" i="34"/>
  <c r="AI257" i="34"/>
  <c r="AH257" i="34"/>
  <c r="AG257" i="34"/>
  <c r="BA256" i="34"/>
  <c r="AZ256" i="34"/>
  <c r="BB256" i="34" s="1"/>
  <c r="BC256" i="34" s="1"/>
  <c r="AY256" i="34"/>
  <c r="AV256" i="34"/>
  <c r="AS256" i="34"/>
  <c r="AP256" i="34"/>
  <c r="AM256" i="34"/>
  <c r="BA255" i="34"/>
  <c r="AZ255" i="34"/>
  <c r="BB255" i="34" s="1"/>
  <c r="BC255" i="34" s="1"/>
  <c r="AY255" i="34"/>
  <c r="AV255" i="34"/>
  <c r="AS255" i="34"/>
  <c r="AP255" i="34"/>
  <c r="AM255" i="34"/>
  <c r="BA254" i="34"/>
  <c r="BA257" i="34" s="1"/>
  <c r="AZ254" i="34"/>
  <c r="AY254" i="34"/>
  <c r="AV254" i="34"/>
  <c r="AS254" i="34"/>
  <c r="AP254" i="34"/>
  <c r="AM254" i="34"/>
  <c r="AX252" i="34"/>
  <c r="AW252" i="34"/>
  <c r="AU252" i="34"/>
  <c r="AT252" i="34"/>
  <c r="AR252" i="34"/>
  <c r="AQ252" i="34"/>
  <c r="AO252" i="34"/>
  <c r="AN252" i="34"/>
  <c r="AL252" i="34"/>
  <c r="AK252" i="34"/>
  <c r="AJ252" i="34"/>
  <c r="AI252" i="34"/>
  <c r="AH252" i="34"/>
  <c r="AG252" i="34"/>
  <c r="BA251" i="34"/>
  <c r="AZ251" i="34"/>
  <c r="BB251" i="34" s="1"/>
  <c r="BC251" i="34" s="1"/>
  <c r="AY251" i="34"/>
  <c r="AV251" i="34"/>
  <c r="AS251" i="34"/>
  <c r="AP251" i="34"/>
  <c r="AM251" i="34"/>
  <c r="BA250" i="34"/>
  <c r="AZ250" i="34"/>
  <c r="BB250" i="34" s="1"/>
  <c r="BC250" i="34" s="1"/>
  <c r="AY250" i="34"/>
  <c r="AV250" i="34"/>
  <c r="AS250" i="34"/>
  <c r="AP250" i="34"/>
  <c r="AM250" i="34"/>
  <c r="BA249" i="34"/>
  <c r="BA252" i="34" s="1"/>
  <c r="AZ249" i="34"/>
  <c r="AY249" i="34"/>
  <c r="AV249" i="34"/>
  <c r="AS249" i="34"/>
  <c r="AP249" i="34"/>
  <c r="AM249" i="34"/>
  <c r="AX247" i="34"/>
  <c r="AW247" i="34"/>
  <c r="AU247" i="34"/>
  <c r="AT247" i="34"/>
  <c r="AR247" i="34"/>
  <c r="AQ247" i="34"/>
  <c r="AO247" i="34"/>
  <c r="AN247" i="34"/>
  <c r="AL247" i="34"/>
  <c r="AK247" i="34"/>
  <c r="AJ247" i="34"/>
  <c r="AI247" i="34"/>
  <c r="AH247" i="34"/>
  <c r="AG247" i="34"/>
  <c r="BA246" i="34"/>
  <c r="AZ246" i="34"/>
  <c r="BB246" i="34" s="1"/>
  <c r="BC246" i="34" s="1"/>
  <c r="AY246" i="34"/>
  <c r="AV246" i="34"/>
  <c r="AS246" i="34"/>
  <c r="AP246" i="34"/>
  <c r="AM246" i="34"/>
  <c r="BA245" i="34"/>
  <c r="AZ245" i="34"/>
  <c r="BB245" i="34" s="1"/>
  <c r="BC245" i="34" s="1"/>
  <c r="AY245" i="34"/>
  <c r="AV245" i="34"/>
  <c r="AS245" i="34"/>
  <c r="AP245" i="34"/>
  <c r="AM245" i="34"/>
  <c r="BA244" i="34"/>
  <c r="BA247" i="34" s="1"/>
  <c r="AZ244" i="34"/>
  <c r="AY244" i="34"/>
  <c r="AV244" i="34"/>
  <c r="AS244" i="34"/>
  <c r="AP244" i="34"/>
  <c r="AM244" i="34"/>
  <c r="AX242" i="34"/>
  <c r="AW242" i="34"/>
  <c r="AU242" i="34"/>
  <c r="AT242" i="34"/>
  <c r="AR242" i="34"/>
  <c r="AQ242" i="34"/>
  <c r="AO242" i="34"/>
  <c r="AN242" i="34"/>
  <c r="AL242" i="34"/>
  <c r="AK242" i="34"/>
  <c r="AJ242" i="34"/>
  <c r="AI242" i="34"/>
  <c r="AH242" i="34"/>
  <c r="AG242" i="34"/>
  <c r="BA241" i="34"/>
  <c r="AZ241" i="34"/>
  <c r="BB241" i="34" s="1"/>
  <c r="BC241" i="34" s="1"/>
  <c r="AY241" i="34"/>
  <c r="AV241" i="34"/>
  <c r="AS241" i="34"/>
  <c r="AP241" i="34"/>
  <c r="AM241" i="34"/>
  <c r="BA240" i="34"/>
  <c r="AZ240" i="34"/>
  <c r="BB240" i="34" s="1"/>
  <c r="BC240" i="34" s="1"/>
  <c r="AY240" i="34"/>
  <c r="AV240" i="34"/>
  <c r="AS240" i="34"/>
  <c r="AP240" i="34"/>
  <c r="AM240" i="34"/>
  <c r="BA239" i="34"/>
  <c r="BA242" i="34" s="1"/>
  <c r="AZ239" i="34"/>
  <c r="AY239" i="34"/>
  <c r="AV239" i="34"/>
  <c r="AS239" i="34"/>
  <c r="AP239" i="34"/>
  <c r="AM239" i="34"/>
  <c r="AX237" i="34"/>
  <c r="AW237" i="34"/>
  <c r="AU237" i="34"/>
  <c r="AT237" i="34"/>
  <c r="AR237" i="34"/>
  <c r="AQ237" i="34"/>
  <c r="AO237" i="34"/>
  <c r="AN237" i="34"/>
  <c r="AL237" i="34"/>
  <c r="AK237" i="34"/>
  <c r="AJ237" i="34"/>
  <c r="AI237" i="34"/>
  <c r="AH237" i="34"/>
  <c r="AG237" i="34"/>
  <c r="BA236" i="34"/>
  <c r="AZ236" i="34"/>
  <c r="BB236" i="34" s="1"/>
  <c r="BC236" i="34" s="1"/>
  <c r="AY236" i="34"/>
  <c r="AV236" i="34"/>
  <c r="AS236" i="34"/>
  <c r="AP236" i="34"/>
  <c r="AM236" i="34"/>
  <c r="BA235" i="34"/>
  <c r="AZ235" i="34"/>
  <c r="BB235" i="34" s="1"/>
  <c r="BC235" i="34" s="1"/>
  <c r="AY235" i="34"/>
  <c r="AV235" i="34"/>
  <c r="AS235" i="34"/>
  <c r="AP235" i="34"/>
  <c r="AM235" i="34"/>
  <c r="BA234" i="34"/>
  <c r="BA237" i="34" s="1"/>
  <c r="AZ234" i="34"/>
  <c r="AY234" i="34"/>
  <c r="AV234" i="34"/>
  <c r="AS234" i="34"/>
  <c r="AP234" i="34"/>
  <c r="AM234" i="34"/>
  <c r="AX232" i="34"/>
  <c r="AW232" i="34"/>
  <c r="AU232" i="34"/>
  <c r="AT232" i="34"/>
  <c r="AR232" i="34"/>
  <c r="AQ232" i="34"/>
  <c r="AO232" i="34"/>
  <c r="AN232" i="34"/>
  <c r="AL232" i="34"/>
  <c r="AK232" i="34"/>
  <c r="AJ232" i="34"/>
  <c r="AI232" i="34"/>
  <c r="AH232" i="34"/>
  <c r="AG232" i="34"/>
  <c r="BA231" i="34"/>
  <c r="AZ231" i="34"/>
  <c r="BB231" i="34" s="1"/>
  <c r="BC231" i="34" s="1"/>
  <c r="AY231" i="34"/>
  <c r="AV231" i="34"/>
  <c r="AS231" i="34"/>
  <c r="AP231" i="34"/>
  <c r="AM231" i="34"/>
  <c r="BA230" i="34"/>
  <c r="AZ230" i="34"/>
  <c r="BB230" i="34" s="1"/>
  <c r="BC230" i="34" s="1"/>
  <c r="AY230" i="34"/>
  <c r="AV230" i="34"/>
  <c r="AS230" i="34"/>
  <c r="AP230" i="34"/>
  <c r="AM230" i="34"/>
  <c r="BA229" i="34"/>
  <c r="BA232" i="34" s="1"/>
  <c r="AZ229" i="34"/>
  <c r="AY229" i="34"/>
  <c r="AV229" i="34"/>
  <c r="AS229" i="34"/>
  <c r="AP229" i="34"/>
  <c r="AM229" i="34"/>
  <c r="AX227" i="34"/>
  <c r="AW227" i="34"/>
  <c r="AU227" i="34"/>
  <c r="AT227" i="34"/>
  <c r="AR227" i="34"/>
  <c r="AQ227" i="34"/>
  <c r="AO227" i="34"/>
  <c r="AN227" i="34"/>
  <c r="AL227" i="34"/>
  <c r="AK227" i="34"/>
  <c r="AJ227" i="34"/>
  <c r="AI227" i="34"/>
  <c r="AH227" i="34"/>
  <c r="AG227" i="34"/>
  <c r="BA226" i="34"/>
  <c r="AZ226" i="34"/>
  <c r="BB226" i="34" s="1"/>
  <c r="BC226" i="34" s="1"/>
  <c r="AY226" i="34"/>
  <c r="AV226" i="34"/>
  <c r="AS226" i="34"/>
  <c r="AP226" i="34"/>
  <c r="AM226" i="34"/>
  <c r="BA225" i="34"/>
  <c r="AZ225" i="34"/>
  <c r="BB225" i="34" s="1"/>
  <c r="BC225" i="34" s="1"/>
  <c r="AY225" i="34"/>
  <c r="AV225" i="34"/>
  <c r="AS225" i="34"/>
  <c r="AP225" i="34"/>
  <c r="AM225" i="34"/>
  <c r="BA224" i="34"/>
  <c r="BA227" i="34" s="1"/>
  <c r="AZ224" i="34"/>
  <c r="AY224" i="34"/>
  <c r="AV224" i="34"/>
  <c r="AS224" i="34"/>
  <c r="AP224" i="34"/>
  <c r="AM224" i="34"/>
  <c r="AX222" i="34"/>
  <c r="AW222" i="34"/>
  <c r="AU222" i="34"/>
  <c r="AT222" i="34"/>
  <c r="AR222" i="34"/>
  <c r="AQ222" i="34"/>
  <c r="AO222" i="34"/>
  <c r="AN222" i="34"/>
  <c r="AL222" i="34"/>
  <c r="AK222" i="34"/>
  <c r="AJ222" i="34"/>
  <c r="AI222" i="34"/>
  <c r="AH222" i="34"/>
  <c r="AG222" i="34"/>
  <c r="BA221" i="34"/>
  <c r="AZ221" i="34"/>
  <c r="BB221" i="34" s="1"/>
  <c r="BC221" i="34" s="1"/>
  <c r="AY221" i="34"/>
  <c r="AV221" i="34"/>
  <c r="AS221" i="34"/>
  <c r="AP221" i="34"/>
  <c r="AM221" i="34"/>
  <c r="BA220" i="34"/>
  <c r="AZ220" i="34"/>
  <c r="BB220" i="34" s="1"/>
  <c r="BC220" i="34" s="1"/>
  <c r="AY220" i="34"/>
  <c r="AV220" i="34"/>
  <c r="AS220" i="34"/>
  <c r="AP220" i="34"/>
  <c r="AM220" i="34"/>
  <c r="BA219" i="34"/>
  <c r="BA222" i="34" s="1"/>
  <c r="AZ219" i="34"/>
  <c r="AY219" i="34"/>
  <c r="AV219" i="34"/>
  <c r="AS219" i="34"/>
  <c r="AP219" i="34"/>
  <c r="AM219" i="34"/>
  <c r="AX217" i="34"/>
  <c r="AW217" i="34"/>
  <c r="T45" i="34" s="1"/>
  <c r="AU217" i="34"/>
  <c r="AT217" i="34"/>
  <c r="R45" i="34" s="1"/>
  <c r="AR217" i="34"/>
  <c r="AQ217" i="34"/>
  <c r="P45" i="34" s="1"/>
  <c r="AO217" i="34"/>
  <c r="AN217" i="34"/>
  <c r="N45" i="34" s="1"/>
  <c r="AL217" i="34"/>
  <c r="J45" i="34" s="1"/>
  <c r="AK217" i="34"/>
  <c r="AJ217" i="34"/>
  <c r="AI217" i="34"/>
  <c r="G45" i="34" s="1"/>
  <c r="AH217" i="34"/>
  <c r="F45" i="34" s="1"/>
  <c r="AG217" i="34"/>
  <c r="BA216" i="34"/>
  <c r="AZ216" i="34"/>
  <c r="BB216" i="34" s="1"/>
  <c r="BC216" i="34" s="1"/>
  <c r="AY216" i="34"/>
  <c r="AV216" i="34"/>
  <c r="AS216" i="34"/>
  <c r="AP216" i="34"/>
  <c r="AM216" i="34"/>
  <c r="BA215" i="34"/>
  <c r="AZ215" i="34"/>
  <c r="BB215" i="34" s="1"/>
  <c r="BC215" i="34" s="1"/>
  <c r="AY215" i="34"/>
  <c r="AV215" i="34"/>
  <c r="AS215" i="34"/>
  <c r="AP215" i="34"/>
  <c r="AM215" i="34"/>
  <c r="BA214" i="34"/>
  <c r="BA217" i="34" s="1"/>
  <c r="K45" i="34" s="1"/>
  <c r="AZ214" i="34"/>
  <c r="AY214" i="34"/>
  <c r="AV214" i="34"/>
  <c r="AS214" i="34"/>
  <c r="AP214" i="34"/>
  <c r="AM214" i="34"/>
  <c r="AX212" i="34"/>
  <c r="AW212" i="34"/>
  <c r="T44" i="34" s="1"/>
  <c r="AU212" i="34"/>
  <c r="AT212" i="34"/>
  <c r="R44" i="34" s="1"/>
  <c r="AR212" i="34"/>
  <c r="AQ212" i="34"/>
  <c r="P44" i="34" s="1"/>
  <c r="AO212" i="34"/>
  <c r="AN212" i="34"/>
  <c r="N44" i="34" s="1"/>
  <c r="N63" i="34" s="1"/>
  <c r="AL212" i="34"/>
  <c r="J44" i="34" s="1"/>
  <c r="AK212" i="34"/>
  <c r="AJ212" i="34"/>
  <c r="AI212" i="34"/>
  <c r="G44" i="34" s="1"/>
  <c r="G63" i="34" s="1"/>
  <c r="AH212" i="34"/>
  <c r="F44" i="34" s="1"/>
  <c r="F63" i="34" s="1"/>
  <c r="AG212" i="34"/>
  <c r="BA211" i="34"/>
  <c r="AZ211" i="34"/>
  <c r="BB211" i="34" s="1"/>
  <c r="BC211" i="34" s="1"/>
  <c r="AY211" i="34"/>
  <c r="AV211" i="34"/>
  <c r="AS211" i="34"/>
  <c r="AP211" i="34"/>
  <c r="AM211" i="34"/>
  <c r="BA210" i="34"/>
  <c r="AZ210" i="34"/>
  <c r="BB210" i="34" s="1"/>
  <c r="BC210" i="34" s="1"/>
  <c r="AY210" i="34"/>
  <c r="AV210" i="34"/>
  <c r="AS210" i="34"/>
  <c r="AP210" i="34"/>
  <c r="AM210" i="34"/>
  <c r="BA209" i="34"/>
  <c r="BA212" i="34" s="1"/>
  <c r="K44" i="34" s="1"/>
  <c r="AZ209" i="34"/>
  <c r="AY209" i="34"/>
  <c r="AV209" i="34"/>
  <c r="AS209" i="34"/>
  <c r="AP209" i="34"/>
  <c r="AM209" i="34"/>
  <c r="AX207" i="34"/>
  <c r="AW207" i="34"/>
  <c r="AU207" i="34"/>
  <c r="AT207" i="34"/>
  <c r="AR207" i="34"/>
  <c r="AQ207" i="34"/>
  <c r="AO207" i="34"/>
  <c r="AN207" i="34"/>
  <c r="AL207" i="34"/>
  <c r="AK207" i="34"/>
  <c r="AJ207" i="34"/>
  <c r="AI207" i="34"/>
  <c r="AH207" i="34"/>
  <c r="AG207" i="34"/>
  <c r="BA206" i="34"/>
  <c r="AZ206" i="34"/>
  <c r="BB206" i="34" s="1"/>
  <c r="BC206" i="34" s="1"/>
  <c r="AY206" i="34"/>
  <c r="AV206" i="34"/>
  <c r="AS206" i="34"/>
  <c r="AP206" i="34"/>
  <c r="AM206" i="34"/>
  <c r="BA205" i="34"/>
  <c r="AZ205" i="34"/>
  <c r="BB205" i="34" s="1"/>
  <c r="BC205" i="34" s="1"/>
  <c r="AY205" i="34"/>
  <c r="AV205" i="34"/>
  <c r="AS205" i="34"/>
  <c r="AP205" i="34"/>
  <c r="AM205" i="34"/>
  <c r="BA204" i="34"/>
  <c r="BA207" i="34" s="1"/>
  <c r="AZ204" i="34"/>
  <c r="AY204" i="34"/>
  <c r="AV204" i="34"/>
  <c r="AS204" i="34"/>
  <c r="AP204" i="34"/>
  <c r="AM204" i="34"/>
  <c r="AX202" i="34"/>
  <c r="AW202" i="34"/>
  <c r="AU202" i="34"/>
  <c r="AT202" i="34"/>
  <c r="AR202" i="34"/>
  <c r="AQ202" i="34"/>
  <c r="AO202" i="34"/>
  <c r="AN202" i="34"/>
  <c r="AL202" i="34"/>
  <c r="AK202" i="34"/>
  <c r="AJ202" i="34"/>
  <c r="AI202" i="34"/>
  <c r="AH202" i="34"/>
  <c r="AG202" i="34"/>
  <c r="BA201" i="34"/>
  <c r="AZ201" i="34"/>
  <c r="BB201" i="34" s="1"/>
  <c r="BC201" i="34" s="1"/>
  <c r="AY201" i="34"/>
  <c r="AV201" i="34"/>
  <c r="AS201" i="34"/>
  <c r="AP201" i="34"/>
  <c r="AM201" i="34"/>
  <c r="BA200" i="34"/>
  <c r="AZ200" i="34"/>
  <c r="BB200" i="34" s="1"/>
  <c r="BC200" i="34" s="1"/>
  <c r="AY200" i="34"/>
  <c r="AV200" i="34"/>
  <c r="AS200" i="34"/>
  <c r="AP200" i="34"/>
  <c r="AM200" i="34"/>
  <c r="BA199" i="34"/>
  <c r="BA202" i="34" s="1"/>
  <c r="AZ199" i="34"/>
  <c r="AY199" i="34"/>
  <c r="AV199" i="34"/>
  <c r="AS199" i="34"/>
  <c r="AP199" i="34"/>
  <c r="AM199" i="34"/>
  <c r="AX197" i="34"/>
  <c r="AW197" i="34"/>
  <c r="T41" i="34" s="1"/>
  <c r="T63" i="34" s="1"/>
  <c r="AU197" i="34"/>
  <c r="AT197" i="34"/>
  <c r="R41" i="34" s="1"/>
  <c r="R63" i="34" s="1"/>
  <c r="AR197" i="34"/>
  <c r="AQ197" i="34"/>
  <c r="P41" i="34" s="1"/>
  <c r="P63" i="34" s="1"/>
  <c r="AO197" i="34"/>
  <c r="AN197" i="34"/>
  <c r="AL197" i="34"/>
  <c r="AK197" i="34"/>
  <c r="AJ197" i="34"/>
  <c r="AI197" i="34"/>
  <c r="AH197" i="34"/>
  <c r="AG197" i="34"/>
  <c r="BA196" i="34"/>
  <c r="AZ196" i="34"/>
  <c r="BB196" i="34" s="1"/>
  <c r="BC196" i="34" s="1"/>
  <c r="AY196" i="34"/>
  <c r="AV196" i="34"/>
  <c r="AS196" i="34"/>
  <c r="AP196" i="34"/>
  <c r="AM196" i="34"/>
  <c r="BA195" i="34"/>
  <c r="AZ195" i="34"/>
  <c r="BB195" i="34" s="1"/>
  <c r="BC195" i="34" s="1"/>
  <c r="AY195" i="34"/>
  <c r="AV195" i="34"/>
  <c r="AS195" i="34"/>
  <c r="AP195" i="34"/>
  <c r="AM195" i="34"/>
  <c r="BA194" i="34"/>
  <c r="BA197" i="34" s="1"/>
  <c r="K41" i="34" s="1"/>
  <c r="K63" i="34" s="1"/>
  <c r="AZ194" i="34"/>
  <c r="AY194" i="34"/>
  <c r="AV194" i="34"/>
  <c r="AS194" i="34"/>
  <c r="AP194" i="34"/>
  <c r="AM194" i="34"/>
  <c r="AX192" i="34"/>
  <c r="AW192" i="34"/>
  <c r="AU192" i="34"/>
  <c r="AT192" i="34"/>
  <c r="AR192" i="34"/>
  <c r="AQ192" i="34"/>
  <c r="AO192" i="34"/>
  <c r="AN192" i="34"/>
  <c r="AL192" i="34"/>
  <c r="AK192" i="34"/>
  <c r="AJ192" i="34"/>
  <c r="AI192" i="34"/>
  <c r="AH192" i="34"/>
  <c r="AG192" i="34"/>
  <c r="BA191" i="34"/>
  <c r="AZ191" i="34"/>
  <c r="BB191" i="34" s="1"/>
  <c r="BC191" i="34" s="1"/>
  <c r="AY191" i="34"/>
  <c r="AV191" i="34"/>
  <c r="AS191" i="34"/>
  <c r="AP191" i="34"/>
  <c r="AM191" i="34"/>
  <c r="BA190" i="34"/>
  <c r="AZ190" i="34"/>
  <c r="BB190" i="34" s="1"/>
  <c r="BC190" i="34" s="1"/>
  <c r="AY190" i="34"/>
  <c r="AV190" i="34"/>
  <c r="AS190" i="34"/>
  <c r="AP190" i="34"/>
  <c r="AM190" i="34"/>
  <c r="BA189" i="34"/>
  <c r="BA192" i="34" s="1"/>
  <c r="AZ189" i="34"/>
  <c r="AY189" i="34"/>
  <c r="AV189" i="34"/>
  <c r="AS189" i="34"/>
  <c r="AP189" i="34"/>
  <c r="AM189" i="34"/>
  <c r="AX187" i="34"/>
  <c r="AW187" i="34"/>
  <c r="AU187" i="34"/>
  <c r="AT187" i="34"/>
  <c r="AR187" i="34"/>
  <c r="AQ187" i="34"/>
  <c r="AO187" i="34"/>
  <c r="AN187" i="34"/>
  <c r="AL187" i="34"/>
  <c r="AK187" i="34"/>
  <c r="AJ187" i="34"/>
  <c r="AI187" i="34"/>
  <c r="AH187" i="34"/>
  <c r="AG187" i="34"/>
  <c r="BA186" i="34"/>
  <c r="AZ186" i="34"/>
  <c r="BB186" i="34" s="1"/>
  <c r="BC186" i="34" s="1"/>
  <c r="AY186" i="34"/>
  <c r="AV186" i="34"/>
  <c r="AS186" i="34"/>
  <c r="AP186" i="34"/>
  <c r="AM186" i="34"/>
  <c r="BA185" i="34"/>
  <c r="AZ185" i="34"/>
  <c r="BB185" i="34" s="1"/>
  <c r="BC185" i="34" s="1"/>
  <c r="AY185" i="34"/>
  <c r="AV185" i="34"/>
  <c r="AS185" i="34"/>
  <c r="AP185" i="34"/>
  <c r="AM185" i="34"/>
  <c r="BA184" i="34"/>
  <c r="BA187" i="34" s="1"/>
  <c r="AZ184" i="34"/>
  <c r="AY184" i="34"/>
  <c r="AV184" i="34"/>
  <c r="AS184" i="34"/>
  <c r="AP184" i="34"/>
  <c r="AM184" i="34"/>
  <c r="AX182" i="34"/>
  <c r="AW182" i="34"/>
  <c r="AU182" i="34"/>
  <c r="AT182" i="34"/>
  <c r="AR182" i="34"/>
  <c r="AQ182" i="34"/>
  <c r="AO182" i="34"/>
  <c r="AN182" i="34"/>
  <c r="AL182" i="34"/>
  <c r="AK182" i="34"/>
  <c r="AJ182" i="34"/>
  <c r="AI182" i="34"/>
  <c r="AH182" i="34"/>
  <c r="AG182" i="34"/>
  <c r="BA181" i="34"/>
  <c r="AZ181" i="34"/>
  <c r="BB181" i="34" s="1"/>
  <c r="BC181" i="34" s="1"/>
  <c r="AY181" i="34"/>
  <c r="AV181" i="34"/>
  <c r="AS181" i="34"/>
  <c r="AP181" i="34"/>
  <c r="AM181" i="34"/>
  <c r="BA180" i="34"/>
  <c r="AZ180" i="34"/>
  <c r="BB180" i="34" s="1"/>
  <c r="BC180" i="34" s="1"/>
  <c r="AY180" i="34"/>
  <c r="AV180" i="34"/>
  <c r="AS180" i="34"/>
  <c r="AP180" i="34"/>
  <c r="AM180" i="34"/>
  <c r="BA179" i="34"/>
  <c r="BA182" i="34" s="1"/>
  <c r="AZ179" i="34"/>
  <c r="AY179" i="34"/>
  <c r="AV179" i="34"/>
  <c r="AS179" i="34"/>
  <c r="AP179" i="34"/>
  <c r="AM179" i="34"/>
  <c r="AX177" i="34"/>
  <c r="AW177" i="34"/>
  <c r="AU177" i="34"/>
  <c r="AT177" i="34"/>
  <c r="AR177" i="34"/>
  <c r="AQ177" i="34"/>
  <c r="AO177" i="34"/>
  <c r="AN177" i="34"/>
  <c r="AL177" i="34"/>
  <c r="AK177" i="34"/>
  <c r="AJ177" i="34"/>
  <c r="AI177" i="34"/>
  <c r="AH177" i="34"/>
  <c r="AG177" i="34"/>
  <c r="BA176" i="34"/>
  <c r="AZ176" i="34"/>
  <c r="BB176" i="34" s="1"/>
  <c r="BC176" i="34" s="1"/>
  <c r="AY176" i="34"/>
  <c r="AV176" i="34"/>
  <c r="AS176" i="34"/>
  <c r="AP176" i="34"/>
  <c r="AM176" i="34"/>
  <c r="BA175" i="34"/>
  <c r="AZ175" i="34"/>
  <c r="BB175" i="34" s="1"/>
  <c r="BC175" i="34" s="1"/>
  <c r="AY175" i="34"/>
  <c r="AV175" i="34"/>
  <c r="AS175" i="34"/>
  <c r="AP175" i="34"/>
  <c r="AM175" i="34"/>
  <c r="BA174" i="34"/>
  <c r="BA177" i="34" s="1"/>
  <c r="AZ174" i="34"/>
  <c r="AY174" i="34"/>
  <c r="AV174" i="34"/>
  <c r="AS174" i="34"/>
  <c r="AP174" i="34"/>
  <c r="AM174" i="34"/>
  <c r="AX172" i="34"/>
  <c r="AW172" i="34"/>
  <c r="AU172" i="34"/>
  <c r="AT172" i="34"/>
  <c r="AR172" i="34"/>
  <c r="AQ172" i="34"/>
  <c r="AO172" i="34"/>
  <c r="AN172" i="34"/>
  <c r="AL172" i="34"/>
  <c r="AK172" i="34"/>
  <c r="AJ172" i="34"/>
  <c r="AI172" i="34"/>
  <c r="AH172" i="34"/>
  <c r="AG172" i="34"/>
  <c r="BA171" i="34"/>
  <c r="AZ171" i="34"/>
  <c r="BB171" i="34" s="1"/>
  <c r="BC171" i="34" s="1"/>
  <c r="AY171" i="34"/>
  <c r="AV171" i="34"/>
  <c r="AS171" i="34"/>
  <c r="AP171" i="34"/>
  <c r="AM171" i="34"/>
  <c r="BA170" i="34"/>
  <c r="AZ170" i="34"/>
  <c r="BB170" i="34" s="1"/>
  <c r="BC170" i="34" s="1"/>
  <c r="AY170" i="34"/>
  <c r="AV170" i="34"/>
  <c r="AS170" i="34"/>
  <c r="AP170" i="34"/>
  <c r="AM170" i="34"/>
  <c r="BA169" i="34"/>
  <c r="BA172" i="34" s="1"/>
  <c r="AZ169" i="34"/>
  <c r="AY169" i="34"/>
  <c r="AV169" i="34"/>
  <c r="AS169" i="34"/>
  <c r="AP169" i="34"/>
  <c r="AM169" i="34"/>
  <c r="AX167" i="34"/>
  <c r="AW167" i="34"/>
  <c r="AU167" i="34"/>
  <c r="AT167" i="34"/>
  <c r="AR167" i="34"/>
  <c r="AQ167" i="34"/>
  <c r="AO167" i="34"/>
  <c r="AN167" i="34"/>
  <c r="AL167" i="34"/>
  <c r="AK167" i="34"/>
  <c r="AJ167" i="34"/>
  <c r="AI167" i="34"/>
  <c r="AH167" i="34"/>
  <c r="AG167" i="34"/>
  <c r="BA166" i="34"/>
  <c r="AZ166" i="34"/>
  <c r="BB166" i="34" s="1"/>
  <c r="BC166" i="34" s="1"/>
  <c r="AY166" i="34"/>
  <c r="AV166" i="34"/>
  <c r="AS166" i="34"/>
  <c r="AP166" i="34"/>
  <c r="AM166" i="34"/>
  <c r="BA165" i="34"/>
  <c r="AZ165" i="34"/>
  <c r="BB165" i="34" s="1"/>
  <c r="BC165" i="34" s="1"/>
  <c r="AY165" i="34"/>
  <c r="AV165" i="34"/>
  <c r="AS165" i="34"/>
  <c r="AP165" i="34"/>
  <c r="AM165" i="34"/>
  <c r="BA164" i="34"/>
  <c r="BA167" i="34" s="1"/>
  <c r="AZ164" i="34"/>
  <c r="AY164" i="34"/>
  <c r="AV164" i="34"/>
  <c r="AS164" i="34"/>
  <c r="AP164" i="34"/>
  <c r="AX162" i="34"/>
  <c r="AW162" i="34"/>
  <c r="AU162" i="34"/>
  <c r="AT162" i="34"/>
  <c r="AR162" i="34"/>
  <c r="AQ162" i="34"/>
  <c r="AO162" i="34"/>
  <c r="AN162" i="34"/>
  <c r="AL162" i="34"/>
  <c r="AK162" i="34"/>
  <c r="AJ162" i="34"/>
  <c r="AI162" i="34"/>
  <c r="AH162" i="34"/>
  <c r="AG162" i="34"/>
  <c r="BA161" i="34"/>
  <c r="AZ161" i="34"/>
  <c r="BB161" i="34" s="1"/>
  <c r="BC161" i="34" s="1"/>
  <c r="AY161" i="34"/>
  <c r="AV161" i="34"/>
  <c r="AS161" i="34"/>
  <c r="AP161" i="34"/>
  <c r="AM161" i="34"/>
  <c r="BA160" i="34"/>
  <c r="AZ160" i="34"/>
  <c r="BB160" i="34" s="1"/>
  <c r="BC160" i="34" s="1"/>
  <c r="AY160" i="34"/>
  <c r="AV160" i="34"/>
  <c r="AS160" i="34"/>
  <c r="AP160" i="34"/>
  <c r="AM160" i="34"/>
  <c r="BA159" i="34"/>
  <c r="BA162" i="34" s="1"/>
  <c r="AZ159" i="34"/>
  <c r="AY159" i="34"/>
  <c r="AV159" i="34"/>
  <c r="AS159" i="34"/>
  <c r="AP159" i="34"/>
  <c r="AM159" i="34"/>
  <c r="AX157" i="34"/>
  <c r="AW157" i="34"/>
  <c r="AU157" i="34"/>
  <c r="AT157" i="34"/>
  <c r="AR157" i="34"/>
  <c r="AQ157" i="34"/>
  <c r="AO157" i="34"/>
  <c r="AN157" i="34"/>
  <c r="AL157" i="34"/>
  <c r="AK157" i="34"/>
  <c r="AJ157" i="34"/>
  <c r="AI157" i="34"/>
  <c r="AH157" i="34"/>
  <c r="AG157" i="34"/>
  <c r="BA156" i="34"/>
  <c r="AZ156" i="34"/>
  <c r="BB156" i="34" s="1"/>
  <c r="BC156" i="34" s="1"/>
  <c r="AY156" i="34"/>
  <c r="AV156" i="34"/>
  <c r="AS156" i="34"/>
  <c r="AP156" i="34"/>
  <c r="AM156" i="34"/>
  <c r="BA155" i="34"/>
  <c r="AZ155" i="34"/>
  <c r="BB155" i="34" s="1"/>
  <c r="BC155" i="34" s="1"/>
  <c r="AY155" i="34"/>
  <c r="AV155" i="34"/>
  <c r="AS155" i="34"/>
  <c r="AP155" i="34"/>
  <c r="AM155" i="34"/>
  <c r="BA154" i="34"/>
  <c r="BA157" i="34" s="1"/>
  <c r="AZ154" i="34"/>
  <c r="AY154" i="34"/>
  <c r="AV154" i="34"/>
  <c r="AS154" i="34"/>
  <c r="AP154" i="34"/>
  <c r="AM154" i="34"/>
  <c r="AX152" i="34"/>
  <c r="AW152" i="34"/>
  <c r="AU152" i="34"/>
  <c r="AT152" i="34"/>
  <c r="AR152" i="34"/>
  <c r="AQ152" i="34"/>
  <c r="AO152" i="34"/>
  <c r="AN152" i="34"/>
  <c r="AL152" i="34"/>
  <c r="AK152" i="34"/>
  <c r="AJ152" i="34"/>
  <c r="AI152" i="34"/>
  <c r="AH152" i="34"/>
  <c r="AG152" i="34"/>
  <c r="BA151" i="34"/>
  <c r="AZ151" i="34"/>
  <c r="BB151" i="34" s="1"/>
  <c r="BC151" i="34" s="1"/>
  <c r="AY151" i="34"/>
  <c r="AV151" i="34"/>
  <c r="AS151" i="34"/>
  <c r="AP151" i="34"/>
  <c r="AM151" i="34"/>
  <c r="BA150" i="34"/>
  <c r="AZ150" i="34"/>
  <c r="BB150" i="34" s="1"/>
  <c r="BC150" i="34" s="1"/>
  <c r="AY150" i="34"/>
  <c r="AV150" i="34"/>
  <c r="AS150" i="34"/>
  <c r="AP150" i="34"/>
  <c r="AM150" i="34"/>
  <c r="BA149" i="34"/>
  <c r="BA152" i="34" s="1"/>
  <c r="AZ149" i="34"/>
  <c r="AY149" i="34"/>
  <c r="AV149" i="34"/>
  <c r="AS149" i="34"/>
  <c r="AP149" i="34"/>
  <c r="AM149" i="34"/>
  <c r="AX147" i="34"/>
  <c r="AW147" i="34"/>
  <c r="AU147" i="34"/>
  <c r="AT147" i="34"/>
  <c r="AR147" i="34"/>
  <c r="AQ147" i="34"/>
  <c r="AO147" i="34"/>
  <c r="AN147" i="34"/>
  <c r="AL147" i="34"/>
  <c r="AK147" i="34"/>
  <c r="AJ147" i="34"/>
  <c r="AI147" i="34"/>
  <c r="AH147" i="34"/>
  <c r="AG147" i="34"/>
  <c r="BA146" i="34"/>
  <c r="AZ146" i="34"/>
  <c r="BB146" i="34" s="1"/>
  <c r="BC146" i="34" s="1"/>
  <c r="AY146" i="34"/>
  <c r="AV146" i="34"/>
  <c r="AS146" i="34"/>
  <c r="AP146" i="34"/>
  <c r="AM146" i="34"/>
  <c r="BA145" i="34"/>
  <c r="AZ145" i="34"/>
  <c r="BB145" i="34" s="1"/>
  <c r="BC145" i="34" s="1"/>
  <c r="AY145" i="34"/>
  <c r="AV145" i="34"/>
  <c r="AS145" i="34"/>
  <c r="AP145" i="34"/>
  <c r="AM145" i="34"/>
  <c r="BA144" i="34"/>
  <c r="BA147" i="34" s="1"/>
  <c r="AZ144" i="34"/>
  <c r="AY144" i="34"/>
  <c r="AV144" i="34"/>
  <c r="AS144" i="34"/>
  <c r="AP144" i="34"/>
  <c r="AM144" i="34"/>
  <c r="AX142" i="34"/>
  <c r="AW142" i="34"/>
  <c r="AU142" i="34"/>
  <c r="AT142" i="34"/>
  <c r="AR142" i="34"/>
  <c r="AQ142" i="34"/>
  <c r="AO142" i="34"/>
  <c r="AN142" i="34"/>
  <c r="AL142" i="34"/>
  <c r="AK142" i="34"/>
  <c r="AJ142" i="34"/>
  <c r="AI142" i="34"/>
  <c r="AH142" i="34"/>
  <c r="AG142" i="34"/>
  <c r="BA141" i="34"/>
  <c r="AZ141" i="34"/>
  <c r="BB141" i="34" s="1"/>
  <c r="BC141" i="34" s="1"/>
  <c r="AY141" i="34"/>
  <c r="AV141" i="34"/>
  <c r="AS141" i="34"/>
  <c r="AP141" i="34"/>
  <c r="AM141" i="34"/>
  <c r="BA140" i="34"/>
  <c r="AZ140" i="34"/>
  <c r="BB140" i="34" s="1"/>
  <c r="BC140" i="34" s="1"/>
  <c r="AY140" i="34"/>
  <c r="AV140" i="34"/>
  <c r="AS140" i="34"/>
  <c r="AP140" i="34"/>
  <c r="AM140" i="34"/>
  <c r="BA139" i="34"/>
  <c r="BA142" i="34" s="1"/>
  <c r="AZ139" i="34"/>
  <c r="AY139" i="34"/>
  <c r="AV139" i="34"/>
  <c r="AS139" i="34"/>
  <c r="AP139" i="34"/>
  <c r="AM139" i="34"/>
  <c r="AX137" i="34"/>
  <c r="AW137" i="34"/>
  <c r="AU137" i="34"/>
  <c r="AT137" i="34"/>
  <c r="AR137" i="34"/>
  <c r="AQ137" i="34"/>
  <c r="AO137" i="34"/>
  <c r="AN137" i="34"/>
  <c r="AL137" i="34"/>
  <c r="AK137" i="34"/>
  <c r="AJ137" i="34"/>
  <c r="AI137" i="34"/>
  <c r="AH137" i="34"/>
  <c r="AG137" i="34"/>
  <c r="BA136" i="34"/>
  <c r="AZ136" i="34"/>
  <c r="BB136" i="34" s="1"/>
  <c r="BC136" i="34" s="1"/>
  <c r="AY136" i="34"/>
  <c r="AV136" i="34"/>
  <c r="AS136" i="34"/>
  <c r="AP136" i="34"/>
  <c r="AM136" i="34"/>
  <c r="BA135" i="34"/>
  <c r="AZ135" i="34"/>
  <c r="BB135" i="34" s="1"/>
  <c r="BC135" i="34" s="1"/>
  <c r="AY135" i="34"/>
  <c r="AV135" i="34"/>
  <c r="AS135" i="34"/>
  <c r="AP135" i="34"/>
  <c r="AM135" i="34"/>
  <c r="BA134" i="34"/>
  <c r="BA137" i="34" s="1"/>
  <c r="AZ134" i="34"/>
  <c r="AY134" i="34"/>
  <c r="AV134" i="34"/>
  <c r="AS134" i="34"/>
  <c r="AP134" i="34"/>
  <c r="AM134" i="34"/>
  <c r="AX132" i="34"/>
  <c r="AW132" i="34"/>
  <c r="AU132" i="34"/>
  <c r="AT132" i="34"/>
  <c r="AR132" i="34"/>
  <c r="AQ132" i="34"/>
  <c r="AO132" i="34"/>
  <c r="AN132" i="34"/>
  <c r="AL132" i="34"/>
  <c r="AK132" i="34"/>
  <c r="AJ132" i="34"/>
  <c r="AI132" i="34"/>
  <c r="AH132" i="34"/>
  <c r="AG132" i="34"/>
  <c r="BA131" i="34"/>
  <c r="AZ131" i="34"/>
  <c r="BB131" i="34" s="1"/>
  <c r="BC131" i="34" s="1"/>
  <c r="AY131" i="34"/>
  <c r="AV131" i="34"/>
  <c r="AS131" i="34"/>
  <c r="AP131" i="34"/>
  <c r="AM131" i="34"/>
  <c r="BA130" i="34"/>
  <c r="AZ130" i="34"/>
  <c r="BB130" i="34" s="1"/>
  <c r="BC130" i="34" s="1"/>
  <c r="AY130" i="34"/>
  <c r="AV130" i="34"/>
  <c r="AS130" i="34"/>
  <c r="AP130" i="34"/>
  <c r="AM130" i="34"/>
  <c r="BA129" i="34"/>
  <c r="BA132" i="34" s="1"/>
  <c r="AZ129" i="34"/>
  <c r="AY129" i="34"/>
  <c r="AV129" i="34"/>
  <c r="AS129" i="34"/>
  <c r="AP129" i="34"/>
  <c r="AM129" i="34"/>
  <c r="AX127" i="34"/>
  <c r="AW127" i="34"/>
  <c r="AU127" i="34"/>
  <c r="AT127" i="34"/>
  <c r="AR127" i="34"/>
  <c r="AQ127" i="34"/>
  <c r="AO127" i="34"/>
  <c r="AN127" i="34"/>
  <c r="AL127" i="34"/>
  <c r="AK127" i="34"/>
  <c r="AJ127" i="34"/>
  <c r="AI127" i="34"/>
  <c r="AH127" i="34"/>
  <c r="AG127" i="34"/>
  <c r="BA126" i="34"/>
  <c r="AZ126" i="34"/>
  <c r="BB126" i="34" s="1"/>
  <c r="BC126" i="34" s="1"/>
  <c r="AY126" i="34"/>
  <c r="AV126" i="34"/>
  <c r="AS126" i="34"/>
  <c r="AP126" i="34"/>
  <c r="AM126" i="34"/>
  <c r="BA125" i="34"/>
  <c r="AZ125" i="34"/>
  <c r="BB125" i="34" s="1"/>
  <c r="BC125" i="34" s="1"/>
  <c r="AY125" i="34"/>
  <c r="AV125" i="34"/>
  <c r="AS125" i="34"/>
  <c r="AP125" i="34"/>
  <c r="AM125" i="34"/>
  <c r="BA124" i="34"/>
  <c r="BA127" i="34" s="1"/>
  <c r="AZ124" i="34"/>
  <c r="AY124" i="34"/>
  <c r="AV124" i="34"/>
  <c r="AS124" i="34"/>
  <c r="AP124" i="34"/>
  <c r="AM124" i="34"/>
  <c r="AX122" i="34"/>
  <c r="AW122" i="34"/>
  <c r="AU122" i="34"/>
  <c r="AT122" i="34"/>
  <c r="AR122" i="34"/>
  <c r="AQ122" i="34"/>
  <c r="AO122" i="34"/>
  <c r="AN122" i="34"/>
  <c r="AL122" i="34"/>
  <c r="AK122" i="34"/>
  <c r="AJ122" i="34"/>
  <c r="AI122" i="34"/>
  <c r="AH122" i="34"/>
  <c r="AG122" i="34"/>
  <c r="BA121" i="34"/>
  <c r="AZ121" i="34"/>
  <c r="BB121" i="34" s="1"/>
  <c r="BC121" i="34" s="1"/>
  <c r="AY121" i="34"/>
  <c r="AV121" i="34"/>
  <c r="AS121" i="34"/>
  <c r="AP121" i="34"/>
  <c r="AM121" i="34"/>
  <c r="BA120" i="34"/>
  <c r="AZ120" i="34"/>
  <c r="BB120" i="34" s="1"/>
  <c r="BC120" i="34" s="1"/>
  <c r="AY120" i="34"/>
  <c r="AV120" i="34"/>
  <c r="AS120" i="34"/>
  <c r="AP120" i="34"/>
  <c r="AM120" i="34"/>
  <c r="BA119" i="34"/>
  <c r="BA122" i="34" s="1"/>
  <c r="AZ119" i="34"/>
  <c r="AY119" i="34"/>
  <c r="AV119" i="34"/>
  <c r="AS119" i="34"/>
  <c r="AP119" i="34"/>
  <c r="AM119" i="34"/>
  <c r="AX117" i="34"/>
  <c r="AW117" i="34"/>
  <c r="AU117" i="34"/>
  <c r="AT117" i="34"/>
  <c r="AR117" i="34"/>
  <c r="AQ117" i="34"/>
  <c r="AO117" i="34"/>
  <c r="AN117" i="34"/>
  <c r="AL117" i="34"/>
  <c r="AK117" i="34"/>
  <c r="AJ117" i="34"/>
  <c r="AI117" i="34"/>
  <c r="AH117" i="34"/>
  <c r="AG117" i="34"/>
  <c r="BA116" i="34"/>
  <c r="AZ116" i="34"/>
  <c r="BB116" i="34" s="1"/>
  <c r="BC116" i="34" s="1"/>
  <c r="AY116" i="34"/>
  <c r="AV116" i="34"/>
  <c r="AS116" i="34"/>
  <c r="AP116" i="34"/>
  <c r="AM116" i="34"/>
  <c r="BA115" i="34"/>
  <c r="AZ115" i="34"/>
  <c r="BB115" i="34" s="1"/>
  <c r="BC115" i="34" s="1"/>
  <c r="AY115" i="34"/>
  <c r="AV115" i="34"/>
  <c r="AS115" i="34"/>
  <c r="AP115" i="34"/>
  <c r="AM115" i="34"/>
  <c r="BA114" i="34"/>
  <c r="BA117" i="34" s="1"/>
  <c r="AZ114" i="34"/>
  <c r="AY114" i="34"/>
  <c r="AV114" i="34"/>
  <c r="AS114" i="34"/>
  <c r="AP114" i="34"/>
  <c r="AM114" i="34"/>
  <c r="AX112" i="34"/>
  <c r="AW112" i="34"/>
  <c r="AU112" i="34"/>
  <c r="AT112" i="34"/>
  <c r="AR112" i="34"/>
  <c r="AQ112" i="34"/>
  <c r="AO112" i="34"/>
  <c r="AN112" i="34"/>
  <c r="AL112" i="34"/>
  <c r="AK112" i="34"/>
  <c r="AJ112" i="34"/>
  <c r="AI112" i="34"/>
  <c r="AH112" i="34"/>
  <c r="AG112" i="34"/>
  <c r="BA111" i="34"/>
  <c r="AZ111" i="34"/>
  <c r="BB111" i="34" s="1"/>
  <c r="BC111" i="34" s="1"/>
  <c r="AY111" i="34"/>
  <c r="AV111" i="34"/>
  <c r="AS111" i="34"/>
  <c r="AP111" i="34"/>
  <c r="AM111" i="34"/>
  <c r="BA110" i="34"/>
  <c r="AZ110" i="34"/>
  <c r="BB110" i="34" s="1"/>
  <c r="BC110" i="34" s="1"/>
  <c r="AY110" i="34"/>
  <c r="AV110" i="34"/>
  <c r="AS110" i="34"/>
  <c r="AP110" i="34"/>
  <c r="AM110" i="34"/>
  <c r="BA109" i="34"/>
  <c r="BA112" i="34" s="1"/>
  <c r="AZ109" i="34"/>
  <c r="AY109" i="34"/>
  <c r="AV109" i="34"/>
  <c r="AS109" i="34"/>
  <c r="AP109" i="34"/>
  <c r="AM109" i="34"/>
  <c r="AX107" i="34"/>
  <c r="AW107" i="34"/>
  <c r="AU107" i="34"/>
  <c r="AT107" i="34"/>
  <c r="AR107" i="34"/>
  <c r="AQ107" i="34"/>
  <c r="AO107" i="34"/>
  <c r="AN107" i="34"/>
  <c r="AL107" i="34"/>
  <c r="AK107" i="34"/>
  <c r="AJ107" i="34"/>
  <c r="AI107" i="34"/>
  <c r="AH107" i="34"/>
  <c r="AG107" i="34"/>
  <c r="BA106" i="34"/>
  <c r="AZ106" i="34"/>
  <c r="BB106" i="34" s="1"/>
  <c r="BC106" i="34" s="1"/>
  <c r="AY106" i="34"/>
  <c r="AV106" i="34"/>
  <c r="AS106" i="34"/>
  <c r="AP106" i="34"/>
  <c r="AM106" i="34"/>
  <c r="BA105" i="34"/>
  <c r="AZ105" i="34"/>
  <c r="BB105" i="34" s="1"/>
  <c r="BC105" i="34" s="1"/>
  <c r="AY105" i="34"/>
  <c r="AV105" i="34"/>
  <c r="AS105" i="34"/>
  <c r="AP105" i="34"/>
  <c r="AM105" i="34"/>
  <c r="BA104" i="34"/>
  <c r="BA107" i="34" s="1"/>
  <c r="AZ104" i="34"/>
  <c r="AY104" i="34"/>
  <c r="AV104" i="34"/>
  <c r="AS104" i="34"/>
  <c r="AP104" i="34"/>
  <c r="AM104" i="34"/>
  <c r="X62" i="34"/>
  <c r="U62" i="34"/>
  <c r="S62" i="34"/>
  <c r="Q62" i="34"/>
  <c r="O62" i="34"/>
  <c r="L61" i="34"/>
  <c r="L60" i="34"/>
  <c r="L59" i="34"/>
  <c r="L58" i="34"/>
  <c r="L57" i="34"/>
  <c r="L56" i="34"/>
  <c r="L55" i="34"/>
  <c r="L54" i="34"/>
  <c r="L53" i="34"/>
  <c r="L52" i="34"/>
  <c r="L51" i="34"/>
  <c r="L50" i="34"/>
  <c r="L49" i="34"/>
  <c r="L48" i="34"/>
  <c r="L47" i="34"/>
  <c r="L46" i="34"/>
  <c r="L45" i="34"/>
  <c r="L44" i="34"/>
  <c r="L43" i="34"/>
  <c r="L42" i="34"/>
  <c r="L41" i="34"/>
  <c r="L63" i="34" s="1"/>
  <c r="L40" i="34"/>
  <c r="L39" i="34"/>
  <c r="L38" i="34"/>
  <c r="L37" i="34"/>
  <c r="L36" i="34"/>
  <c r="L35" i="34"/>
  <c r="M35" i="34" s="1"/>
  <c r="L34" i="34"/>
  <c r="M34" i="34" s="1"/>
  <c r="L33" i="34"/>
  <c r="L32" i="34"/>
  <c r="L31" i="34"/>
  <c r="X29" i="34"/>
  <c r="U29" i="34"/>
  <c r="S29" i="34"/>
  <c r="Q29" i="34"/>
  <c r="O29" i="34"/>
  <c r="L29" i="34"/>
  <c r="M29" i="34" s="1"/>
  <c r="X28" i="34"/>
  <c r="U28" i="34"/>
  <c r="S28" i="34"/>
  <c r="Q28" i="34"/>
  <c r="O28" i="34"/>
  <c r="L28" i="34"/>
  <c r="M28" i="34" s="1"/>
  <c r="L27" i="34"/>
  <c r="L26" i="34"/>
  <c r="L25" i="34"/>
  <c r="L24" i="34"/>
  <c r="L23" i="34"/>
  <c r="AX102" i="34"/>
  <c r="AW102" i="34"/>
  <c r="AU102" i="34"/>
  <c r="AT102" i="34"/>
  <c r="AR102" i="34"/>
  <c r="AQ102" i="34"/>
  <c r="AO102" i="34"/>
  <c r="AN102" i="34"/>
  <c r="AL102" i="34"/>
  <c r="AK102" i="34"/>
  <c r="AJ102" i="34"/>
  <c r="AI102" i="34"/>
  <c r="AH102" i="34"/>
  <c r="AG102" i="34"/>
  <c r="BA101" i="34"/>
  <c r="AZ101" i="34"/>
  <c r="BB101" i="34" s="1"/>
  <c r="BC101" i="34" s="1"/>
  <c r="AY101" i="34"/>
  <c r="AV101" i="34"/>
  <c r="AS101" i="34"/>
  <c r="AP101" i="34"/>
  <c r="AM101" i="34"/>
  <c r="BA100" i="34"/>
  <c r="AZ100" i="34"/>
  <c r="BB100" i="34" s="1"/>
  <c r="BC100" i="34" s="1"/>
  <c r="AY100" i="34"/>
  <c r="AV100" i="34"/>
  <c r="AS100" i="34"/>
  <c r="AP100" i="34"/>
  <c r="AM100" i="34"/>
  <c r="BA99" i="34"/>
  <c r="BA102" i="34" s="1"/>
  <c r="AZ99" i="34"/>
  <c r="AY99" i="34"/>
  <c r="AV99" i="34"/>
  <c r="AS99" i="34"/>
  <c r="AP99" i="34"/>
  <c r="AM99" i="34"/>
  <c r="AX97" i="34"/>
  <c r="AW97" i="34"/>
  <c r="AU97" i="34"/>
  <c r="AT97" i="34"/>
  <c r="AR97" i="34"/>
  <c r="AQ97" i="34"/>
  <c r="AO97" i="34"/>
  <c r="AN97" i="34"/>
  <c r="AL97" i="34"/>
  <c r="AK97" i="34"/>
  <c r="AJ97" i="34"/>
  <c r="AI97" i="34"/>
  <c r="AH97" i="34"/>
  <c r="AG97" i="34"/>
  <c r="BA96" i="34"/>
  <c r="AZ96" i="34"/>
  <c r="BB96" i="34" s="1"/>
  <c r="BC96" i="34" s="1"/>
  <c r="AY96" i="34"/>
  <c r="AV96" i="34"/>
  <c r="AS96" i="34"/>
  <c r="AP96" i="34"/>
  <c r="AM96" i="34"/>
  <c r="BA95" i="34"/>
  <c r="AZ95" i="34"/>
  <c r="BB95" i="34" s="1"/>
  <c r="BC95" i="34" s="1"/>
  <c r="AY95" i="34"/>
  <c r="AV95" i="34"/>
  <c r="AS95" i="34"/>
  <c r="AP95" i="34"/>
  <c r="AM95" i="34"/>
  <c r="BA94" i="34"/>
  <c r="BA97" i="34" s="1"/>
  <c r="AZ94" i="34"/>
  <c r="AY94" i="34"/>
  <c r="AV94" i="34"/>
  <c r="AS94" i="34"/>
  <c r="AP94" i="34"/>
  <c r="AM94" i="34"/>
  <c r="AX92" i="34"/>
  <c r="AW92" i="34"/>
  <c r="AU92" i="34"/>
  <c r="AT92" i="34"/>
  <c r="AR92" i="34"/>
  <c r="AQ92" i="34"/>
  <c r="AO92" i="34"/>
  <c r="AN92" i="34"/>
  <c r="AL92" i="34"/>
  <c r="AK92" i="34"/>
  <c r="AJ92" i="34"/>
  <c r="AI92" i="34"/>
  <c r="AH92" i="34"/>
  <c r="AG92" i="34"/>
  <c r="BA91" i="34"/>
  <c r="AZ91" i="34"/>
  <c r="BB91" i="34" s="1"/>
  <c r="BC91" i="34" s="1"/>
  <c r="AY91" i="34"/>
  <c r="AV91" i="34"/>
  <c r="AS91" i="34"/>
  <c r="AP91" i="34"/>
  <c r="AM91" i="34"/>
  <c r="BA90" i="34"/>
  <c r="AZ90" i="34"/>
  <c r="BB90" i="34" s="1"/>
  <c r="BC90" i="34" s="1"/>
  <c r="AY90" i="34"/>
  <c r="AV90" i="34"/>
  <c r="AS90" i="34"/>
  <c r="AP90" i="34"/>
  <c r="AM90" i="34"/>
  <c r="BA89" i="34"/>
  <c r="BA92" i="34" s="1"/>
  <c r="AZ89" i="34"/>
  <c r="AY89" i="34"/>
  <c r="AV89" i="34"/>
  <c r="AS89" i="34"/>
  <c r="AP89" i="34"/>
  <c r="AM89" i="34"/>
  <c r="AX87" i="34"/>
  <c r="AW87" i="34"/>
  <c r="AU87" i="34"/>
  <c r="AT87" i="34"/>
  <c r="AR87" i="34"/>
  <c r="AQ87" i="34"/>
  <c r="AO87" i="34"/>
  <c r="AN87" i="34"/>
  <c r="AL87" i="34"/>
  <c r="AK87" i="34"/>
  <c r="AJ87" i="34"/>
  <c r="AI87" i="34"/>
  <c r="AH87" i="34"/>
  <c r="AG87" i="34"/>
  <c r="BA86" i="34"/>
  <c r="AZ86" i="34"/>
  <c r="BB86" i="34" s="1"/>
  <c r="BC86" i="34" s="1"/>
  <c r="AY86" i="34"/>
  <c r="AV86" i="34"/>
  <c r="AS86" i="34"/>
  <c r="AP86" i="34"/>
  <c r="AM86" i="34"/>
  <c r="BA85" i="34"/>
  <c r="AZ85" i="34"/>
  <c r="BB85" i="34" s="1"/>
  <c r="BC85" i="34" s="1"/>
  <c r="AY85" i="34"/>
  <c r="AV85" i="34"/>
  <c r="AS85" i="34"/>
  <c r="AP85" i="34"/>
  <c r="AM85" i="34"/>
  <c r="BA84" i="34"/>
  <c r="BA87" i="34" s="1"/>
  <c r="AZ84" i="34"/>
  <c r="AY84" i="34"/>
  <c r="AV84" i="34"/>
  <c r="AS84" i="34"/>
  <c r="AP84" i="34"/>
  <c r="AM84" i="34"/>
  <c r="AX82" i="34"/>
  <c r="AW82" i="34"/>
  <c r="AU82" i="34"/>
  <c r="AT82" i="34"/>
  <c r="AR82" i="34"/>
  <c r="AQ82" i="34"/>
  <c r="AO82" i="34"/>
  <c r="AN82" i="34"/>
  <c r="AL82" i="34"/>
  <c r="AK82" i="34"/>
  <c r="AJ82" i="34"/>
  <c r="AI82" i="34"/>
  <c r="AH82" i="34"/>
  <c r="AG82" i="34"/>
  <c r="BA81" i="34"/>
  <c r="AZ81" i="34"/>
  <c r="BB81" i="34" s="1"/>
  <c r="BC81" i="34" s="1"/>
  <c r="AY81" i="34"/>
  <c r="AV81" i="34"/>
  <c r="AS81" i="34"/>
  <c r="AP81" i="34"/>
  <c r="AM81" i="34"/>
  <c r="BA80" i="34"/>
  <c r="AZ80" i="34"/>
  <c r="BB80" i="34" s="1"/>
  <c r="BC80" i="34" s="1"/>
  <c r="AY80" i="34"/>
  <c r="AV80" i="34"/>
  <c r="AS80" i="34"/>
  <c r="AP80" i="34"/>
  <c r="AM80" i="34"/>
  <c r="BA79" i="34"/>
  <c r="BA82" i="34" s="1"/>
  <c r="AZ79" i="34"/>
  <c r="AY79" i="34"/>
  <c r="AV79" i="34"/>
  <c r="AS79" i="34"/>
  <c r="AP79" i="34"/>
  <c r="AM79" i="34"/>
  <c r="AX77" i="34"/>
  <c r="AW77" i="34"/>
  <c r="AU77" i="34"/>
  <c r="AT77" i="34"/>
  <c r="AR77" i="34"/>
  <c r="AQ77" i="34"/>
  <c r="AO77" i="34"/>
  <c r="AN77" i="34"/>
  <c r="AL77" i="34"/>
  <c r="AK77" i="34"/>
  <c r="AJ77" i="34"/>
  <c r="AI77" i="34"/>
  <c r="AH77" i="34"/>
  <c r="AG77" i="34"/>
  <c r="BA76" i="34"/>
  <c r="AZ76" i="34"/>
  <c r="BB76" i="34" s="1"/>
  <c r="BC76" i="34" s="1"/>
  <c r="AY76" i="34"/>
  <c r="AV76" i="34"/>
  <c r="AS76" i="34"/>
  <c r="AP76" i="34"/>
  <c r="AM76" i="34"/>
  <c r="BA75" i="34"/>
  <c r="AZ75" i="34"/>
  <c r="BB75" i="34" s="1"/>
  <c r="BC75" i="34" s="1"/>
  <c r="AY75" i="34"/>
  <c r="AV75" i="34"/>
  <c r="AS75" i="34"/>
  <c r="AP75" i="34"/>
  <c r="AM75" i="34"/>
  <c r="BA74" i="34"/>
  <c r="BA77" i="34" s="1"/>
  <c r="AZ74" i="34"/>
  <c r="AY74" i="34"/>
  <c r="AV74" i="34"/>
  <c r="AS74" i="34"/>
  <c r="AP74" i="34"/>
  <c r="AM74" i="34"/>
  <c r="AX72" i="34"/>
  <c r="AW72" i="34"/>
  <c r="AU72" i="34"/>
  <c r="AT72" i="34"/>
  <c r="AR72" i="34"/>
  <c r="AQ72" i="34"/>
  <c r="AO72" i="34"/>
  <c r="AN72" i="34"/>
  <c r="AL72" i="34"/>
  <c r="AK72" i="34"/>
  <c r="AJ72" i="34"/>
  <c r="AI72" i="34"/>
  <c r="AH72" i="34"/>
  <c r="AG72" i="34"/>
  <c r="BA71" i="34"/>
  <c r="AZ71" i="34"/>
  <c r="BB71" i="34" s="1"/>
  <c r="BC71" i="34" s="1"/>
  <c r="AY71" i="34"/>
  <c r="AV71" i="34"/>
  <c r="AS71" i="34"/>
  <c r="AP71" i="34"/>
  <c r="AM71" i="34"/>
  <c r="BA70" i="34"/>
  <c r="AZ70" i="34"/>
  <c r="BB70" i="34" s="1"/>
  <c r="BC70" i="34" s="1"/>
  <c r="AY70" i="34"/>
  <c r="AV70" i="34"/>
  <c r="AS70" i="34"/>
  <c r="AP70" i="34"/>
  <c r="AM70" i="34"/>
  <c r="BA69" i="34"/>
  <c r="BA72" i="34" s="1"/>
  <c r="AZ69" i="34"/>
  <c r="AY69" i="34"/>
  <c r="AV69" i="34"/>
  <c r="AS69" i="34"/>
  <c r="AP69" i="34"/>
  <c r="AM69" i="34"/>
  <c r="AX67" i="34"/>
  <c r="AW67" i="34"/>
  <c r="AU67" i="34"/>
  <c r="AT67" i="34"/>
  <c r="AR67" i="34"/>
  <c r="AQ67" i="34"/>
  <c r="AO67" i="34"/>
  <c r="AN67" i="34"/>
  <c r="AL67" i="34"/>
  <c r="AK67" i="34"/>
  <c r="AJ67" i="34"/>
  <c r="AI67" i="34"/>
  <c r="AH67" i="34"/>
  <c r="AG67" i="34"/>
  <c r="BA66" i="34"/>
  <c r="AZ66" i="34"/>
  <c r="BB66" i="34" s="1"/>
  <c r="BC66" i="34" s="1"/>
  <c r="AY66" i="34"/>
  <c r="AV66" i="34"/>
  <c r="AS66" i="34"/>
  <c r="AP66" i="34"/>
  <c r="AM66" i="34"/>
  <c r="BA65" i="34"/>
  <c r="AZ65" i="34"/>
  <c r="BB65" i="34" s="1"/>
  <c r="BC65" i="34" s="1"/>
  <c r="AY65" i="34"/>
  <c r="AV65" i="34"/>
  <c r="AS65" i="34"/>
  <c r="AP65" i="34"/>
  <c r="AM65" i="34"/>
  <c r="BA64" i="34"/>
  <c r="BA67" i="34" s="1"/>
  <c r="AZ64" i="34"/>
  <c r="AY64" i="34"/>
  <c r="AV64" i="34"/>
  <c r="AS64" i="34"/>
  <c r="AP64" i="34"/>
  <c r="AM64" i="34"/>
  <c r="AX62" i="34"/>
  <c r="AW62" i="34"/>
  <c r="AU62" i="34"/>
  <c r="AT62" i="34"/>
  <c r="AR62" i="34"/>
  <c r="AQ62" i="34"/>
  <c r="AO62" i="34"/>
  <c r="AN62" i="34"/>
  <c r="AL62" i="34"/>
  <c r="AK62" i="34"/>
  <c r="AJ62" i="34"/>
  <c r="AI62" i="34"/>
  <c r="AH62" i="34"/>
  <c r="AG62" i="34"/>
  <c r="BA61" i="34"/>
  <c r="AZ61" i="34"/>
  <c r="BB61" i="34" s="1"/>
  <c r="BC61" i="34" s="1"/>
  <c r="AY61" i="34"/>
  <c r="AV61" i="34"/>
  <c r="AS61" i="34"/>
  <c r="AP61" i="34"/>
  <c r="AM61" i="34"/>
  <c r="BA60" i="34"/>
  <c r="AZ60" i="34"/>
  <c r="BB60" i="34" s="1"/>
  <c r="BC60" i="34" s="1"/>
  <c r="AY60" i="34"/>
  <c r="AV60" i="34"/>
  <c r="AS60" i="34"/>
  <c r="AP60" i="34"/>
  <c r="AM60" i="34"/>
  <c r="BA59" i="34"/>
  <c r="BA62" i="34" s="1"/>
  <c r="AZ59" i="34"/>
  <c r="AY59" i="34"/>
  <c r="AV59" i="34"/>
  <c r="AS59" i="34"/>
  <c r="AP59" i="34"/>
  <c r="AM59" i="34"/>
  <c r="AX57" i="34"/>
  <c r="AW57" i="34"/>
  <c r="AU57" i="34"/>
  <c r="AT57" i="34"/>
  <c r="AR57" i="34"/>
  <c r="AQ57" i="34"/>
  <c r="AO57" i="34"/>
  <c r="AN57" i="34"/>
  <c r="AL57" i="34"/>
  <c r="AK57" i="34"/>
  <c r="AJ57" i="34"/>
  <c r="AI57" i="34"/>
  <c r="AH57" i="34"/>
  <c r="AG57" i="34"/>
  <c r="BA56" i="34"/>
  <c r="AZ56" i="34"/>
  <c r="BB56" i="34" s="1"/>
  <c r="BC56" i="34" s="1"/>
  <c r="AY56" i="34"/>
  <c r="AV56" i="34"/>
  <c r="AS56" i="34"/>
  <c r="AP56" i="34"/>
  <c r="AM56" i="34"/>
  <c r="BA55" i="34"/>
  <c r="AZ55" i="34"/>
  <c r="BB55" i="34" s="1"/>
  <c r="BC55" i="34" s="1"/>
  <c r="AY55" i="34"/>
  <c r="AV55" i="34"/>
  <c r="AS55" i="34"/>
  <c r="AP55" i="34"/>
  <c r="AM55" i="34"/>
  <c r="BA54" i="34"/>
  <c r="BA57" i="34" s="1"/>
  <c r="AZ54" i="34"/>
  <c r="AY54" i="34"/>
  <c r="AV54" i="34"/>
  <c r="AS54" i="34"/>
  <c r="AP54" i="34"/>
  <c r="AM54" i="34"/>
  <c r="AX52" i="34"/>
  <c r="AW52" i="34"/>
  <c r="AU52" i="34"/>
  <c r="AT52" i="34"/>
  <c r="AR52" i="34"/>
  <c r="AQ52" i="34"/>
  <c r="AO52" i="34"/>
  <c r="AN52" i="34"/>
  <c r="AL52" i="34"/>
  <c r="AK52" i="34"/>
  <c r="AJ52" i="34"/>
  <c r="AI52" i="34"/>
  <c r="AH52" i="34"/>
  <c r="AG52" i="34"/>
  <c r="BA51" i="34"/>
  <c r="AZ51" i="34"/>
  <c r="BB51" i="34" s="1"/>
  <c r="BC51" i="34" s="1"/>
  <c r="AY51" i="34"/>
  <c r="AV51" i="34"/>
  <c r="AS51" i="34"/>
  <c r="AP51" i="34"/>
  <c r="AM51" i="34"/>
  <c r="BA50" i="34"/>
  <c r="AZ50" i="34"/>
  <c r="BB50" i="34" s="1"/>
  <c r="BC50" i="34" s="1"/>
  <c r="AY50" i="34"/>
  <c r="AV50" i="34"/>
  <c r="AS50" i="34"/>
  <c r="AP50" i="34"/>
  <c r="AM50" i="34"/>
  <c r="BA49" i="34"/>
  <c r="BA52" i="34" s="1"/>
  <c r="AZ49" i="34"/>
  <c r="AY49" i="34"/>
  <c r="AV49" i="34"/>
  <c r="AS49" i="34"/>
  <c r="AP49" i="34"/>
  <c r="AM49" i="34"/>
  <c r="AX47" i="34"/>
  <c r="AW47" i="34"/>
  <c r="AU47" i="34"/>
  <c r="AT47" i="34"/>
  <c r="AR47" i="34"/>
  <c r="AQ47" i="34"/>
  <c r="AO47" i="34"/>
  <c r="AN47" i="34"/>
  <c r="AL47" i="34"/>
  <c r="AK47" i="34"/>
  <c r="AJ47" i="34"/>
  <c r="L30" i="34" s="1"/>
  <c r="AI47" i="34"/>
  <c r="AH47" i="34"/>
  <c r="AG47" i="34"/>
  <c r="BA46" i="34"/>
  <c r="AZ46" i="34"/>
  <c r="BB46" i="34" s="1"/>
  <c r="BC46" i="34" s="1"/>
  <c r="AY46" i="34"/>
  <c r="AV46" i="34"/>
  <c r="AS46" i="34"/>
  <c r="AP46" i="34"/>
  <c r="AM46" i="34"/>
  <c r="BA45" i="34"/>
  <c r="AZ45" i="34"/>
  <c r="BB45" i="34" s="1"/>
  <c r="BC45" i="34" s="1"/>
  <c r="AY45" i="34"/>
  <c r="AV45" i="34"/>
  <c r="AS45" i="34"/>
  <c r="AP45" i="34"/>
  <c r="AM45" i="34"/>
  <c r="BA44" i="34"/>
  <c r="BA47" i="34" s="1"/>
  <c r="AZ44" i="34"/>
  <c r="AY44" i="34"/>
  <c r="AV44" i="34"/>
  <c r="AS44" i="34"/>
  <c r="AP44" i="34"/>
  <c r="AM44" i="34"/>
  <c r="AX42" i="34"/>
  <c r="AW42" i="34"/>
  <c r="AU42" i="34"/>
  <c r="AT42" i="34"/>
  <c r="AR42" i="34"/>
  <c r="AQ42" i="34"/>
  <c r="AO42" i="34"/>
  <c r="AN42" i="34"/>
  <c r="AL42" i="34"/>
  <c r="AK42" i="34"/>
  <c r="AJ42" i="34"/>
  <c r="AI42" i="34"/>
  <c r="AH42" i="34"/>
  <c r="AG42" i="34"/>
  <c r="BA41" i="34"/>
  <c r="AZ41" i="34"/>
  <c r="BB41" i="34" s="1"/>
  <c r="BC41" i="34" s="1"/>
  <c r="AY41" i="34"/>
  <c r="AV41" i="34"/>
  <c r="AS41" i="34"/>
  <c r="AP41" i="34"/>
  <c r="AM41" i="34"/>
  <c r="BA40" i="34"/>
  <c r="AZ40" i="34"/>
  <c r="BB40" i="34" s="1"/>
  <c r="BC40" i="34" s="1"/>
  <c r="AY40" i="34"/>
  <c r="AV40" i="34"/>
  <c r="AS40" i="34"/>
  <c r="AP40" i="34"/>
  <c r="AM40" i="34"/>
  <c r="BA39" i="34"/>
  <c r="BA42" i="34" s="1"/>
  <c r="AZ39" i="34"/>
  <c r="AY39" i="34"/>
  <c r="AV39" i="34"/>
  <c r="AS39" i="34"/>
  <c r="AP39" i="34"/>
  <c r="AM39" i="34"/>
  <c r="AX37" i="34"/>
  <c r="AW37" i="34"/>
  <c r="AU37" i="34"/>
  <c r="AT37" i="34"/>
  <c r="AR37" i="34"/>
  <c r="AQ37" i="34"/>
  <c r="AO37" i="34"/>
  <c r="AN37" i="34"/>
  <c r="AL37" i="34"/>
  <c r="AK37" i="34"/>
  <c r="AJ37" i="34"/>
  <c r="AI37" i="34"/>
  <c r="AH37" i="34"/>
  <c r="AG37" i="34"/>
  <c r="BA36" i="34"/>
  <c r="AZ36" i="34"/>
  <c r="BB36" i="34" s="1"/>
  <c r="BC36" i="34" s="1"/>
  <c r="AY36" i="34"/>
  <c r="AV36" i="34"/>
  <c r="AS36" i="34"/>
  <c r="AP36" i="34"/>
  <c r="AM36" i="34"/>
  <c r="BA35" i="34"/>
  <c r="AZ35" i="34"/>
  <c r="BB35" i="34" s="1"/>
  <c r="BC35" i="34" s="1"/>
  <c r="AY35" i="34"/>
  <c r="AV35" i="34"/>
  <c r="AS35" i="34"/>
  <c r="AP35" i="34"/>
  <c r="AM35" i="34"/>
  <c r="BA34" i="34"/>
  <c r="BA37" i="34" s="1"/>
  <c r="AZ34" i="34"/>
  <c r="AY34" i="34"/>
  <c r="AV34" i="34"/>
  <c r="AS34" i="34"/>
  <c r="AP34" i="34"/>
  <c r="AM34" i="34"/>
  <c r="AX32" i="34"/>
  <c r="AW32" i="34"/>
  <c r="AU32" i="34"/>
  <c r="AT32" i="34"/>
  <c r="AR32" i="34"/>
  <c r="AQ32" i="34"/>
  <c r="AO32" i="34"/>
  <c r="AN32" i="34"/>
  <c r="AL32" i="34"/>
  <c r="AK32" i="34"/>
  <c r="AJ32" i="34"/>
  <c r="AI32" i="34"/>
  <c r="AH32" i="34"/>
  <c r="AG32" i="34"/>
  <c r="BA31" i="34"/>
  <c r="AZ31" i="34"/>
  <c r="BB31" i="34" s="1"/>
  <c r="BC31" i="34" s="1"/>
  <c r="AY31" i="34"/>
  <c r="AV31" i="34"/>
  <c r="AS31" i="34"/>
  <c r="AP31" i="34"/>
  <c r="AM31" i="34"/>
  <c r="BA30" i="34"/>
  <c r="AZ30" i="34"/>
  <c r="BB30" i="34" s="1"/>
  <c r="BC30" i="34" s="1"/>
  <c r="AY30" i="34"/>
  <c r="AV30" i="34"/>
  <c r="AS30" i="34"/>
  <c r="AP30" i="34"/>
  <c r="AM30" i="34"/>
  <c r="BA29" i="34"/>
  <c r="BA32" i="34" s="1"/>
  <c r="AZ29" i="34"/>
  <c r="AY29" i="34"/>
  <c r="AV29" i="34"/>
  <c r="AS29" i="34"/>
  <c r="AP29" i="34"/>
  <c r="AM29" i="34"/>
  <c r="AX27" i="34"/>
  <c r="AW27" i="34"/>
  <c r="AU27" i="34"/>
  <c r="AT27" i="34"/>
  <c r="AR27" i="34"/>
  <c r="AQ27" i="34"/>
  <c r="AO27" i="34"/>
  <c r="AN27" i="34"/>
  <c r="AL27" i="34"/>
  <c r="AK27" i="34"/>
  <c r="AJ27" i="34"/>
  <c r="AI27" i="34"/>
  <c r="AH27" i="34"/>
  <c r="AG27" i="34"/>
  <c r="BA26" i="34"/>
  <c r="AZ26" i="34"/>
  <c r="BB26" i="34" s="1"/>
  <c r="BC26" i="34" s="1"/>
  <c r="AY26" i="34"/>
  <c r="AV26" i="34"/>
  <c r="AS26" i="34"/>
  <c r="AP26" i="34"/>
  <c r="AM26" i="34"/>
  <c r="BA25" i="34"/>
  <c r="AZ25" i="34"/>
  <c r="BB25" i="34" s="1"/>
  <c r="BC25" i="34" s="1"/>
  <c r="AY25" i="34"/>
  <c r="AV25" i="34"/>
  <c r="AS25" i="34"/>
  <c r="AP25" i="34"/>
  <c r="AM25" i="34"/>
  <c r="BA24" i="34"/>
  <c r="BA27" i="34" s="1"/>
  <c r="AZ24" i="34"/>
  <c r="AY24" i="34"/>
  <c r="AV24" i="34"/>
  <c r="AS24" i="34"/>
  <c r="AP24" i="34"/>
  <c r="AM24" i="34"/>
  <c r="AX22" i="34"/>
  <c r="AW22" i="34"/>
  <c r="AU22" i="34"/>
  <c r="AT22" i="34"/>
  <c r="AR22" i="34"/>
  <c r="AQ22" i="34"/>
  <c r="AO22" i="34"/>
  <c r="AN22" i="34"/>
  <c r="AL22" i="34"/>
  <c r="AK22" i="34"/>
  <c r="AJ22" i="34"/>
  <c r="AI22" i="34"/>
  <c r="AH22" i="34"/>
  <c r="AG22" i="34"/>
  <c r="U22" i="34"/>
  <c r="S22" i="34"/>
  <c r="P22" i="34"/>
  <c r="Q22" i="34" s="1"/>
  <c r="N22" i="34"/>
  <c r="O22" i="34" s="1"/>
  <c r="L22" i="34"/>
  <c r="F22" i="34"/>
  <c r="E22" i="34"/>
  <c r="BA21" i="34"/>
  <c r="AZ21" i="34"/>
  <c r="BB21" i="34" s="1"/>
  <c r="BC21" i="34" s="1"/>
  <c r="AY21" i="34"/>
  <c r="AV21" i="34"/>
  <c r="AS21" i="34"/>
  <c r="AP21" i="34"/>
  <c r="AM21" i="34"/>
  <c r="P21" i="34"/>
  <c r="N21" i="34"/>
  <c r="L21" i="34"/>
  <c r="F21" i="34"/>
  <c r="E21" i="34"/>
  <c r="BA20" i="34"/>
  <c r="AZ20" i="34"/>
  <c r="BB20" i="34" s="1"/>
  <c r="BC20" i="34" s="1"/>
  <c r="AY20" i="34"/>
  <c r="AV20" i="34"/>
  <c r="AS20" i="34"/>
  <c r="AP20" i="34"/>
  <c r="AM20" i="34"/>
  <c r="P20" i="34"/>
  <c r="N20" i="34"/>
  <c r="L20" i="34"/>
  <c r="F20" i="34"/>
  <c r="E20" i="34"/>
  <c r="BA19" i="34"/>
  <c r="BA22" i="34" s="1"/>
  <c r="AZ19" i="34"/>
  <c r="AY19" i="34"/>
  <c r="AV19" i="34"/>
  <c r="AS19" i="34"/>
  <c r="AP19" i="34"/>
  <c r="AM19" i="34"/>
  <c r="P19" i="34"/>
  <c r="N19" i="34"/>
  <c r="L19" i="34"/>
  <c r="F19" i="34"/>
  <c r="E19" i="34"/>
  <c r="P18" i="34"/>
  <c r="N18" i="34"/>
  <c r="L18" i="34"/>
  <c r="F18" i="34"/>
  <c r="E18" i="34"/>
  <c r="AX17" i="34"/>
  <c r="AW17" i="34"/>
  <c r="AU17" i="34"/>
  <c r="AT17" i="34"/>
  <c r="AR17" i="34"/>
  <c r="AQ17" i="34"/>
  <c r="AO17" i="34"/>
  <c r="AN17" i="34"/>
  <c r="AL17" i="34"/>
  <c r="AK17" i="34"/>
  <c r="AJ17" i="34"/>
  <c r="AI17" i="34"/>
  <c r="AH17" i="34"/>
  <c r="AG17" i="34"/>
  <c r="P17" i="34"/>
  <c r="N17" i="34"/>
  <c r="L17" i="34"/>
  <c r="F17" i="34"/>
  <c r="E17" i="34"/>
  <c r="BA16" i="34"/>
  <c r="AZ16" i="34"/>
  <c r="BB16" i="34" s="1"/>
  <c r="BC16" i="34" s="1"/>
  <c r="AY16" i="34"/>
  <c r="AV16" i="34"/>
  <c r="AS16" i="34"/>
  <c r="AP16" i="34"/>
  <c r="AM16" i="34"/>
  <c r="P16" i="34"/>
  <c r="N16" i="34"/>
  <c r="L16" i="34"/>
  <c r="F16" i="34"/>
  <c r="E16" i="34"/>
  <c r="BA15" i="34"/>
  <c r="AZ15" i="34"/>
  <c r="BB15" i="34" s="1"/>
  <c r="BC15" i="34" s="1"/>
  <c r="AY15" i="34"/>
  <c r="AV15" i="34"/>
  <c r="AS15" i="34"/>
  <c r="AP15" i="34"/>
  <c r="AM15" i="34"/>
  <c r="P15" i="34"/>
  <c r="N15" i="34"/>
  <c r="L15" i="34"/>
  <c r="F15" i="34"/>
  <c r="E15" i="34"/>
  <c r="BA14" i="34"/>
  <c r="BA17" i="34" s="1"/>
  <c r="AZ14" i="34"/>
  <c r="AY14" i="34"/>
  <c r="AV14" i="34"/>
  <c r="AS14" i="34"/>
  <c r="AP14" i="34"/>
  <c r="AM14" i="34"/>
  <c r="P14" i="34"/>
  <c r="N14" i="34"/>
  <c r="L14" i="34"/>
  <c r="F14" i="34"/>
  <c r="E14" i="34"/>
  <c r="P13" i="34"/>
  <c r="N13" i="34"/>
  <c r="L13" i="34"/>
  <c r="F13" i="34"/>
  <c r="E13" i="34"/>
  <c r="AX12" i="34"/>
  <c r="AW12" i="34"/>
  <c r="AU12" i="34"/>
  <c r="AT12" i="34"/>
  <c r="AR12" i="34"/>
  <c r="AQ12" i="34"/>
  <c r="AO12" i="34"/>
  <c r="AN12" i="34"/>
  <c r="AL12" i="34"/>
  <c r="AK12" i="34"/>
  <c r="AJ12" i="34"/>
  <c r="AI12" i="34"/>
  <c r="AH12" i="34"/>
  <c r="AG12" i="34"/>
  <c r="P12" i="34"/>
  <c r="N12" i="34"/>
  <c r="L12" i="34"/>
  <c r="F12" i="34"/>
  <c r="E12" i="34"/>
  <c r="BA11" i="34"/>
  <c r="AZ11" i="34"/>
  <c r="BB11" i="34" s="1"/>
  <c r="BC11" i="34" s="1"/>
  <c r="AY11" i="34"/>
  <c r="AV11" i="34"/>
  <c r="AS11" i="34"/>
  <c r="AP11" i="34"/>
  <c r="AM11" i="34"/>
  <c r="P11" i="34"/>
  <c r="N11" i="34"/>
  <c r="L11" i="34"/>
  <c r="F11" i="34"/>
  <c r="E11" i="34"/>
  <c r="BA10" i="34"/>
  <c r="AZ10" i="34"/>
  <c r="BB10" i="34" s="1"/>
  <c r="BC10" i="34" s="1"/>
  <c r="AY10" i="34"/>
  <c r="AV10" i="34"/>
  <c r="AS10" i="34"/>
  <c r="AP10" i="34"/>
  <c r="AM10" i="34"/>
  <c r="P10" i="34"/>
  <c r="N10" i="34"/>
  <c r="L10" i="34"/>
  <c r="F10" i="34"/>
  <c r="E10" i="34"/>
  <c r="BA9" i="34"/>
  <c r="BA12" i="34" s="1"/>
  <c r="AZ9" i="34"/>
  <c r="AY9" i="34"/>
  <c r="AV9" i="34"/>
  <c r="AS9" i="34"/>
  <c r="AP9" i="34"/>
  <c r="AM9" i="34"/>
  <c r="P9" i="34"/>
  <c r="N9" i="34"/>
  <c r="L9" i="34"/>
  <c r="M9" i="34" s="1"/>
  <c r="F9" i="34"/>
  <c r="P8" i="34"/>
  <c r="N8" i="34"/>
  <c r="L8" i="34"/>
  <c r="F8" i="34"/>
  <c r="E8" i="34"/>
  <c r="AX7" i="34"/>
  <c r="AW7" i="34"/>
  <c r="AU7" i="34"/>
  <c r="AT7" i="34"/>
  <c r="AR7" i="34"/>
  <c r="AQ7" i="34"/>
  <c r="AO7" i="34"/>
  <c r="AN7" i="34"/>
  <c r="AL7" i="34"/>
  <c r="AK7" i="34"/>
  <c r="AJ7" i="34"/>
  <c r="AI7" i="34"/>
  <c r="AH7" i="34"/>
  <c r="AG7" i="34"/>
  <c r="P7" i="34"/>
  <c r="N7" i="34"/>
  <c r="L7" i="34"/>
  <c r="F7" i="34"/>
  <c r="E7" i="34"/>
  <c r="BA6" i="34"/>
  <c r="AZ6" i="34"/>
  <c r="BB6" i="34" s="1"/>
  <c r="BC6" i="34" s="1"/>
  <c r="AY6" i="34"/>
  <c r="AV6" i="34"/>
  <c r="AS6" i="34"/>
  <c r="AP6" i="34"/>
  <c r="AM6" i="34"/>
  <c r="P6" i="34"/>
  <c r="N6" i="34"/>
  <c r="L6" i="34"/>
  <c r="F6" i="34"/>
  <c r="E6" i="34"/>
  <c r="BA5" i="34"/>
  <c r="AZ5" i="34"/>
  <c r="BB5" i="34" s="1"/>
  <c r="BC5" i="34" s="1"/>
  <c r="AY5" i="34"/>
  <c r="AV5" i="34"/>
  <c r="AS5" i="34"/>
  <c r="AP5" i="34"/>
  <c r="AM5" i="34"/>
  <c r="P5" i="34"/>
  <c r="N5" i="34"/>
  <c r="L5" i="34"/>
  <c r="F5" i="34"/>
  <c r="E5" i="34"/>
  <c r="BA4" i="34"/>
  <c r="BA7" i="34" s="1"/>
  <c r="AZ4" i="34"/>
  <c r="AY4" i="34"/>
  <c r="AV4" i="34"/>
  <c r="AS4" i="34"/>
  <c r="AP4" i="34"/>
  <c r="AM4" i="34"/>
  <c r="P4" i="34"/>
  <c r="N4" i="34"/>
  <c r="L4" i="34"/>
  <c r="F4" i="34"/>
  <c r="E4" i="34"/>
  <c r="P3" i="34"/>
  <c r="N3" i="34"/>
  <c r="M22" i="34"/>
  <c r="F3" i="34"/>
  <c r="E3" i="34"/>
  <c r="V22" i="29"/>
  <c r="V21" i="29"/>
  <c r="V20" i="29"/>
  <c r="V19" i="29"/>
  <c r="V18" i="29"/>
  <c r="V17" i="29"/>
  <c r="V16" i="29"/>
  <c r="V15" i="29"/>
  <c r="V14" i="29"/>
  <c r="V13" i="29"/>
  <c r="V12" i="29"/>
  <c r="V11" i="29"/>
  <c r="V10" i="29"/>
  <c r="V9" i="29"/>
  <c r="V8" i="29"/>
  <c r="W22" i="29"/>
  <c r="W21" i="29"/>
  <c r="W20" i="29"/>
  <c r="W19" i="29"/>
  <c r="W18" i="29"/>
  <c r="W17" i="29"/>
  <c r="W16" i="29"/>
  <c r="W15" i="29"/>
  <c r="W14" i="29"/>
  <c r="W13" i="29"/>
  <c r="W12" i="29"/>
  <c r="W11" i="29"/>
  <c r="W10" i="29"/>
  <c r="W9" i="29"/>
  <c r="W8" i="29"/>
  <c r="W7" i="29"/>
  <c r="AV45" i="33"/>
  <c r="AX107" i="33"/>
  <c r="AW107" i="33"/>
  <c r="AU107" i="33"/>
  <c r="AT107" i="33"/>
  <c r="AR107" i="33"/>
  <c r="AQ107" i="33"/>
  <c r="AO107" i="33"/>
  <c r="AN107" i="33"/>
  <c r="AL107" i="33"/>
  <c r="AK107" i="33"/>
  <c r="AJ107" i="33"/>
  <c r="AI107" i="33"/>
  <c r="AH107" i="33"/>
  <c r="AG107" i="33"/>
  <c r="BA106" i="33"/>
  <c r="AZ106" i="33"/>
  <c r="BB106" i="33" s="1"/>
  <c r="BC106" i="33" s="1"/>
  <c r="AY106" i="33"/>
  <c r="AV106" i="33"/>
  <c r="AS106" i="33"/>
  <c r="AP106" i="33"/>
  <c r="AM106" i="33"/>
  <c r="BA105" i="33"/>
  <c r="AZ105" i="33"/>
  <c r="BB105" i="33" s="1"/>
  <c r="BC105" i="33" s="1"/>
  <c r="AY105" i="33"/>
  <c r="AV105" i="33"/>
  <c r="AS105" i="33"/>
  <c r="AP105" i="33"/>
  <c r="AM105" i="33"/>
  <c r="BA104" i="33"/>
  <c r="BA107" i="33" s="1"/>
  <c r="AZ104" i="33"/>
  <c r="AY104" i="33"/>
  <c r="AV104" i="33"/>
  <c r="AS104" i="33"/>
  <c r="AP104" i="33"/>
  <c r="AM104" i="33"/>
  <c r="AX102" i="33"/>
  <c r="AW102" i="33"/>
  <c r="AU102" i="33"/>
  <c r="AT102" i="33"/>
  <c r="AR102" i="33"/>
  <c r="AQ102" i="33"/>
  <c r="AO102" i="33"/>
  <c r="AN102" i="33"/>
  <c r="AL102" i="33"/>
  <c r="AK102" i="33"/>
  <c r="AJ102" i="33"/>
  <c r="AI102" i="33"/>
  <c r="AH102" i="33"/>
  <c r="AG102" i="33"/>
  <c r="BA101" i="33"/>
  <c r="AZ101" i="33"/>
  <c r="BB101" i="33" s="1"/>
  <c r="BC101" i="33" s="1"/>
  <c r="AY101" i="33"/>
  <c r="AV101" i="33"/>
  <c r="AS101" i="33"/>
  <c r="AP101" i="33"/>
  <c r="AM101" i="33"/>
  <c r="BA100" i="33"/>
  <c r="AZ100" i="33"/>
  <c r="BB100" i="33" s="1"/>
  <c r="BC100" i="33" s="1"/>
  <c r="AY100" i="33"/>
  <c r="AV100" i="33"/>
  <c r="AS100" i="33"/>
  <c r="AP100" i="33"/>
  <c r="AM100" i="33"/>
  <c r="BA99" i="33"/>
  <c r="BA102" i="33" s="1"/>
  <c r="AZ99" i="33"/>
  <c r="AY99" i="33"/>
  <c r="AV99" i="33"/>
  <c r="AS99" i="33"/>
  <c r="AP99" i="33"/>
  <c r="AM99" i="33"/>
  <c r="AX97" i="33"/>
  <c r="AW97" i="33"/>
  <c r="AU97" i="33"/>
  <c r="AT97" i="33"/>
  <c r="AR97" i="33"/>
  <c r="AQ97" i="33"/>
  <c r="AO97" i="33"/>
  <c r="AN97" i="33"/>
  <c r="AL97" i="33"/>
  <c r="AK97" i="33"/>
  <c r="AJ97" i="33"/>
  <c r="AI97" i="33"/>
  <c r="AH97" i="33"/>
  <c r="AG97" i="33"/>
  <c r="BA96" i="33"/>
  <c r="AZ96" i="33"/>
  <c r="BB96" i="33" s="1"/>
  <c r="BC96" i="33" s="1"/>
  <c r="AY96" i="33"/>
  <c r="AV96" i="33"/>
  <c r="AS96" i="33"/>
  <c r="AP96" i="33"/>
  <c r="AM96" i="33"/>
  <c r="BA95" i="33"/>
  <c r="AZ95" i="33"/>
  <c r="BB95" i="33" s="1"/>
  <c r="BC95" i="33" s="1"/>
  <c r="AY95" i="33"/>
  <c r="AV95" i="33"/>
  <c r="AS95" i="33"/>
  <c r="AP95" i="33"/>
  <c r="AM95" i="33"/>
  <c r="BA94" i="33"/>
  <c r="BA97" i="33" s="1"/>
  <c r="AZ94" i="33"/>
  <c r="AY94" i="33"/>
  <c r="AV94" i="33"/>
  <c r="AS94" i="33"/>
  <c r="AP94" i="33"/>
  <c r="AM94" i="33"/>
  <c r="AX92" i="33"/>
  <c r="AW92" i="33"/>
  <c r="AU92" i="33"/>
  <c r="AT92" i="33"/>
  <c r="AR92" i="33"/>
  <c r="AQ92" i="33"/>
  <c r="AO92" i="33"/>
  <c r="AN92" i="33"/>
  <c r="AL92" i="33"/>
  <c r="AK92" i="33"/>
  <c r="AJ92" i="33"/>
  <c r="AI92" i="33"/>
  <c r="AH92" i="33"/>
  <c r="AG92" i="33"/>
  <c r="BA91" i="33"/>
  <c r="AZ91" i="33"/>
  <c r="BB91" i="33" s="1"/>
  <c r="BC91" i="33" s="1"/>
  <c r="AY91" i="33"/>
  <c r="AV91" i="33"/>
  <c r="AS91" i="33"/>
  <c r="AP91" i="33"/>
  <c r="AM91" i="33"/>
  <c r="BA90" i="33"/>
  <c r="AZ90" i="33"/>
  <c r="BB90" i="33" s="1"/>
  <c r="BC90" i="33" s="1"/>
  <c r="AY90" i="33"/>
  <c r="AV90" i="33"/>
  <c r="AS90" i="33"/>
  <c r="AP90" i="33"/>
  <c r="AM90" i="33"/>
  <c r="BA89" i="33"/>
  <c r="BA92" i="33" s="1"/>
  <c r="AZ89" i="33"/>
  <c r="AY89" i="33"/>
  <c r="AV89" i="33"/>
  <c r="AS89" i="33"/>
  <c r="AP89" i="33"/>
  <c r="AM89" i="33"/>
  <c r="AX87" i="33"/>
  <c r="AW87" i="33"/>
  <c r="AU87" i="33"/>
  <c r="AT87" i="33"/>
  <c r="AR87" i="33"/>
  <c r="AQ87" i="33"/>
  <c r="AO87" i="33"/>
  <c r="AN87" i="33"/>
  <c r="AL87" i="33"/>
  <c r="AK87" i="33"/>
  <c r="AJ87" i="33"/>
  <c r="AI87" i="33"/>
  <c r="AH87" i="33"/>
  <c r="AG87" i="33"/>
  <c r="BA86" i="33"/>
  <c r="AZ86" i="33"/>
  <c r="BB86" i="33" s="1"/>
  <c r="BC86" i="33" s="1"/>
  <c r="AY86" i="33"/>
  <c r="AV86" i="33"/>
  <c r="AS86" i="33"/>
  <c r="AP86" i="33"/>
  <c r="AM86" i="33"/>
  <c r="BA85" i="33"/>
  <c r="AZ85" i="33"/>
  <c r="BB85" i="33" s="1"/>
  <c r="BC85" i="33" s="1"/>
  <c r="AY85" i="33"/>
  <c r="AV85" i="33"/>
  <c r="AS85" i="33"/>
  <c r="AP85" i="33"/>
  <c r="AM85" i="33"/>
  <c r="BA84" i="33"/>
  <c r="BA87" i="33" s="1"/>
  <c r="AZ84" i="33"/>
  <c r="AY84" i="33"/>
  <c r="AV84" i="33"/>
  <c r="AS84" i="33"/>
  <c r="AP84" i="33"/>
  <c r="AM84" i="33"/>
  <c r="AX82" i="33"/>
  <c r="AW82" i="33"/>
  <c r="AU82" i="33"/>
  <c r="AT82" i="33"/>
  <c r="AR82" i="33"/>
  <c r="AQ82" i="33"/>
  <c r="AO82" i="33"/>
  <c r="AN82" i="33"/>
  <c r="AL82" i="33"/>
  <c r="AK82" i="33"/>
  <c r="AJ82" i="33"/>
  <c r="AI82" i="33"/>
  <c r="AH82" i="33"/>
  <c r="AG82" i="33"/>
  <c r="BA81" i="33"/>
  <c r="AZ81" i="33"/>
  <c r="BB81" i="33" s="1"/>
  <c r="BC81" i="33" s="1"/>
  <c r="AY81" i="33"/>
  <c r="AV81" i="33"/>
  <c r="AS81" i="33"/>
  <c r="AP81" i="33"/>
  <c r="AM81" i="33"/>
  <c r="BA80" i="33"/>
  <c r="AZ80" i="33"/>
  <c r="BB80" i="33" s="1"/>
  <c r="BC80" i="33" s="1"/>
  <c r="AY80" i="33"/>
  <c r="AV80" i="33"/>
  <c r="AS80" i="33"/>
  <c r="AP80" i="33"/>
  <c r="AM80" i="33"/>
  <c r="BA79" i="33"/>
  <c r="BA82" i="33" s="1"/>
  <c r="AZ79" i="33"/>
  <c r="AY79" i="33"/>
  <c r="AV79" i="33"/>
  <c r="AS79" i="33"/>
  <c r="AP79" i="33"/>
  <c r="AM79" i="33"/>
  <c r="AX77" i="33"/>
  <c r="AW77" i="33"/>
  <c r="AU77" i="33"/>
  <c r="AT77" i="33"/>
  <c r="AR77" i="33"/>
  <c r="AQ77" i="33"/>
  <c r="AO77" i="33"/>
  <c r="AN77" i="33"/>
  <c r="AL77" i="33"/>
  <c r="AK77" i="33"/>
  <c r="AJ77" i="33"/>
  <c r="AI77" i="33"/>
  <c r="AH77" i="33"/>
  <c r="AG77" i="33"/>
  <c r="BA76" i="33"/>
  <c r="AZ76" i="33"/>
  <c r="BB76" i="33" s="1"/>
  <c r="BC76" i="33" s="1"/>
  <c r="AY76" i="33"/>
  <c r="AV76" i="33"/>
  <c r="AS76" i="33"/>
  <c r="AP76" i="33"/>
  <c r="AM76" i="33"/>
  <c r="BA75" i="33"/>
  <c r="AZ75" i="33"/>
  <c r="BB75" i="33" s="1"/>
  <c r="BC75" i="33" s="1"/>
  <c r="AY75" i="33"/>
  <c r="AV75" i="33"/>
  <c r="AS75" i="33"/>
  <c r="AP75" i="33"/>
  <c r="AM75" i="33"/>
  <c r="BA74" i="33"/>
  <c r="BA77" i="33" s="1"/>
  <c r="AZ74" i="33"/>
  <c r="AY74" i="33"/>
  <c r="AV74" i="33"/>
  <c r="AS74" i="33"/>
  <c r="AP74" i="33"/>
  <c r="AM74" i="33"/>
  <c r="AX72" i="33"/>
  <c r="AW72" i="33"/>
  <c r="AU72" i="33"/>
  <c r="AT72" i="33"/>
  <c r="AR72" i="33"/>
  <c r="AQ72" i="33"/>
  <c r="AO72" i="33"/>
  <c r="AN72" i="33"/>
  <c r="AL72" i="33"/>
  <c r="AK72" i="33"/>
  <c r="AJ72" i="33"/>
  <c r="AI72" i="33"/>
  <c r="AH72" i="33"/>
  <c r="AG72" i="33"/>
  <c r="BA71" i="33"/>
  <c r="AZ71" i="33"/>
  <c r="BB71" i="33" s="1"/>
  <c r="BC71" i="33" s="1"/>
  <c r="AY71" i="33"/>
  <c r="AV71" i="33"/>
  <c r="AS71" i="33"/>
  <c r="AP71" i="33"/>
  <c r="AM71" i="33"/>
  <c r="BA70" i="33"/>
  <c r="AZ70" i="33"/>
  <c r="BB70" i="33" s="1"/>
  <c r="BC70" i="33" s="1"/>
  <c r="AY70" i="33"/>
  <c r="AV70" i="33"/>
  <c r="AS70" i="33"/>
  <c r="AP70" i="33"/>
  <c r="AM70" i="33"/>
  <c r="BA69" i="33"/>
  <c r="BA72" i="33" s="1"/>
  <c r="AZ69" i="33"/>
  <c r="AY69" i="33"/>
  <c r="AV69" i="33"/>
  <c r="AS69" i="33"/>
  <c r="AP69" i="33"/>
  <c r="AM69" i="33"/>
  <c r="AX67" i="33"/>
  <c r="AW67" i="33"/>
  <c r="AU67" i="33"/>
  <c r="AT67" i="33"/>
  <c r="AR67" i="33"/>
  <c r="AQ67" i="33"/>
  <c r="AO67" i="33"/>
  <c r="AN67" i="33"/>
  <c r="AL67" i="33"/>
  <c r="AK67" i="33"/>
  <c r="AJ67" i="33"/>
  <c r="AI67" i="33"/>
  <c r="AH67" i="33"/>
  <c r="AG67" i="33"/>
  <c r="BA66" i="33"/>
  <c r="AZ66" i="33"/>
  <c r="BB66" i="33" s="1"/>
  <c r="BC66" i="33" s="1"/>
  <c r="AY66" i="33"/>
  <c r="AV66" i="33"/>
  <c r="AS66" i="33"/>
  <c r="AP66" i="33"/>
  <c r="AM66" i="33"/>
  <c r="BA65" i="33"/>
  <c r="AZ65" i="33"/>
  <c r="BB65" i="33" s="1"/>
  <c r="BC65" i="33" s="1"/>
  <c r="AY65" i="33"/>
  <c r="AV65" i="33"/>
  <c r="AS65" i="33"/>
  <c r="AP65" i="33"/>
  <c r="AM65" i="33"/>
  <c r="BA64" i="33"/>
  <c r="BA67" i="33" s="1"/>
  <c r="AZ64" i="33"/>
  <c r="AY64" i="33"/>
  <c r="AV64" i="33"/>
  <c r="AS64" i="33"/>
  <c r="AP64" i="33"/>
  <c r="AM64" i="33"/>
  <c r="AX62" i="33"/>
  <c r="AW62" i="33"/>
  <c r="AU62" i="33"/>
  <c r="AT62" i="33"/>
  <c r="AR62" i="33"/>
  <c r="AQ62" i="33"/>
  <c r="AO62" i="33"/>
  <c r="AN62" i="33"/>
  <c r="AL62" i="33"/>
  <c r="AK62" i="33"/>
  <c r="AJ62" i="33"/>
  <c r="AI62" i="33"/>
  <c r="AH62" i="33"/>
  <c r="AG62" i="33"/>
  <c r="BA61" i="33"/>
  <c r="AZ61" i="33"/>
  <c r="BB61" i="33" s="1"/>
  <c r="BC61" i="33" s="1"/>
  <c r="AY61" i="33"/>
  <c r="AV61" i="33"/>
  <c r="AS61" i="33"/>
  <c r="AP61" i="33"/>
  <c r="AM61" i="33"/>
  <c r="BA60" i="33"/>
  <c r="AZ60" i="33"/>
  <c r="BB60" i="33" s="1"/>
  <c r="BC60" i="33" s="1"/>
  <c r="AY60" i="33"/>
  <c r="AV60" i="33"/>
  <c r="AS60" i="33"/>
  <c r="AP60" i="33"/>
  <c r="AM60" i="33"/>
  <c r="BA59" i="33"/>
  <c r="BA62" i="33" s="1"/>
  <c r="AZ59" i="33"/>
  <c r="AY59" i="33"/>
  <c r="AV59" i="33"/>
  <c r="AS59" i="33"/>
  <c r="AP59" i="33"/>
  <c r="AM59" i="33"/>
  <c r="AX57" i="33"/>
  <c r="AW57" i="33"/>
  <c r="AU57" i="33"/>
  <c r="AT57" i="33"/>
  <c r="AR57" i="33"/>
  <c r="AQ57" i="33"/>
  <c r="AO57" i="33"/>
  <c r="AN57" i="33"/>
  <c r="AL57" i="33"/>
  <c r="AK57" i="33"/>
  <c r="AJ57" i="33"/>
  <c r="AI57" i="33"/>
  <c r="AH57" i="33"/>
  <c r="AG57" i="33"/>
  <c r="BA56" i="33"/>
  <c r="AZ56" i="33"/>
  <c r="BB56" i="33" s="1"/>
  <c r="BC56" i="33" s="1"/>
  <c r="AY56" i="33"/>
  <c r="AV56" i="33"/>
  <c r="AS56" i="33"/>
  <c r="AP56" i="33"/>
  <c r="AM56" i="33"/>
  <c r="BA55" i="33"/>
  <c r="AZ55" i="33"/>
  <c r="BB55" i="33" s="1"/>
  <c r="BC55" i="33" s="1"/>
  <c r="AY55" i="33"/>
  <c r="AV55" i="33"/>
  <c r="AS55" i="33"/>
  <c r="AP55" i="33"/>
  <c r="AM55" i="33"/>
  <c r="BA54" i="33"/>
  <c r="BA57" i="33" s="1"/>
  <c r="AZ54" i="33"/>
  <c r="AY54" i="33"/>
  <c r="AV54" i="33"/>
  <c r="AS54" i="33"/>
  <c r="AP54" i="33"/>
  <c r="AM54" i="33"/>
  <c r="AX52" i="33"/>
  <c r="AW52" i="33"/>
  <c r="AU52" i="33"/>
  <c r="AT52" i="33"/>
  <c r="AR52" i="33"/>
  <c r="AQ52" i="33"/>
  <c r="AO52" i="33"/>
  <c r="AN52" i="33"/>
  <c r="AL52" i="33"/>
  <c r="AK52" i="33"/>
  <c r="AJ52" i="33"/>
  <c r="AI52" i="33"/>
  <c r="AH52" i="33"/>
  <c r="AG52" i="33"/>
  <c r="BA51" i="33"/>
  <c r="AZ51" i="33"/>
  <c r="BB51" i="33" s="1"/>
  <c r="BC51" i="33" s="1"/>
  <c r="AY51" i="33"/>
  <c r="AV51" i="33"/>
  <c r="AS51" i="33"/>
  <c r="AP51" i="33"/>
  <c r="AM51" i="33"/>
  <c r="BA50" i="33"/>
  <c r="AZ50" i="33"/>
  <c r="BB50" i="33" s="1"/>
  <c r="BC50" i="33" s="1"/>
  <c r="AY50" i="33"/>
  <c r="AV50" i="33"/>
  <c r="AS50" i="33"/>
  <c r="AP50" i="33"/>
  <c r="AM50" i="33"/>
  <c r="BA49" i="33"/>
  <c r="BA52" i="33" s="1"/>
  <c r="AZ49" i="33"/>
  <c r="AY49" i="33"/>
  <c r="AV49" i="33"/>
  <c r="AS49" i="33"/>
  <c r="AP49" i="33"/>
  <c r="AM49" i="33"/>
  <c r="AX47" i="33"/>
  <c r="AW47" i="33"/>
  <c r="AU47" i="33"/>
  <c r="AT47" i="33"/>
  <c r="AR47" i="33"/>
  <c r="AQ47" i="33"/>
  <c r="AO47" i="33"/>
  <c r="AN47" i="33"/>
  <c r="AL47" i="33"/>
  <c r="AK47" i="33"/>
  <c r="AJ47" i="33"/>
  <c r="AI47" i="33"/>
  <c r="AH47" i="33"/>
  <c r="AG47" i="33"/>
  <c r="BA46" i="33"/>
  <c r="AZ46" i="33"/>
  <c r="BB46" i="33" s="1"/>
  <c r="BC46" i="33" s="1"/>
  <c r="AY46" i="33"/>
  <c r="AV46" i="33"/>
  <c r="AS46" i="33"/>
  <c r="AP46" i="33"/>
  <c r="AM46" i="33"/>
  <c r="BA45" i="33"/>
  <c r="AZ45" i="33"/>
  <c r="BB45" i="33" s="1"/>
  <c r="BC45" i="33" s="1"/>
  <c r="AY45" i="33"/>
  <c r="AS45" i="33"/>
  <c r="AP45" i="33"/>
  <c r="AM45" i="33"/>
  <c r="BA44" i="33"/>
  <c r="BA47" i="33" s="1"/>
  <c r="AZ44" i="33"/>
  <c r="AY44" i="33"/>
  <c r="AV44" i="33"/>
  <c r="AS44" i="33"/>
  <c r="AP44" i="33"/>
  <c r="AM44" i="33"/>
  <c r="AX42" i="33"/>
  <c r="AW42" i="33"/>
  <c r="AU42" i="33"/>
  <c r="AT42" i="33"/>
  <c r="AR42" i="33"/>
  <c r="AQ42" i="33"/>
  <c r="AO42" i="33"/>
  <c r="AN42" i="33"/>
  <c r="AL42" i="33"/>
  <c r="AK42" i="33"/>
  <c r="AJ42" i="33"/>
  <c r="AI42" i="33"/>
  <c r="AH42" i="33"/>
  <c r="AG42" i="33"/>
  <c r="BA41" i="33"/>
  <c r="AZ41" i="33"/>
  <c r="BB41" i="33" s="1"/>
  <c r="BC41" i="33" s="1"/>
  <c r="AY41" i="33"/>
  <c r="AV41" i="33"/>
  <c r="AS41" i="33"/>
  <c r="AP41" i="33"/>
  <c r="AM41" i="33"/>
  <c r="BA40" i="33"/>
  <c r="AZ40" i="33"/>
  <c r="BB40" i="33" s="1"/>
  <c r="BC40" i="33" s="1"/>
  <c r="AY40" i="33"/>
  <c r="AV40" i="33"/>
  <c r="AS40" i="33"/>
  <c r="AP40" i="33"/>
  <c r="AM40" i="33"/>
  <c r="BA39" i="33"/>
  <c r="BA42" i="33" s="1"/>
  <c r="AZ39" i="33"/>
  <c r="AY39" i="33"/>
  <c r="AV39" i="33"/>
  <c r="AS39" i="33"/>
  <c r="AP39" i="33"/>
  <c r="AM39" i="33"/>
  <c r="AX37" i="33"/>
  <c r="AW37" i="33"/>
  <c r="AU37" i="33"/>
  <c r="AT37" i="33"/>
  <c r="AR37" i="33"/>
  <c r="AQ37" i="33"/>
  <c r="AO37" i="33"/>
  <c r="AN37" i="33"/>
  <c r="AL37" i="33"/>
  <c r="AK37" i="33"/>
  <c r="AJ37" i="33"/>
  <c r="AI37" i="33"/>
  <c r="AH37" i="33"/>
  <c r="AG37" i="33"/>
  <c r="E9" i="33" s="1"/>
  <c r="BA36" i="33"/>
  <c r="AZ36" i="33"/>
  <c r="BB36" i="33" s="1"/>
  <c r="BC36" i="33" s="1"/>
  <c r="AY36" i="33"/>
  <c r="AV36" i="33"/>
  <c r="AS36" i="33"/>
  <c r="AP36" i="33"/>
  <c r="AM36" i="33"/>
  <c r="BA35" i="33"/>
  <c r="AZ35" i="33"/>
  <c r="BB35" i="33" s="1"/>
  <c r="BC35" i="33" s="1"/>
  <c r="AY35" i="33"/>
  <c r="AV35" i="33"/>
  <c r="AS35" i="33"/>
  <c r="AP35" i="33"/>
  <c r="AM35" i="33"/>
  <c r="BA34" i="33"/>
  <c r="BA37" i="33" s="1"/>
  <c r="AZ34" i="33"/>
  <c r="AY34" i="33"/>
  <c r="AV34" i="33"/>
  <c r="AS34" i="33"/>
  <c r="AP34" i="33"/>
  <c r="AM34" i="33"/>
  <c r="AX32" i="33"/>
  <c r="AW32" i="33"/>
  <c r="AU32" i="33"/>
  <c r="AT32" i="33"/>
  <c r="AR32" i="33"/>
  <c r="AQ32" i="33"/>
  <c r="AO32" i="33"/>
  <c r="AN32" i="33"/>
  <c r="AL32" i="33"/>
  <c r="AK32" i="33"/>
  <c r="AJ32" i="33"/>
  <c r="AI32" i="33"/>
  <c r="AH32" i="33"/>
  <c r="AG32" i="33"/>
  <c r="BA31" i="33"/>
  <c r="AZ31" i="33"/>
  <c r="BB31" i="33" s="1"/>
  <c r="BC31" i="33" s="1"/>
  <c r="AY31" i="33"/>
  <c r="AV31" i="33"/>
  <c r="AS31" i="33"/>
  <c r="AP31" i="33"/>
  <c r="AM31" i="33"/>
  <c r="BA30" i="33"/>
  <c r="AZ30" i="33"/>
  <c r="BB30" i="33" s="1"/>
  <c r="BC30" i="33" s="1"/>
  <c r="AY30" i="33"/>
  <c r="AV30" i="33"/>
  <c r="AS30" i="33"/>
  <c r="AP30" i="33"/>
  <c r="AM30" i="33"/>
  <c r="BA29" i="33"/>
  <c r="BA32" i="33" s="1"/>
  <c r="AZ29" i="33"/>
  <c r="AY29" i="33"/>
  <c r="AV29" i="33"/>
  <c r="AS29" i="33"/>
  <c r="AP29" i="33"/>
  <c r="AM29" i="33"/>
  <c r="AX27" i="33"/>
  <c r="AW27" i="33"/>
  <c r="AU27" i="33"/>
  <c r="AT27" i="33"/>
  <c r="AR27" i="33"/>
  <c r="AQ27" i="33"/>
  <c r="AO27" i="33"/>
  <c r="AN27" i="33"/>
  <c r="AL27" i="33"/>
  <c r="AK27" i="33"/>
  <c r="AJ27" i="33"/>
  <c r="AI27" i="33"/>
  <c r="AH27" i="33"/>
  <c r="AG27" i="33"/>
  <c r="BA26" i="33"/>
  <c r="AZ26" i="33"/>
  <c r="BB26" i="33" s="1"/>
  <c r="BC26" i="33" s="1"/>
  <c r="AY26" i="33"/>
  <c r="AV26" i="33"/>
  <c r="AS26" i="33"/>
  <c r="AP26" i="33"/>
  <c r="AM26" i="33"/>
  <c r="BA25" i="33"/>
  <c r="AZ25" i="33"/>
  <c r="BB25" i="33" s="1"/>
  <c r="BC25" i="33" s="1"/>
  <c r="AY25" i="33"/>
  <c r="AV25" i="33"/>
  <c r="AS25" i="33"/>
  <c r="AP25" i="33"/>
  <c r="AM25" i="33"/>
  <c r="BA24" i="33"/>
  <c r="BA27" i="33" s="1"/>
  <c r="AZ24" i="33"/>
  <c r="AY24" i="33"/>
  <c r="AV24" i="33"/>
  <c r="AS24" i="33"/>
  <c r="AP24" i="33"/>
  <c r="AM24" i="33"/>
  <c r="L23" i="33"/>
  <c r="AX22" i="33"/>
  <c r="AW22" i="33"/>
  <c r="AU22" i="33"/>
  <c r="AT22" i="33"/>
  <c r="AR22" i="33"/>
  <c r="AQ22" i="33"/>
  <c r="AO22" i="33"/>
  <c r="AN22" i="33"/>
  <c r="AL22" i="33"/>
  <c r="AK22" i="33"/>
  <c r="AJ22" i="33"/>
  <c r="AI22" i="33"/>
  <c r="AH22" i="33"/>
  <c r="AG22" i="33"/>
  <c r="T22" i="33"/>
  <c r="U22" i="33" s="1"/>
  <c r="R22" i="33"/>
  <c r="S22" i="33" s="1"/>
  <c r="P22" i="33"/>
  <c r="Q22" i="33" s="1"/>
  <c r="N22" i="33"/>
  <c r="O22" i="33" s="1"/>
  <c r="K22" i="33"/>
  <c r="J22" i="33"/>
  <c r="I22" i="33"/>
  <c r="H22" i="33"/>
  <c r="F22" i="33"/>
  <c r="E22" i="33"/>
  <c r="BA21" i="33"/>
  <c r="AZ21" i="33"/>
  <c r="BB21" i="33" s="1"/>
  <c r="BC21" i="33" s="1"/>
  <c r="AY21" i="33"/>
  <c r="AV21" i="33"/>
  <c r="AS21" i="33"/>
  <c r="AP21" i="33"/>
  <c r="AM21" i="33"/>
  <c r="T21" i="33"/>
  <c r="R21" i="33"/>
  <c r="P21" i="33"/>
  <c r="N21" i="33"/>
  <c r="K21" i="33"/>
  <c r="J21" i="33"/>
  <c r="I21" i="33"/>
  <c r="H21" i="33"/>
  <c r="L21" i="33" s="1"/>
  <c r="G21" i="33"/>
  <c r="F21" i="33"/>
  <c r="E21" i="33"/>
  <c r="BA20" i="33"/>
  <c r="AZ20" i="33"/>
  <c r="BB20" i="33" s="1"/>
  <c r="BC20" i="33" s="1"/>
  <c r="AY20" i="33"/>
  <c r="AV20" i="33"/>
  <c r="AS20" i="33"/>
  <c r="AP20" i="33"/>
  <c r="AM20" i="33"/>
  <c r="T20" i="33"/>
  <c r="R20" i="33"/>
  <c r="P20" i="33"/>
  <c r="N20" i="33"/>
  <c r="K20" i="33"/>
  <c r="J20" i="33"/>
  <c r="I20" i="33"/>
  <c r="H20" i="33"/>
  <c r="L20" i="33" s="1"/>
  <c r="G20" i="33"/>
  <c r="F20" i="33"/>
  <c r="E20" i="33"/>
  <c r="BA19" i="33"/>
  <c r="BA22" i="33" s="1"/>
  <c r="AZ19" i="33"/>
  <c r="AY19" i="33"/>
  <c r="AV19" i="33"/>
  <c r="AS19" i="33"/>
  <c r="AP19" i="33"/>
  <c r="AM19" i="33"/>
  <c r="T19" i="33"/>
  <c r="R19" i="33"/>
  <c r="P19" i="33"/>
  <c r="N19" i="33"/>
  <c r="K19" i="33"/>
  <c r="J19" i="33"/>
  <c r="I19" i="33"/>
  <c r="H19" i="33"/>
  <c r="L19" i="33" s="1"/>
  <c r="G19" i="33"/>
  <c r="F19" i="33"/>
  <c r="E19" i="33"/>
  <c r="T18" i="33"/>
  <c r="R18" i="33"/>
  <c r="P18" i="33"/>
  <c r="N18" i="33"/>
  <c r="K18" i="33"/>
  <c r="J18" i="33"/>
  <c r="I18" i="33"/>
  <c r="H18" i="33"/>
  <c r="L18" i="33" s="1"/>
  <c r="G18" i="33"/>
  <c r="F18" i="33"/>
  <c r="E18" i="33"/>
  <c r="AX17" i="33"/>
  <c r="AW17" i="33"/>
  <c r="AU17" i="33"/>
  <c r="AT17" i="33"/>
  <c r="AR17" i="33"/>
  <c r="AQ17" i="33"/>
  <c r="AO17" i="33"/>
  <c r="AN17" i="33"/>
  <c r="AL17" i="33"/>
  <c r="AK17" i="33"/>
  <c r="AJ17" i="33"/>
  <c r="AI17" i="33"/>
  <c r="AH17" i="33"/>
  <c r="AG17" i="33"/>
  <c r="T17" i="33"/>
  <c r="R17" i="33"/>
  <c r="P17" i="33"/>
  <c r="N17" i="33"/>
  <c r="K17" i="33"/>
  <c r="J17" i="33"/>
  <c r="I17" i="33"/>
  <c r="H17" i="33"/>
  <c r="L17" i="33" s="1"/>
  <c r="G17" i="33"/>
  <c r="F17" i="33"/>
  <c r="E17" i="33"/>
  <c r="BA16" i="33"/>
  <c r="AZ16" i="33"/>
  <c r="BB16" i="33" s="1"/>
  <c r="BC16" i="33" s="1"/>
  <c r="AY16" i="33"/>
  <c r="AV16" i="33"/>
  <c r="AS16" i="33"/>
  <c r="AP16" i="33"/>
  <c r="AM16" i="33"/>
  <c r="T16" i="33"/>
  <c r="R16" i="33"/>
  <c r="P16" i="33"/>
  <c r="N16" i="33"/>
  <c r="K16" i="33"/>
  <c r="J16" i="33"/>
  <c r="I16" i="33"/>
  <c r="H16" i="33"/>
  <c r="L16" i="33" s="1"/>
  <c r="G16" i="33"/>
  <c r="F16" i="33"/>
  <c r="E16" i="33"/>
  <c r="BA15" i="33"/>
  <c r="AZ15" i="33"/>
  <c r="BB15" i="33" s="1"/>
  <c r="BC15" i="33" s="1"/>
  <c r="AY15" i="33"/>
  <c r="AV15" i="33"/>
  <c r="AS15" i="33"/>
  <c r="AP15" i="33"/>
  <c r="AM15" i="33"/>
  <c r="T15" i="33"/>
  <c r="R15" i="33"/>
  <c r="P15" i="33"/>
  <c r="N15" i="33"/>
  <c r="K15" i="33"/>
  <c r="J15" i="33"/>
  <c r="I15" i="33"/>
  <c r="H15" i="33"/>
  <c r="L15" i="33" s="1"/>
  <c r="G15" i="33"/>
  <c r="F15" i="33"/>
  <c r="E15" i="33"/>
  <c r="BA14" i="33"/>
  <c r="BA17" i="33" s="1"/>
  <c r="AZ14" i="33"/>
  <c r="AY14" i="33"/>
  <c r="AV14" i="33"/>
  <c r="AS14" i="33"/>
  <c r="AP14" i="33"/>
  <c r="AM14" i="33"/>
  <c r="T14" i="33"/>
  <c r="R14" i="33"/>
  <c r="P14" i="33"/>
  <c r="N14" i="33"/>
  <c r="K14" i="33"/>
  <c r="J14" i="33"/>
  <c r="I14" i="33"/>
  <c r="H14" i="33"/>
  <c r="L14" i="33" s="1"/>
  <c r="G14" i="33"/>
  <c r="F14" i="33"/>
  <c r="E14" i="33"/>
  <c r="T13" i="33"/>
  <c r="R13" i="33"/>
  <c r="P13" i="33"/>
  <c r="N13" i="33"/>
  <c r="K13" i="33"/>
  <c r="J13" i="33"/>
  <c r="I13" i="33"/>
  <c r="H13" i="33"/>
  <c r="L13" i="33" s="1"/>
  <c r="G13" i="33"/>
  <c r="F13" i="33"/>
  <c r="E13" i="33"/>
  <c r="AX12" i="33"/>
  <c r="AW12" i="33"/>
  <c r="AU12" i="33"/>
  <c r="AT12" i="33"/>
  <c r="AR12" i="33"/>
  <c r="AQ12" i="33"/>
  <c r="AO12" i="33"/>
  <c r="AN12" i="33"/>
  <c r="AL12" i="33"/>
  <c r="AK12" i="33"/>
  <c r="AJ12" i="33"/>
  <c r="AI12" i="33"/>
  <c r="AH12" i="33"/>
  <c r="AG12" i="33"/>
  <c r="T12" i="33"/>
  <c r="R12" i="33"/>
  <c r="P12" i="33"/>
  <c r="N12" i="33"/>
  <c r="K12" i="33"/>
  <c r="J12" i="33"/>
  <c r="I12" i="33"/>
  <c r="H12" i="33"/>
  <c r="L12" i="33" s="1"/>
  <c r="G12" i="33"/>
  <c r="F12" i="33"/>
  <c r="E12" i="33"/>
  <c r="BA11" i="33"/>
  <c r="AZ11" i="33"/>
  <c r="BB11" i="33" s="1"/>
  <c r="BC11" i="33" s="1"/>
  <c r="AY11" i="33"/>
  <c r="AV11" i="33"/>
  <c r="AS11" i="33"/>
  <c r="AP11" i="33"/>
  <c r="AM11" i="33"/>
  <c r="T11" i="33"/>
  <c r="R11" i="33"/>
  <c r="P11" i="33"/>
  <c r="N11" i="33"/>
  <c r="K11" i="33"/>
  <c r="J11" i="33"/>
  <c r="I11" i="33"/>
  <c r="H11" i="33"/>
  <c r="L11" i="33" s="1"/>
  <c r="G11" i="33"/>
  <c r="F11" i="33"/>
  <c r="E11" i="33"/>
  <c r="BA10" i="33"/>
  <c r="AZ10" i="33"/>
  <c r="BB10" i="33" s="1"/>
  <c r="BC10" i="33" s="1"/>
  <c r="AY10" i="33"/>
  <c r="AV10" i="33"/>
  <c r="AS10" i="33"/>
  <c r="AP10" i="33"/>
  <c r="AM10" i="33"/>
  <c r="T10" i="33"/>
  <c r="R10" i="33"/>
  <c r="P10" i="33"/>
  <c r="N10" i="33"/>
  <c r="K10" i="33"/>
  <c r="J10" i="33"/>
  <c r="I10" i="33"/>
  <c r="H10" i="33"/>
  <c r="L10" i="33" s="1"/>
  <c r="G10" i="33"/>
  <c r="F10" i="33"/>
  <c r="E10" i="33"/>
  <c r="BA9" i="33"/>
  <c r="BA12" i="33" s="1"/>
  <c r="AZ9" i="33"/>
  <c r="AY9" i="33"/>
  <c r="AV9" i="33"/>
  <c r="AS9" i="33"/>
  <c r="AP9" i="33"/>
  <c r="AM9" i="33"/>
  <c r="T9" i="33"/>
  <c r="R9" i="33"/>
  <c r="P9" i="33"/>
  <c r="N9" i="33"/>
  <c r="K9" i="33"/>
  <c r="J9" i="33"/>
  <c r="I9" i="33"/>
  <c r="H9" i="33"/>
  <c r="L9" i="33" s="1"/>
  <c r="M9" i="33" s="1"/>
  <c r="G9" i="33"/>
  <c r="F9" i="33"/>
  <c r="T8" i="33"/>
  <c r="R8" i="33"/>
  <c r="P8" i="33"/>
  <c r="N8" i="33"/>
  <c r="K8" i="33"/>
  <c r="J8" i="33"/>
  <c r="I8" i="33"/>
  <c r="H8" i="33"/>
  <c r="L8" i="33" s="1"/>
  <c r="G8" i="33"/>
  <c r="F8" i="33"/>
  <c r="E8" i="33"/>
  <c r="AX7" i="33"/>
  <c r="AW7" i="33"/>
  <c r="AU7" i="33"/>
  <c r="AT7" i="33"/>
  <c r="AR7" i="33"/>
  <c r="AQ7" i="33"/>
  <c r="AO7" i="33"/>
  <c r="AN7" i="33"/>
  <c r="AL7" i="33"/>
  <c r="AK7" i="33"/>
  <c r="AJ7" i="33"/>
  <c r="AI7" i="33"/>
  <c r="AH7" i="33"/>
  <c r="AG7" i="33"/>
  <c r="T7" i="33"/>
  <c r="R7" i="33"/>
  <c r="P7" i="33"/>
  <c r="N7" i="33"/>
  <c r="K7" i="33"/>
  <c r="J7" i="33"/>
  <c r="I7" i="33"/>
  <c r="H7" i="33"/>
  <c r="L7" i="33" s="1"/>
  <c r="G7" i="33"/>
  <c r="F7" i="33"/>
  <c r="E7" i="33"/>
  <c r="BA6" i="33"/>
  <c r="AZ6" i="33"/>
  <c r="BB6" i="33" s="1"/>
  <c r="BC6" i="33" s="1"/>
  <c r="AY6" i="33"/>
  <c r="AV6" i="33"/>
  <c r="AS6" i="33"/>
  <c r="AP6" i="33"/>
  <c r="AM6" i="33"/>
  <c r="T6" i="33"/>
  <c r="R6" i="33"/>
  <c r="P6" i="33"/>
  <c r="N6" i="33"/>
  <c r="K6" i="33"/>
  <c r="J6" i="33"/>
  <c r="I6" i="33"/>
  <c r="H6" i="33"/>
  <c r="L6" i="33" s="1"/>
  <c r="G6" i="33"/>
  <c r="F6" i="33"/>
  <c r="E6" i="33"/>
  <c r="BA5" i="33"/>
  <c r="AZ5" i="33"/>
  <c r="BB5" i="33" s="1"/>
  <c r="BC5" i="33" s="1"/>
  <c r="AY5" i="33"/>
  <c r="AV5" i="33"/>
  <c r="AS5" i="33"/>
  <c r="AP5" i="33"/>
  <c r="AM5" i="33"/>
  <c r="T5" i="33"/>
  <c r="R5" i="33"/>
  <c r="P5" i="33"/>
  <c r="N5" i="33"/>
  <c r="K5" i="33"/>
  <c r="J5" i="33"/>
  <c r="I5" i="33"/>
  <c r="H5" i="33"/>
  <c r="L5" i="33" s="1"/>
  <c r="G5" i="33"/>
  <c r="F5" i="33"/>
  <c r="E5" i="33"/>
  <c r="BA4" i="33"/>
  <c r="BA7" i="33" s="1"/>
  <c r="AZ4" i="33"/>
  <c r="AY4" i="33"/>
  <c r="AV4" i="33"/>
  <c r="AS4" i="33"/>
  <c r="AP4" i="33"/>
  <c r="AM4" i="33"/>
  <c r="T4" i="33"/>
  <c r="R4" i="33"/>
  <c r="P4" i="33"/>
  <c r="N4" i="33"/>
  <c r="K4" i="33"/>
  <c r="J4" i="33"/>
  <c r="I4" i="33"/>
  <c r="H4" i="33"/>
  <c r="L4" i="33" s="1"/>
  <c r="G4" i="33"/>
  <c r="F4" i="33"/>
  <c r="E4" i="33"/>
  <c r="T3" i="33"/>
  <c r="R3" i="33"/>
  <c r="P3" i="33"/>
  <c r="N3" i="33"/>
  <c r="K3" i="33"/>
  <c r="K23" i="33" s="1"/>
  <c r="L22" i="33" s="1"/>
  <c r="M22" i="33" s="1"/>
  <c r="J3" i="33"/>
  <c r="J23" i="33" s="1"/>
  <c r="I3" i="33"/>
  <c r="I23" i="33" s="1"/>
  <c r="H3" i="33"/>
  <c r="G3" i="33"/>
  <c r="F3" i="33"/>
  <c r="F23" i="33" s="1"/>
  <c r="E3" i="33"/>
  <c r="E23" i="33" s="1"/>
  <c r="AX107" i="18"/>
  <c r="AW107" i="18"/>
  <c r="AU107" i="18"/>
  <c r="AT107" i="18"/>
  <c r="AR107" i="18"/>
  <c r="AQ107" i="18"/>
  <c r="AO107" i="18"/>
  <c r="AN107" i="18"/>
  <c r="AL107" i="18"/>
  <c r="AK107" i="18"/>
  <c r="AJ107" i="18"/>
  <c r="AI107" i="18"/>
  <c r="AH107" i="18"/>
  <c r="AG107" i="18"/>
  <c r="BA106" i="18"/>
  <c r="AZ106" i="18"/>
  <c r="BB106" i="18" s="1"/>
  <c r="BC106" i="18" s="1"/>
  <c r="AY106" i="18"/>
  <c r="AV106" i="18"/>
  <c r="AS106" i="18"/>
  <c r="AP106" i="18"/>
  <c r="AM106" i="18"/>
  <c r="BA105" i="18"/>
  <c r="AZ105" i="18"/>
  <c r="BB105" i="18" s="1"/>
  <c r="BC105" i="18" s="1"/>
  <c r="AY105" i="18"/>
  <c r="AV105" i="18"/>
  <c r="AS105" i="18"/>
  <c r="AP105" i="18"/>
  <c r="AM105" i="18"/>
  <c r="BA104" i="18"/>
  <c r="BA107" i="18" s="1"/>
  <c r="AZ104" i="18"/>
  <c r="AY104" i="18"/>
  <c r="AV104" i="18"/>
  <c r="AS104" i="18"/>
  <c r="AP104" i="18"/>
  <c r="AM104" i="18"/>
  <c r="H8" i="18"/>
  <c r="H7" i="31"/>
  <c r="H8" i="31"/>
  <c r="H9" i="31"/>
  <c r="H10" i="31"/>
  <c r="AX102" i="31"/>
  <c r="AW102" i="31"/>
  <c r="T22" i="31" s="1"/>
  <c r="AU102" i="31"/>
  <c r="AT102" i="31"/>
  <c r="R22" i="31" s="1"/>
  <c r="AR102" i="31"/>
  <c r="AQ102" i="31"/>
  <c r="P22" i="31" s="1"/>
  <c r="AO102" i="31"/>
  <c r="AN102" i="31"/>
  <c r="N22" i="31" s="1"/>
  <c r="AL102" i="31"/>
  <c r="J22" i="31" s="1"/>
  <c r="AK102" i="31"/>
  <c r="I22" i="31" s="1"/>
  <c r="AJ102" i="31"/>
  <c r="H22" i="31" s="1"/>
  <c r="AI102" i="31"/>
  <c r="G22" i="31" s="1"/>
  <c r="AH102" i="31"/>
  <c r="F22" i="31" s="1"/>
  <c r="AG102" i="31"/>
  <c r="E22" i="31" s="1"/>
  <c r="BA101" i="31"/>
  <c r="AZ101" i="31"/>
  <c r="BB101" i="31" s="1"/>
  <c r="BC101" i="31" s="1"/>
  <c r="AY101" i="31"/>
  <c r="AV101" i="31"/>
  <c r="AS101" i="31"/>
  <c r="AP101" i="31"/>
  <c r="AM101" i="31"/>
  <c r="BA100" i="31"/>
  <c r="AZ100" i="31"/>
  <c r="BB100" i="31" s="1"/>
  <c r="BC100" i="31" s="1"/>
  <c r="AY100" i="31"/>
  <c r="AV100" i="31"/>
  <c r="AS100" i="31"/>
  <c r="AP100" i="31"/>
  <c r="AM100" i="31"/>
  <c r="BA99" i="31"/>
  <c r="BA102" i="31" s="1"/>
  <c r="K22" i="31" s="1"/>
  <c r="AZ99" i="31"/>
  <c r="AY99" i="31"/>
  <c r="AV99" i="31"/>
  <c r="AS99" i="31"/>
  <c r="AP99" i="31"/>
  <c r="AM99" i="31"/>
  <c r="AX97" i="31"/>
  <c r="AW97" i="31"/>
  <c r="AU97" i="31"/>
  <c r="AT97" i="31"/>
  <c r="AR97" i="31"/>
  <c r="AQ97" i="31"/>
  <c r="AO97" i="31"/>
  <c r="AN97" i="31"/>
  <c r="AL97" i="31"/>
  <c r="AK97" i="31"/>
  <c r="AJ97" i="31"/>
  <c r="AI97" i="31"/>
  <c r="AH97" i="31"/>
  <c r="F21" i="31" s="1"/>
  <c r="AG97" i="31"/>
  <c r="E21" i="31" s="1"/>
  <c r="BA96" i="31"/>
  <c r="AZ96" i="31"/>
  <c r="BB96" i="31" s="1"/>
  <c r="BC96" i="31" s="1"/>
  <c r="AY96" i="31"/>
  <c r="AV96" i="31"/>
  <c r="AS96" i="31"/>
  <c r="AP96" i="31"/>
  <c r="AM96" i="31"/>
  <c r="BA95" i="31"/>
  <c r="AZ95" i="31"/>
  <c r="BB95" i="31" s="1"/>
  <c r="BC95" i="31" s="1"/>
  <c r="AY95" i="31"/>
  <c r="AV95" i="31"/>
  <c r="AS95" i="31"/>
  <c r="AP95" i="31"/>
  <c r="AM95" i="31"/>
  <c r="BA94" i="31"/>
  <c r="BA97" i="31" s="1"/>
  <c r="AZ94" i="31"/>
  <c r="AY94" i="31"/>
  <c r="AV94" i="31"/>
  <c r="AS94" i="31"/>
  <c r="AP94" i="31"/>
  <c r="AM94" i="31"/>
  <c r="AX92" i="31"/>
  <c r="AW92" i="31"/>
  <c r="AU92" i="31"/>
  <c r="AT92" i="31"/>
  <c r="AR92" i="31"/>
  <c r="AQ92" i="31"/>
  <c r="AO92" i="31"/>
  <c r="AN92" i="31"/>
  <c r="AL92" i="31"/>
  <c r="AK92" i="31"/>
  <c r="AJ92" i="31"/>
  <c r="AI92" i="31"/>
  <c r="AH92" i="31"/>
  <c r="F20" i="31" s="1"/>
  <c r="AG92" i="31"/>
  <c r="E20" i="31" s="1"/>
  <c r="BA91" i="31"/>
  <c r="AZ91" i="31"/>
  <c r="BB91" i="31" s="1"/>
  <c r="BC91" i="31" s="1"/>
  <c r="AY91" i="31"/>
  <c r="AV91" i="31"/>
  <c r="AS91" i="31"/>
  <c r="AP91" i="31"/>
  <c r="AM91" i="31"/>
  <c r="BA90" i="31"/>
  <c r="AZ90" i="31"/>
  <c r="BB90" i="31" s="1"/>
  <c r="BC90" i="31" s="1"/>
  <c r="AY90" i="31"/>
  <c r="AV90" i="31"/>
  <c r="AS90" i="31"/>
  <c r="AP90" i="31"/>
  <c r="AM90" i="31"/>
  <c r="BA89" i="31"/>
  <c r="BA92" i="31" s="1"/>
  <c r="AZ89" i="31"/>
  <c r="AY89" i="31"/>
  <c r="AV89" i="31"/>
  <c r="AS89" i="31"/>
  <c r="AP89" i="31"/>
  <c r="AM89" i="31"/>
  <c r="AX87" i="31"/>
  <c r="AW87" i="31"/>
  <c r="AU87" i="31"/>
  <c r="AT87" i="31"/>
  <c r="AR87" i="31"/>
  <c r="AQ87" i="31"/>
  <c r="AO87" i="31"/>
  <c r="AN87" i="31"/>
  <c r="AL87" i="31"/>
  <c r="AK87" i="31"/>
  <c r="AJ87" i="31"/>
  <c r="AI87" i="31"/>
  <c r="AH87" i="31"/>
  <c r="F19" i="31" s="1"/>
  <c r="AG87" i="31"/>
  <c r="E19" i="31" s="1"/>
  <c r="BA86" i="31"/>
  <c r="AZ86" i="31"/>
  <c r="BB86" i="31" s="1"/>
  <c r="BC86" i="31" s="1"/>
  <c r="AY86" i="31"/>
  <c r="AV86" i="31"/>
  <c r="AS86" i="31"/>
  <c r="AP86" i="31"/>
  <c r="AM86" i="31"/>
  <c r="BA85" i="31"/>
  <c r="AZ85" i="31"/>
  <c r="BB85" i="31" s="1"/>
  <c r="BC85" i="31" s="1"/>
  <c r="AY85" i="31"/>
  <c r="AV85" i="31"/>
  <c r="AS85" i="31"/>
  <c r="AP85" i="31"/>
  <c r="AM85" i="31"/>
  <c r="BA84" i="31"/>
  <c r="BA87" i="31" s="1"/>
  <c r="AZ84" i="31"/>
  <c r="AY84" i="31"/>
  <c r="AV84" i="31"/>
  <c r="AS84" i="31"/>
  <c r="AP84" i="31"/>
  <c r="AM84" i="31"/>
  <c r="AX82" i="31"/>
  <c r="AW82" i="31"/>
  <c r="AU82" i="31"/>
  <c r="AT82" i="31"/>
  <c r="AR82" i="31"/>
  <c r="AQ82" i="31"/>
  <c r="AO82" i="31"/>
  <c r="AN82" i="31"/>
  <c r="AL82" i="31"/>
  <c r="AK82" i="31"/>
  <c r="AJ82" i="31"/>
  <c r="AI82" i="31"/>
  <c r="AH82" i="31"/>
  <c r="F18" i="31" s="1"/>
  <c r="AG82" i="31"/>
  <c r="E18" i="31" s="1"/>
  <c r="BA81" i="31"/>
  <c r="AZ81" i="31"/>
  <c r="BB81" i="31" s="1"/>
  <c r="BC81" i="31" s="1"/>
  <c r="AY81" i="31"/>
  <c r="AV81" i="31"/>
  <c r="AS81" i="31"/>
  <c r="AP81" i="31"/>
  <c r="AM81" i="31"/>
  <c r="BA80" i="31"/>
  <c r="AZ80" i="31"/>
  <c r="BB80" i="31" s="1"/>
  <c r="BC80" i="31" s="1"/>
  <c r="AY80" i="31"/>
  <c r="AV80" i="31"/>
  <c r="AS80" i="31"/>
  <c r="AP80" i="31"/>
  <c r="AM80" i="31"/>
  <c r="BA79" i="31"/>
  <c r="BA82" i="31" s="1"/>
  <c r="AZ79" i="31"/>
  <c r="AY79" i="31"/>
  <c r="AV79" i="31"/>
  <c r="AS79" i="31"/>
  <c r="AP79" i="31"/>
  <c r="AM79" i="31"/>
  <c r="AX77" i="31"/>
  <c r="AW77" i="31"/>
  <c r="AU77" i="31"/>
  <c r="AT77" i="31"/>
  <c r="AR77" i="31"/>
  <c r="AQ77" i="31"/>
  <c r="AO77" i="31"/>
  <c r="AN77" i="31"/>
  <c r="AL77" i="31"/>
  <c r="AK77" i="31"/>
  <c r="AJ77" i="31"/>
  <c r="AI77" i="31"/>
  <c r="AH77" i="31"/>
  <c r="AG77" i="31"/>
  <c r="BA76" i="31"/>
  <c r="AZ76" i="31"/>
  <c r="BB76" i="31" s="1"/>
  <c r="BC76" i="31" s="1"/>
  <c r="AY76" i="31"/>
  <c r="AV76" i="31"/>
  <c r="AS76" i="31"/>
  <c r="AP76" i="31"/>
  <c r="AM76" i="31"/>
  <c r="BA75" i="31"/>
  <c r="AZ75" i="31"/>
  <c r="BB75" i="31" s="1"/>
  <c r="BC75" i="31" s="1"/>
  <c r="AY75" i="31"/>
  <c r="AV75" i="31"/>
  <c r="AS75" i="31"/>
  <c r="AP75" i="31"/>
  <c r="AM75" i="31"/>
  <c r="BA74" i="31"/>
  <c r="BA77" i="31" s="1"/>
  <c r="AZ74" i="31"/>
  <c r="AY74" i="31"/>
  <c r="AV74" i="31"/>
  <c r="AS74" i="31"/>
  <c r="AP74" i="31"/>
  <c r="AM74" i="31"/>
  <c r="AX72" i="31"/>
  <c r="AW72" i="31"/>
  <c r="AU72" i="31"/>
  <c r="AT72" i="31"/>
  <c r="AR72" i="31"/>
  <c r="AQ72" i="31"/>
  <c r="AO72" i="31"/>
  <c r="AN72" i="31"/>
  <c r="AL72" i="31"/>
  <c r="AK72" i="31"/>
  <c r="AJ72" i="31"/>
  <c r="AI72" i="31"/>
  <c r="AH72" i="31"/>
  <c r="AG72" i="31"/>
  <c r="BA71" i="31"/>
  <c r="AZ71" i="31"/>
  <c r="BB71" i="31" s="1"/>
  <c r="BC71" i="31" s="1"/>
  <c r="AY71" i="31"/>
  <c r="AV71" i="31"/>
  <c r="AS71" i="31"/>
  <c r="AP71" i="31"/>
  <c r="AM71" i="31"/>
  <c r="BA70" i="31"/>
  <c r="AZ70" i="31"/>
  <c r="BB70" i="31" s="1"/>
  <c r="BC70" i="31" s="1"/>
  <c r="AY70" i="31"/>
  <c r="AV70" i="31"/>
  <c r="AS70" i="31"/>
  <c r="AP70" i="31"/>
  <c r="AM70" i="31"/>
  <c r="BA69" i="31"/>
  <c r="BA72" i="31" s="1"/>
  <c r="AZ69" i="31"/>
  <c r="AY69" i="31"/>
  <c r="AV69" i="31"/>
  <c r="AS69" i="31"/>
  <c r="AP69" i="31"/>
  <c r="AM69" i="31"/>
  <c r="AX67" i="31"/>
  <c r="AW67" i="31"/>
  <c r="AU67" i="31"/>
  <c r="AT67" i="31"/>
  <c r="AR67" i="31"/>
  <c r="AQ67" i="31"/>
  <c r="AO67" i="31"/>
  <c r="AN67" i="31"/>
  <c r="AL67" i="31"/>
  <c r="AK67" i="31"/>
  <c r="AJ67" i="31"/>
  <c r="AI67" i="31"/>
  <c r="AH67" i="31"/>
  <c r="AG67" i="31"/>
  <c r="BA66" i="31"/>
  <c r="AZ66" i="31"/>
  <c r="BB66" i="31" s="1"/>
  <c r="BC66" i="31" s="1"/>
  <c r="AY66" i="31"/>
  <c r="AV66" i="31"/>
  <c r="AS66" i="31"/>
  <c r="AP66" i="31"/>
  <c r="AM66" i="31"/>
  <c r="BA65" i="31"/>
  <c r="AZ65" i="31"/>
  <c r="BB65" i="31" s="1"/>
  <c r="BC65" i="31" s="1"/>
  <c r="AY65" i="31"/>
  <c r="AV65" i="31"/>
  <c r="AS65" i="31"/>
  <c r="AP65" i="31"/>
  <c r="AM65" i="31"/>
  <c r="BA64" i="31"/>
  <c r="BA67" i="31" s="1"/>
  <c r="AZ64" i="31"/>
  <c r="AY64" i="31"/>
  <c r="AV64" i="31"/>
  <c r="AS64" i="31"/>
  <c r="AP64" i="31"/>
  <c r="AX62" i="31"/>
  <c r="AW62" i="31"/>
  <c r="AU62" i="31"/>
  <c r="AT62" i="31"/>
  <c r="AR62" i="31"/>
  <c r="AQ62" i="31"/>
  <c r="AO62" i="31"/>
  <c r="AN62" i="31"/>
  <c r="AL62" i="31"/>
  <c r="AK62" i="31"/>
  <c r="AJ62" i="31"/>
  <c r="AI62" i="31"/>
  <c r="AH62" i="31"/>
  <c r="AG62" i="31"/>
  <c r="BA61" i="31"/>
  <c r="AZ61" i="31"/>
  <c r="BB61" i="31" s="1"/>
  <c r="BC61" i="31" s="1"/>
  <c r="AY61" i="31"/>
  <c r="AV61" i="31"/>
  <c r="AS61" i="31"/>
  <c r="AP61" i="31"/>
  <c r="AM61" i="31"/>
  <c r="BA60" i="31"/>
  <c r="AZ60" i="31"/>
  <c r="BB60" i="31" s="1"/>
  <c r="BC60" i="31" s="1"/>
  <c r="AY60" i="31"/>
  <c r="AV60" i="31"/>
  <c r="AS60" i="31"/>
  <c r="AP60" i="31"/>
  <c r="AM60" i="31"/>
  <c r="BA59" i="31"/>
  <c r="BA62" i="31" s="1"/>
  <c r="AZ59" i="31"/>
  <c r="AY59" i="31"/>
  <c r="AV59" i="31"/>
  <c r="AS59" i="31"/>
  <c r="AP59" i="31"/>
  <c r="AM59" i="31"/>
  <c r="AX57" i="31"/>
  <c r="AW57" i="31"/>
  <c r="AU57" i="31"/>
  <c r="AT57" i="31"/>
  <c r="AR57" i="31"/>
  <c r="AQ57" i="31"/>
  <c r="AO57" i="31"/>
  <c r="AN57" i="31"/>
  <c r="AL57" i="31"/>
  <c r="AK57" i="31"/>
  <c r="AJ57" i="31"/>
  <c r="AI57" i="31"/>
  <c r="AH57" i="31"/>
  <c r="AG57" i="31"/>
  <c r="BA56" i="31"/>
  <c r="AZ56" i="31"/>
  <c r="BB56" i="31" s="1"/>
  <c r="BC56" i="31" s="1"/>
  <c r="AY56" i="31"/>
  <c r="AV56" i="31"/>
  <c r="AS56" i="31"/>
  <c r="AP56" i="31"/>
  <c r="AM56" i="31"/>
  <c r="BA55" i="31"/>
  <c r="AZ55" i="31"/>
  <c r="BB55" i="31" s="1"/>
  <c r="BC55" i="31" s="1"/>
  <c r="AY55" i="31"/>
  <c r="AV55" i="31"/>
  <c r="AS55" i="31"/>
  <c r="AP55" i="31"/>
  <c r="AM55" i="31"/>
  <c r="BA54" i="31"/>
  <c r="BA57" i="31" s="1"/>
  <c r="AZ54" i="31"/>
  <c r="AY54" i="31"/>
  <c r="AV54" i="31"/>
  <c r="AS54" i="31"/>
  <c r="AP54" i="31"/>
  <c r="AM54" i="31"/>
  <c r="AX52" i="31"/>
  <c r="AW52" i="31"/>
  <c r="AU52" i="31"/>
  <c r="AT52" i="31"/>
  <c r="AR52" i="31"/>
  <c r="AQ52" i="31"/>
  <c r="AO52" i="31"/>
  <c r="AN52" i="31"/>
  <c r="AL52" i="31"/>
  <c r="AK52" i="31"/>
  <c r="AJ52" i="31"/>
  <c r="AI52" i="31"/>
  <c r="AH52" i="31"/>
  <c r="AG52" i="31"/>
  <c r="BA51" i="31"/>
  <c r="AZ51" i="31"/>
  <c r="BB51" i="31" s="1"/>
  <c r="BC51" i="31" s="1"/>
  <c r="AY51" i="31"/>
  <c r="AV51" i="31"/>
  <c r="AS51" i="31"/>
  <c r="AP51" i="31"/>
  <c r="AM51" i="31"/>
  <c r="BA50" i="31"/>
  <c r="AZ50" i="31"/>
  <c r="BB50" i="31" s="1"/>
  <c r="BC50" i="31" s="1"/>
  <c r="AY50" i="31"/>
  <c r="AV50" i="31"/>
  <c r="AS50" i="31"/>
  <c r="AP50" i="31"/>
  <c r="AM50" i="31"/>
  <c r="BA49" i="31"/>
  <c r="BA52" i="31" s="1"/>
  <c r="AZ49" i="31"/>
  <c r="AY49" i="31"/>
  <c r="AV49" i="31"/>
  <c r="AS49" i="31"/>
  <c r="AP49" i="31"/>
  <c r="AM49" i="31"/>
  <c r="AX47" i="31"/>
  <c r="AW47" i="31"/>
  <c r="AU47" i="31"/>
  <c r="AT47" i="31"/>
  <c r="AR47" i="31"/>
  <c r="AQ47" i="31"/>
  <c r="AO47" i="31"/>
  <c r="AN47" i="31"/>
  <c r="AL47" i="31"/>
  <c r="AK47" i="31"/>
  <c r="AJ47" i="31"/>
  <c r="AI47" i="31"/>
  <c r="AH47" i="31"/>
  <c r="AG47" i="31"/>
  <c r="BA46" i="31"/>
  <c r="AZ46" i="31"/>
  <c r="BB46" i="31" s="1"/>
  <c r="BC46" i="31" s="1"/>
  <c r="AY46" i="31"/>
  <c r="AV46" i="31"/>
  <c r="AS46" i="31"/>
  <c r="AP46" i="31"/>
  <c r="AM46" i="31"/>
  <c r="BA45" i="31"/>
  <c r="AZ45" i="31"/>
  <c r="BB45" i="31" s="1"/>
  <c r="BC45" i="31" s="1"/>
  <c r="AY45" i="31"/>
  <c r="AV45" i="31"/>
  <c r="AS45" i="31"/>
  <c r="AP45" i="31"/>
  <c r="AM45" i="31"/>
  <c r="BA44" i="31"/>
  <c r="BA47" i="31" s="1"/>
  <c r="AZ44" i="31"/>
  <c r="AY44" i="31"/>
  <c r="AV44" i="31"/>
  <c r="AS44" i="31"/>
  <c r="AP44" i="31"/>
  <c r="AM44" i="31"/>
  <c r="AX42" i="31"/>
  <c r="AW42" i="31"/>
  <c r="AU42" i="31"/>
  <c r="AT42" i="31"/>
  <c r="AR42" i="31"/>
  <c r="AQ42" i="31"/>
  <c r="AO42" i="31"/>
  <c r="AN42" i="31"/>
  <c r="AL42" i="31"/>
  <c r="AK42" i="31"/>
  <c r="AJ42" i="31"/>
  <c r="AI42" i="31"/>
  <c r="AH42" i="31"/>
  <c r="AG42" i="31"/>
  <c r="BA41" i="31"/>
  <c r="AZ41" i="31"/>
  <c r="BB41" i="31" s="1"/>
  <c r="BC41" i="31" s="1"/>
  <c r="AY41" i="31"/>
  <c r="AV41" i="31"/>
  <c r="AS41" i="31"/>
  <c r="AP41" i="31"/>
  <c r="AM41" i="31"/>
  <c r="BA40" i="31"/>
  <c r="AZ40" i="31"/>
  <c r="BB40" i="31" s="1"/>
  <c r="BC40" i="31" s="1"/>
  <c r="AY40" i="31"/>
  <c r="AV40" i="31"/>
  <c r="AS40" i="31"/>
  <c r="AP40" i="31"/>
  <c r="AM40" i="31"/>
  <c r="BA39" i="31"/>
  <c r="BA42" i="31" s="1"/>
  <c r="AZ39" i="31"/>
  <c r="AY39" i="31"/>
  <c r="AV39" i="31"/>
  <c r="AS39" i="31"/>
  <c r="AP39" i="31"/>
  <c r="AM39" i="31"/>
  <c r="AX37" i="31"/>
  <c r="AW37" i="31"/>
  <c r="AU37" i="31"/>
  <c r="AT37" i="31"/>
  <c r="AR37" i="31"/>
  <c r="AQ37" i="31"/>
  <c r="AO37" i="31"/>
  <c r="AN37" i="31"/>
  <c r="AL37" i="31"/>
  <c r="AK37" i="31"/>
  <c r="AJ37" i="31"/>
  <c r="AI37" i="31"/>
  <c r="AH37" i="31"/>
  <c r="AG37" i="31"/>
  <c r="BA36" i="31"/>
  <c r="AZ36" i="31"/>
  <c r="BB36" i="31" s="1"/>
  <c r="BC36" i="31" s="1"/>
  <c r="AY36" i="31"/>
  <c r="AV36" i="31"/>
  <c r="AS36" i="31"/>
  <c r="AP36" i="31"/>
  <c r="AM36" i="31"/>
  <c r="BA35" i="31"/>
  <c r="AZ35" i="31"/>
  <c r="BB35" i="31" s="1"/>
  <c r="BC35" i="31" s="1"/>
  <c r="AY35" i="31"/>
  <c r="AV35" i="31"/>
  <c r="AS35" i="31"/>
  <c r="AP35" i="31"/>
  <c r="AM35" i="31"/>
  <c r="BA34" i="31"/>
  <c r="BA37" i="31" s="1"/>
  <c r="AZ34" i="31"/>
  <c r="AY34" i="31"/>
  <c r="AV34" i="31"/>
  <c r="AS34" i="31"/>
  <c r="AP34" i="31"/>
  <c r="AM34" i="31"/>
  <c r="AX32" i="31"/>
  <c r="AW32" i="31"/>
  <c r="AU32" i="31"/>
  <c r="AT32" i="31"/>
  <c r="AR32" i="31"/>
  <c r="AQ32" i="31"/>
  <c r="AO32" i="31"/>
  <c r="AN32" i="31"/>
  <c r="AL32" i="31"/>
  <c r="AK32" i="31"/>
  <c r="AJ32" i="31"/>
  <c r="AI32" i="31"/>
  <c r="AH32" i="31"/>
  <c r="AG32" i="31"/>
  <c r="BA31" i="31"/>
  <c r="AZ31" i="31"/>
  <c r="BB31" i="31" s="1"/>
  <c r="BC31" i="31" s="1"/>
  <c r="AY31" i="31"/>
  <c r="AV31" i="31"/>
  <c r="AS31" i="31"/>
  <c r="AP31" i="31"/>
  <c r="AM31" i="31"/>
  <c r="BA30" i="31"/>
  <c r="AZ30" i="31"/>
  <c r="BB30" i="31" s="1"/>
  <c r="BC30" i="31" s="1"/>
  <c r="AY30" i="31"/>
  <c r="AV30" i="31"/>
  <c r="AS30" i="31"/>
  <c r="AP30" i="31"/>
  <c r="AM30" i="31"/>
  <c r="BA29" i="31"/>
  <c r="BA32" i="31" s="1"/>
  <c r="AZ29" i="31"/>
  <c r="AY29" i="31"/>
  <c r="AV29" i="31"/>
  <c r="AS29" i="31"/>
  <c r="AP29" i="31"/>
  <c r="AM29" i="31"/>
  <c r="AX27" i="31"/>
  <c r="AW27" i="31"/>
  <c r="AU27" i="31"/>
  <c r="AT27" i="31"/>
  <c r="AR27" i="31"/>
  <c r="AQ27" i="31"/>
  <c r="AO27" i="31"/>
  <c r="AN27" i="31"/>
  <c r="AL27" i="31"/>
  <c r="AK27" i="31"/>
  <c r="AJ27" i="31"/>
  <c r="H11" i="31" s="1"/>
  <c r="AI27" i="31"/>
  <c r="AH27" i="31"/>
  <c r="AG27" i="31"/>
  <c r="BA26" i="31"/>
  <c r="AZ26" i="31"/>
  <c r="BB26" i="31" s="1"/>
  <c r="BC26" i="31" s="1"/>
  <c r="AY26" i="31"/>
  <c r="AV26" i="31"/>
  <c r="AS26" i="31"/>
  <c r="AP26" i="31"/>
  <c r="AM26" i="31"/>
  <c r="BA25" i="31"/>
  <c r="AZ25" i="31"/>
  <c r="BB25" i="31" s="1"/>
  <c r="BC25" i="31" s="1"/>
  <c r="AY25" i="31"/>
  <c r="AV25" i="31"/>
  <c r="AS25" i="31"/>
  <c r="AP25" i="31"/>
  <c r="AM25" i="31"/>
  <c r="BA24" i="31"/>
  <c r="BA27" i="31" s="1"/>
  <c r="AZ24" i="31"/>
  <c r="AY24" i="31"/>
  <c r="AV24" i="31"/>
  <c r="AS24" i="31"/>
  <c r="AP24" i="31"/>
  <c r="AM24" i="31"/>
  <c r="AX22" i="31"/>
  <c r="AW22" i="31"/>
  <c r="AU22" i="31"/>
  <c r="AT22" i="31"/>
  <c r="AR22" i="31"/>
  <c r="AQ22" i="31"/>
  <c r="AO22" i="31"/>
  <c r="AN22" i="31"/>
  <c r="AL22" i="31"/>
  <c r="AK22" i="31"/>
  <c r="AJ22" i="31"/>
  <c r="AI22" i="31"/>
  <c r="AH22" i="31"/>
  <c r="AG22" i="31"/>
  <c r="BA21" i="31"/>
  <c r="AZ21" i="31"/>
  <c r="BB21" i="31" s="1"/>
  <c r="BC21" i="31" s="1"/>
  <c r="AY21" i="31"/>
  <c r="AV21" i="31"/>
  <c r="AS21" i="31"/>
  <c r="AP21" i="31"/>
  <c r="AM21" i="31"/>
  <c r="W21" i="31"/>
  <c r="T21" i="31"/>
  <c r="R21" i="31"/>
  <c r="P21" i="31"/>
  <c r="N21" i="31"/>
  <c r="K21" i="31"/>
  <c r="J21" i="31"/>
  <c r="I21" i="31"/>
  <c r="H21" i="31"/>
  <c r="L21" i="31" s="1"/>
  <c r="G21" i="31"/>
  <c r="BA20" i="31"/>
  <c r="AZ20" i="31"/>
  <c r="BB20" i="31" s="1"/>
  <c r="BC20" i="31" s="1"/>
  <c r="AY20" i="31"/>
  <c r="AV20" i="31"/>
  <c r="AS20" i="31"/>
  <c r="AP20" i="31"/>
  <c r="AM20" i="31"/>
  <c r="T20" i="31"/>
  <c r="R20" i="31"/>
  <c r="P20" i="31"/>
  <c r="N20" i="31"/>
  <c r="K20" i="31"/>
  <c r="J20" i="31"/>
  <c r="I20" i="31"/>
  <c r="H20" i="31"/>
  <c r="L20" i="31" s="1"/>
  <c r="G20" i="31"/>
  <c r="BA19" i="31"/>
  <c r="BA22" i="31" s="1"/>
  <c r="AZ19" i="31"/>
  <c r="AY19" i="31"/>
  <c r="AV19" i="31"/>
  <c r="AS19" i="31"/>
  <c r="AP19" i="31"/>
  <c r="AM19" i="31"/>
  <c r="T19" i="31"/>
  <c r="R19" i="31"/>
  <c r="P19" i="31"/>
  <c r="N19" i="31"/>
  <c r="K19" i="31"/>
  <c r="J19" i="31"/>
  <c r="I19" i="31"/>
  <c r="H19" i="31"/>
  <c r="L19" i="31" s="1"/>
  <c r="M19" i="31" s="1"/>
  <c r="G19" i="31"/>
  <c r="T18" i="31"/>
  <c r="R18" i="31"/>
  <c r="P18" i="31"/>
  <c r="N18" i="31"/>
  <c r="K18" i="31"/>
  <c r="J18" i="31"/>
  <c r="I18" i="31"/>
  <c r="H18" i="31"/>
  <c r="L18" i="31" s="1"/>
  <c r="M18" i="31" s="1"/>
  <c r="G18" i="31"/>
  <c r="AX17" i="31"/>
  <c r="AW17" i="31"/>
  <c r="AU17" i="31"/>
  <c r="AT17" i="31"/>
  <c r="AR17" i="31"/>
  <c r="AQ17" i="31"/>
  <c r="AO17" i="31"/>
  <c r="AN17" i="31"/>
  <c r="AL17" i="31"/>
  <c r="AK17" i="31"/>
  <c r="AJ17" i="31"/>
  <c r="AI17" i="31"/>
  <c r="AH17" i="31"/>
  <c r="AG17" i="31"/>
  <c r="T17" i="31"/>
  <c r="R17" i="31"/>
  <c r="P17" i="31"/>
  <c r="N17" i="31"/>
  <c r="K17" i="31"/>
  <c r="J17" i="31"/>
  <c r="I17" i="31"/>
  <c r="H17" i="31"/>
  <c r="L17" i="31" s="1"/>
  <c r="G17" i="31"/>
  <c r="F17" i="31"/>
  <c r="E17" i="31"/>
  <c r="BA16" i="31"/>
  <c r="AZ16" i="31"/>
  <c r="BB16" i="31" s="1"/>
  <c r="BC16" i="31" s="1"/>
  <c r="AY16" i="31"/>
  <c r="AV16" i="31"/>
  <c r="AS16" i="31"/>
  <c r="AP16" i="31"/>
  <c r="AM16" i="31"/>
  <c r="T16" i="31"/>
  <c r="R16" i="31"/>
  <c r="P16" i="31"/>
  <c r="N16" i="31"/>
  <c r="K16" i="31"/>
  <c r="J16" i="31"/>
  <c r="I16" i="31"/>
  <c r="H16" i="31"/>
  <c r="L16" i="31" s="1"/>
  <c r="G16" i="31"/>
  <c r="F16" i="31"/>
  <c r="E16" i="31"/>
  <c r="BA15" i="31"/>
  <c r="AZ15" i="31"/>
  <c r="BB15" i="31" s="1"/>
  <c r="BC15" i="31" s="1"/>
  <c r="AY15" i="31"/>
  <c r="AV15" i="31"/>
  <c r="AS15" i="31"/>
  <c r="AP15" i="31"/>
  <c r="AM15" i="31"/>
  <c r="T15" i="31"/>
  <c r="R15" i="31"/>
  <c r="P15" i="31"/>
  <c r="N15" i="31"/>
  <c r="K15" i="31"/>
  <c r="J15" i="31"/>
  <c r="I15" i="31"/>
  <c r="H15" i="31"/>
  <c r="L15" i="31" s="1"/>
  <c r="G15" i="31"/>
  <c r="BA14" i="31"/>
  <c r="BA17" i="31" s="1"/>
  <c r="AZ14" i="31"/>
  <c r="AY14" i="31"/>
  <c r="AV14" i="31"/>
  <c r="AS14" i="31"/>
  <c r="AP14" i="31"/>
  <c r="AM14" i="31"/>
  <c r="T14" i="31"/>
  <c r="R14" i="31"/>
  <c r="P14" i="31"/>
  <c r="N14" i="31"/>
  <c r="K14" i="31"/>
  <c r="J14" i="31"/>
  <c r="I14" i="31"/>
  <c r="H14" i="31"/>
  <c r="L14" i="31" s="1"/>
  <c r="G14" i="31"/>
  <c r="T13" i="31"/>
  <c r="R13" i="31"/>
  <c r="P13" i="31"/>
  <c r="N13" i="31"/>
  <c r="K13" i="31"/>
  <c r="J13" i="31"/>
  <c r="I13" i="31"/>
  <c r="H13" i="31"/>
  <c r="L13" i="31" s="1"/>
  <c r="G13" i="31"/>
  <c r="F13" i="31"/>
  <c r="E13" i="31"/>
  <c r="AX12" i="31"/>
  <c r="AW12" i="31"/>
  <c r="AU12" i="31"/>
  <c r="AT12" i="31"/>
  <c r="AR12" i="31"/>
  <c r="AQ12" i="31"/>
  <c r="AO12" i="31"/>
  <c r="AN12" i="31"/>
  <c r="AL12" i="31"/>
  <c r="AK12" i="31"/>
  <c r="AJ12" i="31"/>
  <c r="AI12" i="31"/>
  <c r="AH12" i="31"/>
  <c r="AG12" i="31"/>
  <c r="T12" i="31"/>
  <c r="R12" i="31"/>
  <c r="P12" i="31"/>
  <c r="N12" i="31"/>
  <c r="K12" i="31"/>
  <c r="J12" i="31"/>
  <c r="I12" i="31"/>
  <c r="H12" i="31"/>
  <c r="L12" i="31" s="1"/>
  <c r="G12" i="31"/>
  <c r="F12" i="31"/>
  <c r="E12" i="31"/>
  <c r="BA11" i="31"/>
  <c r="AZ11" i="31"/>
  <c r="BB11" i="31" s="1"/>
  <c r="BC11" i="31" s="1"/>
  <c r="AY11" i="31"/>
  <c r="AV11" i="31"/>
  <c r="AS11" i="31"/>
  <c r="AP11" i="31"/>
  <c r="AM11" i="31"/>
  <c r="T11" i="31"/>
  <c r="R11" i="31"/>
  <c r="P11" i="31"/>
  <c r="N11" i="31"/>
  <c r="K11" i="31"/>
  <c r="J11" i="31"/>
  <c r="I11" i="31"/>
  <c r="L11" i="31"/>
  <c r="G11" i="31"/>
  <c r="F11" i="31"/>
  <c r="E11" i="31"/>
  <c r="BA10" i="31"/>
  <c r="AZ10" i="31"/>
  <c r="BB10" i="31" s="1"/>
  <c r="BC10" i="31" s="1"/>
  <c r="AY10" i="31"/>
  <c r="AV10" i="31"/>
  <c r="AS10" i="31"/>
  <c r="AP10" i="31"/>
  <c r="AM10" i="31"/>
  <c r="T10" i="31"/>
  <c r="R10" i="31"/>
  <c r="P10" i="31"/>
  <c r="N10" i="31"/>
  <c r="K10" i="31"/>
  <c r="J10" i="31"/>
  <c r="I10" i="31"/>
  <c r="L10" i="31"/>
  <c r="G10" i="31"/>
  <c r="F10" i="31"/>
  <c r="E10" i="31"/>
  <c r="BA9" i="31"/>
  <c r="BA12" i="31" s="1"/>
  <c r="AZ9" i="31"/>
  <c r="AY9" i="31"/>
  <c r="AV9" i="31"/>
  <c r="AS9" i="31"/>
  <c r="AP9" i="31"/>
  <c r="AM9" i="31"/>
  <c r="T9" i="31"/>
  <c r="R9" i="31"/>
  <c r="P9" i="31"/>
  <c r="N9" i="31"/>
  <c r="K9" i="31"/>
  <c r="J9" i="31"/>
  <c r="I9" i="31"/>
  <c r="L9" i="31"/>
  <c r="M9" i="31" s="1"/>
  <c r="T8" i="31"/>
  <c r="R8" i="31"/>
  <c r="P8" i="31"/>
  <c r="N8" i="31"/>
  <c r="K8" i="31"/>
  <c r="I8" i="31"/>
  <c r="L8" i="31" s="1"/>
  <c r="M8" i="31" s="1"/>
  <c r="AX7" i="31"/>
  <c r="AW7" i="31"/>
  <c r="AU7" i="31"/>
  <c r="AT7" i="31"/>
  <c r="AR7" i="31"/>
  <c r="AQ7" i="31"/>
  <c r="AO7" i="31"/>
  <c r="AN7" i="31"/>
  <c r="AL7" i="31"/>
  <c r="AK7" i="31"/>
  <c r="AJ7" i="31"/>
  <c r="AI7" i="31"/>
  <c r="AH7" i="31"/>
  <c r="AG7" i="31"/>
  <c r="T7" i="31"/>
  <c r="R7" i="31"/>
  <c r="P7" i="31"/>
  <c r="N7" i="31"/>
  <c r="K7" i="31"/>
  <c r="J7" i="31"/>
  <c r="I7" i="31"/>
  <c r="L7" i="31"/>
  <c r="G7" i="31"/>
  <c r="F7" i="31"/>
  <c r="E7" i="31"/>
  <c r="BA6" i="31"/>
  <c r="AZ6" i="31"/>
  <c r="BB6" i="31" s="1"/>
  <c r="BC6" i="31" s="1"/>
  <c r="AY6" i="31"/>
  <c r="AV6" i="31"/>
  <c r="AS6" i="31"/>
  <c r="AP6" i="31"/>
  <c r="AM6" i="31"/>
  <c r="T6" i="31"/>
  <c r="R6" i="31"/>
  <c r="P6" i="31"/>
  <c r="N6" i="31"/>
  <c r="K6" i="31"/>
  <c r="J6" i="31"/>
  <c r="I6" i="31"/>
  <c r="H6" i="31"/>
  <c r="L6" i="31" s="1"/>
  <c r="G6" i="31"/>
  <c r="F6" i="31"/>
  <c r="E6" i="31"/>
  <c r="BA5" i="31"/>
  <c r="AZ5" i="31"/>
  <c r="BB5" i="31" s="1"/>
  <c r="BC5" i="31" s="1"/>
  <c r="AY5" i="31"/>
  <c r="AV5" i="31"/>
  <c r="AS5" i="31"/>
  <c r="AP5" i="31"/>
  <c r="AM5" i="31"/>
  <c r="W5" i="31"/>
  <c r="T5" i="31"/>
  <c r="R5" i="31"/>
  <c r="P5" i="31"/>
  <c r="N5" i="31"/>
  <c r="K5" i="31"/>
  <c r="J5" i="31"/>
  <c r="I5" i="31"/>
  <c r="H5" i="31"/>
  <c r="L5" i="31" s="1"/>
  <c r="G5" i="31"/>
  <c r="F5" i="31"/>
  <c r="E5" i="31"/>
  <c r="BA4" i="31"/>
  <c r="BA7" i="31" s="1"/>
  <c r="AZ4" i="31"/>
  <c r="AY4" i="31"/>
  <c r="AV4" i="31"/>
  <c r="AS4" i="31"/>
  <c r="AP4" i="31"/>
  <c r="AM4" i="31"/>
  <c r="T4" i="31"/>
  <c r="R4" i="31"/>
  <c r="P4" i="31"/>
  <c r="N4" i="31"/>
  <c r="K4" i="31"/>
  <c r="J4" i="31"/>
  <c r="I4" i="31"/>
  <c r="H4" i="31"/>
  <c r="L4" i="31" s="1"/>
  <c r="G4" i="31"/>
  <c r="F4" i="31"/>
  <c r="E4" i="31"/>
  <c r="T3" i="31"/>
  <c r="R3" i="31"/>
  <c r="P3" i="31"/>
  <c r="N3" i="31"/>
  <c r="K3" i="31"/>
  <c r="K23" i="31" s="1"/>
  <c r="J3" i="31"/>
  <c r="J23" i="31" s="1"/>
  <c r="I3" i="31"/>
  <c r="I23" i="31" s="1"/>
  <c r="H3" i="31"/>
  <c r="G3" i="31"/>
  <c r="F3" i="31"/>
  <c r="F23" i="31" s="1"/>
  <c r="E3" i="31"/>
  <c r="E23" i="31" s="1"/>
  <c r="AM9" i="18"/>
  <c r="AM10" i="18"/>
  <c r="AM11" i="18"/>
  <c r="AG12" i="18"/>
  <c r="AH12" i="18"/>
  <c r="AI12" i="18"/>
  <c r="AJ12" i="18"/>
  <c r="AK12" i="18"/>
  <c r="AL12" i="18"/>
  <c r="AN12" i="18"/>
  <c r="AM14" i="18"/>
  <c r="AM15" i="18"/>
  <c r="AM16" i="18"/>
  <c r="AG17" i="18"/>
  <c r="AH17" i="18"/>
  <c r="AI17" i="18"/>
  <c r="AJ17" i="18"/>
  <c r="AK17" i="18"/>
  <c r="AL17" i="18"/>
  <c r="AN17" i="18"/>
  <c r="AM19" i="18"/>
  <c r="AM20" i="18"/>
  <c r="AM21" i="18"/>
  <c r="AG22" i="18"/>
  <c r="AH22" i="18"/>
  <c r="AI22" i="18"/>
  <c r="AJ22" i="18"/>
  <c r="AK22" i="18"/>
  <c r="AL22" i="18"/>
  <c r="AN22" i="18"/>
  <c r="AM24" i="18"/>
  <c r="AM25" i="18"/>
  <c r="AM26" i="18"/>
  <c r="AG27" i="18"/>
  <c r="E7" i="18" s="1"/>
  <c r="AH27" i="18"/>
  <c r="AI27" i="18"/>
  <c r="AJ27" i="18"/>
  <c r="AK27" i="18"/>
  <c r="AL27" i="18"/>
  <c r="AN27" i="18"/>
  <c r="AM29" i="18"/>
  <c r="AM30" i="18"/>
  <c r="AM31" i="18"/>
  <c r="AG32" i="18"/>
  <c r="E8" i="18" s="1"/>
  <c r="AH32" i="18"/>
  <c r="AI32" i="18"/>
  <c r="AJ32" i="18"/>
  <c r="AK32" i="18"/>
  <c r="AL32" i="18"/>
  <c r="AN32" i="18"/>
  <c r="AM34" i="18"/>
  <c r="AM35" i="18"/>
  <c r="AM36" i="18"/>
  <c r="AG37" i="18"/>
  <c r="AH37" i="18"/>
  <c r="AI37" i="18"/>
  <c r="AJ37" i="18"/>
  <c r="AK37" i="18"/>
  <c r="AL37" i="18"/>
  <c r="AN37" i="18"/>
  <c r="AM39" i="18"/>
  <c r="AM40" i="18"/>
  <c r="AM41" i="18"/>
  <c r="AG42" i="18"/>
  <c r="AH42" i="18"/>
  <c r="AI42" i="18"/>
  <c r="AJ42" i="18"/>
  <c r="AK42" i="18"/>
  <c r="AL42" i="18"/>
  <c r="AN42" i="18"/>
  <c r="AM44" i="18"/>
  <c r="AM45" i="18"/>
  <c r="AM46" i="18"/>
  <c r="AG47" i="18"/>
  <c r="AH47" i="18"/>
  <c r="AI47" i="18"/>
  <c r="AJ47" i="18"/>
  <c r="AK47" i="18"/>
  <c r="AL47" i="18"/>
  <c r="AN47" i="18"/>
  <c r="AM49" i="18"/>
  <c r="AM50" i="18"/>
  <c r="AM51" i="18"/>
  <c r="AG52" i="18"/>
  <c r="AH52" i="18"/>
  <c r="AI52" i="18"/>
  <c r="AJ52" i="18"/>
  <c r="AK52" i="18"/>
  <c r="AL52" i="18"/>
  <c r="AN52" i="18"/>
  <c r="AM54" i="18"/>
  <c r="AM55" i="18"/>
  <c r="AM56" i="18"/>
  <c r="AG57" i="18"/>
  <c r="AH57" i="18"/>
  <c r="AI57" i="18"/>
  <c r="AJ57" i="18"/>
  <c r="AK57" i="18"/>
  <c r="AL57" i="18"/>
  <c r="AN57" i="18"/>
  <c r="AM59" i="18"/>
  <c r="AM60" i="18"/>
  <c r="AM61" i="18"/>
  <c r="AG62" i="18"/>
  <c r="AH62" i="18"/>
  <c r="AI62" i="18"/>
  <c r="AJ62" i="18"/>
  <c r="AK62" i="18"/>
  <c r="AL62" i="18"/>
  <c r="AN62" i="18"/>
  <c r="AM64" i="18"/>
  <c r="AM65" i="18"/>
  <c r="AM66" i="18"/>
  <c r="AG67" i="18"/>
  <c r="AH67" i="18"/>
  <c r="AI67" i="18"/>
  <c r="AJ67" i="18"/>
  <c r="AK67" i="18"/>
  <c r="AL67" i="18"/>
  <c r="AN67" i="18"/>
  <c r="AM69" i="18"/>
  <c r="AM70" i="18"/>
  <c r="AM71" i="18"/>
  <c r="AG72" i="18"/>
  <c r="AH72" i="18"/>
  <c r="AI72" i="18"/>
  <c r="AJ72" i="18"/>
  <c r="AK72" i="18"/>
  <c r="AL72" i="18"/>
  <c r="AN72" i="18"/>
  <c r="AM74" i="18"/>
  <c r="AM75" i="18"/>
  <c r="AM76" i="18"/>
  <c r="AG77" i="18"/>
  <c r="AH77" i="18"/>
  <c r="AI77" i="18"/>
  <c r="AJ77" i="18"/>
  <c r="AK77" i="18"/>
  <c r="AL77" i="18"/>
  <c r="AN77" i="18"/>
  <c r="AM79" i="18"/>
  <c r="AM80" i="18"/>
  <c r="AM81" i="18"/>
  <c r="AG82" i="18"/>
  <c r="E18" i="18" s="1"/>
  <c r="AH82" i="18"/>
  <c r="F18" i="18" s="1"/>
  <c r="AI82" i="18"/>
  <c r="AJ82" i="18"/>
  <c r="AK82" i="18"/>
  <c r="AL82" i="18"/>
  <c r="AN82" i="18"/>
  <c r="AM84" i="18"/>
  <c r="AM85" i="18"/>
  <c r="AM86" i="18"/>
  <c r="AG87" i="18"/>
  <c r="E19" i="18" s="1"/>
  <c r="AH87" i="18"/>
  <c r="F19" i="18" s="1"/>
  <c r="AI87" i="18"/>
  <c r="AJ87" i="18"/>
  <c r="AK87" i="18"/>
  <c r="AL87" i="18"/>
  <c r="AN87" i="18"/>
  <c r="AM89" i="18"/>
  <c r="AM90" i="18"/>
  <c r="AM91" i="18"/>
  <c r="AG92" i="18"/>
  <c r="AH92" i="18"/>
  <c r="AI92" i="18"/>
  <c r="AJ92" i="18"/>
  <c r="AK92" i="18"/>
  <c r="AL92" i="18"/>
  <c r="AN92" i="18"/>
  <c r="AM94" i="18"/>
  <c r="AM95" i="18"/>
  <c r="AM96" i="18"/>
  <c r="AG97" i="18"/>
  <c r="AH97" i="18"/>
  <c r="AI97" i="18"/>
  <c r="AJ97" i="18"/>
  <c r="AK97" i="18"/>
  <c r="AL97" i="18"/>
  <c r="AN97" i="18"/>
  <c r="AM99" i="18"/>
  <c r="AM100" i="18"/>
  <c r="AM101" i="18"/>
  <c r="AG102" i="18"/>
  <c r="E22" i="18" s="1"/>
  <c r="AH102" i="18"/>
  <c r="F22" i="18" s="1"/>
  <c r="AI102" i="18"/>
  <c r="AJ102" i="18"/>
  <c r="H22" i="18" s="1"/>
  <c r="AK102" i="18"/>
  <c r="I22" i="18" s="1"/>
  <c r="AL102" i="18"/>
  <c r="J22" i="18" s="1"/>
  <c r="AN102" i="18"/>
  <c r="T8" i="29"/>
  <c r="T6" i="29"/>
  <c r="T5" i="29"/>
  <c r="T4" i="29"/>
  <c r="T3" i="29"/>
  <c r="R22" i="29"/>
  <c r="R21" i="29"/>
  <c r="R20" i="29"/>
  <c r="R19" i="29"/>
  <c r="R18" i="29"/>
  <c r="R17" i="29"/>
  <c r="R16" i="29"/>
  <c r="R15" i="29"/>
  <c r="R14" i="29"/>
  <c r="R10" i="29"/>
  <c r="R9" i="29"/>
  <c r="R8" i="29"/>
  <c r="R7" i="29"/>
  <c r="R6" i="29"/>
  <c r="R5" i="29"/>
  <c r="R4" i="29"/>
  <c r="R3" i="29"/>
  <c r="P22" i="29"/>
  <c r="P21" i="29"/>
  <c r="P20" i="29"/>
  <c r="P19" i="29"/>
  <c r="P18" i="29"/>
  <c r="P17" i="29"/>
  <c r="P16" i="29"/>
  <c r="P15" i="29"/>
  <c r="P14" i="29"/>
  <c r="P12" i="29"/>
  <c r="P11" i="29"/>
  <c r="P10" i="29"/>
  <c r="P9" i="29"/>
  <c r="P8" i="29"/>
  <c r="P7" i="29"/>
  <c r="P6" i="29"/>
  <c r="P5" i="29"/>
  <c r="P4" i="29"/>
  <c r="P3" i="29"/>
  <c r="N22" i="29"/>
  <c r="N21" i="29"/>
  <c r="N20" i="29"/>
  <c r="N19" i="29"/>
  <c r="N18" i="29"/>
  <c r="N17" i="29"/>
  <c r="N16" i="29"/>
  <c r="N15" i="29"/>
  <c r="N14" i="29"/>
  <c r="N12" i="29"/>
  <c r="N11" i="29"/>
  <c r="N10" i="29"/>
  <c r="N9" i="29"/>
  <c r="N8" i="29"/>
  <c r="N7" i="29"/>
  <c r="N6" i="29"/>
  <c r="N5" i="29"/>
  <c r="N4" i="29"/>
  <c r="N3" i="29"/>
  <c r="H13" i="29"/>
  <c r="K22" i="29"/>
  <c r="J22" i="29"/>
  <c r="I22" i="29"/>
  <c r="H22" i="29"/>
  <c r="G22" i="29"/>
  <c r="F22" i="29"/>
  <c r="E22" i="29"/>
  <c r="K21" i="29"/>
  <c r="J21" i="29"/>
  <c r="I21" i="29"/>
  <c r="H21" i="29"/>
  <c r="G21" i="29"/>
  <c r="F21" i="29"/>
  <c r="E21" i="29"/>
  <c r="K20" i="29"/>
  <c r="J20" i="29"/>
  <c r="I20" i="29"/>
  <c r="H20" i="29"/>
  <c r="G20" i="29"/>
  <c r="F20" i="29"/>
  <c r="E20" i="29"/>
  <c r="K19" i="29"/>
  <c r="J19" i="29"/>
  <c r="I19" i="29"/>
  <c r="H19" i="29"/>
  <c r="G19" i="29"/>
  <c r="F19" i="29"/>
  <c r="E19" i="29"/>
  <c r="K18" i="29"/>
  <c r="J18" i="29"/>
  <c r="I18" i="29"/>
  <c r="H18" i="29"/>
  <c r="G18" i="29"/>
  <c r="F18" i="29"/>
  <c r="E18" i="29"/>
  <c r="K17" i="29"/>
  <c r="J17" i="29"/>
  <c r="I17" i="29"/>
  <c r="H17" i="29"/>
  <c r="G17" i="29"/>
  <c r="F17" i="29"/>
  <c r="E17" i="29"/>
  <c r="K16" i="29"/>
  <c r="J16" i="29"/>
  <c r="I16" i="29"/>
  <c r="H16" i="29"/>
  <c r="G16" i="29"/>
  <c r="F16" i="29"/>
  <c r="E16" i="29"/>
  <c r="K15" i="29"/>
  <c r="J15" i="29"/>
  <c r="I15" i="29"/>
  <c r="H15" i="29"/>
  <c r="G15" i="29"/>
  <c r="F15" i="29"/>
  <c r="E15" i="29"/>
  <c r="K14" i="29"/>
  <c r="J14" i="29"/>
  <c r="I14" i="29"/>
  <c r="H14" i="29"/>
  <c r="G14" i="29"/>
  <c r="F14" i="29"/>
  <c r="E14" i="29"/>
  <c r="J12" i="29"/>
  <c r="H12" i="29"/>
  <c r="J11" i="29"/>
  <c r="H11" i="29"/>
  <c r="J10" i="29"/>
  <c r="J9" i="29"/>
  <c r="H10" i="29"/>
  <c r="H9" i="29"/>
  <c r="G12" i="29"/>
  <c r="G11" i="29"/>
  <c r="G10" i="29"/>
  <c r="G9" i="29"/>
  <c r="F12" i="29"/>
  <c r="F11" i="29"/>
  <c r="F10" i="29"/>
  <c r="F9" i="29"/>
  <c r="E12" i="29"/>
  <c r="E11" i="29"/>
  <c r="E10" i="29"/>
  <c r="I12" i="29"/>
  <c r="I11" i="29"/>
  <c r="I10" i="29"/>
  <c r="I9" i="29"/>
  <c r="E9" i="29"/>
  <c r="G8" i="29"/>
  <c r="J7" i="29"/>
  <c r="I7" i="29"/>
  <c r="H7" i="29"/>
  <c r="G6" i="29"/>
  <c r="G5" i="29"/>
  <c r="G4" i="29"/>
  <c r="G3" i="29"/>
  <c r="F6" i="29"/>
  <c r="F5" i="29"/>
  <c r="F4" i="29"/>
  <c r="F3" i="29"/>
  <c r="E6" i="29"/>
  <c r="E5" i="29"/>
  <c r="H6" i="29"/>
  <c r="I6" i="29"/>
  <c r="E4" i="29"/>
  <c r="E3" i="29"/>
  <c r="J4" i="29"/>
  <c r="I4" i="29"/>
  <c r="J3" i="29"/>
  <c r="I3" i="29"/>
  <c r="AX102" i="29"/>
  <c r="AW102" i="29"/>
  <c r="AU102" i="29"/>
  <c r="AT102" i="29"/>
  <c r="AR102" i="29"/>
  <c r="AQ102" i="29"/>
  <c r="AO102" i="29"/>
  <c r="AN102" i="29"/>
  <c r="AL102" i="29"/>
  <c r="AK102" i="29"/>
  <c r="AJ102" i="29"/>
  <c r="AI102" i="29"/>
  <c r="AH102" i="29"/>
  <c r="AG102" i="29"/>
  <c r="BB101" i="29"/>
  <c r="BC101" i="29" s="1"/>
  <c r="BA101" i="29"/>
  <c r="AZ101" i="29"/>
  <c r="AY101" i="29"/>
  <c r="AV101" i="29"/>
  <c r="AS101" i="29"/>
  <c r="AP101" i="29"/>
  <c r="AM101" i="29"/>
  <c r="BA100" i="29"/>
  <c r="AZ100" i="29"/>
  <c r="BB100" i="29" s="1"/>
  <c r="BC100" i="29" s="1"/>
  <c r="AY100" i="29"/>
  <c r="AV100" i="29"/>
  <c r="AS100" i="29"/>
  <c r="AP100" i="29"/>
  <c r="AM100" i="29"/>
  <c r="BA99" i="29"/>
  <c r="BA102" i="29" s="1"/>
  <c r="AZ99" i="29"/>
  <c r="AZ102" i="29" s="1"/>
  <c r="BB102" i="29" s="1"/>
  <c r="BC102" i="29" s="1"/>
  <c r="AY99" i="29"/>
  <c r="AV99" i="29"/>
  <c r="AS99" i="29"/>
  <c r="AP99" i="29"/>
  <c r="AM99" i="29"/>
  <c r="BA97" i="29"/>
  <c r="AX97" i="29"/>
  <c r="AW97" i="29"/>
  <c r="AU97" i="29"/>
  <c r="AT97" i="29"/>
  <c r="AR97" i="29"/>
  <c r="AQ97" i="29"/>
  <c r="AO97" i="29"/>
  <c r="AN97" i="29"/>
  <c r="AL97" i="29"/>
  <c r="AK97" i="29"/>
  <c r="AJ97" i="29"/>
  <c r="AI97" i="29"/>
  <c r="AH97" i="29"/>
  <c r="AG97" i="29"/>
  <c r="BC96" i="29"/>
  <c r="BB96" i="29"/>
  <c r="BA96" i="29"/>
  <c r="AZ96" i="29"/>
  <c r="AY96" i="29"/>
  <c r="AV96" i="29"/>
  <c r="AS96" i="29"/>
  <c r="AP96" i="29"/>
  <c r="AM96" i="29"/>
  <c r="BA95" i="29"/>
  <c r="AZ95" i="29"/>
  <c r="AZ97" i="29" s="1"/>
  <c r="BB97" i="29" s="1"/>
  <c r="BC97" i="29" s="1"/>
  <c r="AY95" i="29"/>
  <c r="AV95" i="29"/>
  <c r="AS95" i="29"/>
  <c r="AP95" i="29"/>
  <c r="AM95" i="29"/>
  <c r="BA94" i="29"/>
  <c r="AZ94" i="29"/>
  <c r="BB94" i="29" s="1"/>
  <c r="BC94" i="29" s="1"/>
  <c r="AY94" i="29"/>
  <c r="AV94" i="29"/>
  <c r="AS94" i="29"/>
  <c r="AP94" i="29"/>
  <c r="AM94" i="29"/>
  <c r="AX92" i="29"/>
  <c r="AW92" i="29"/>
  <c r="AU92" i="29"/>
  <c r="AT92" i="29"/>
  <c r="AR92" i="29"/>
  <c r="AQ92" i="29"/>
  <c r="AO92" i="29"/>
  <c r="AN92" i="29"/>
  <c r="AL92" i="29"/>
  <c r="AK92" i="29"/>
  <c r="AJ92" i="29"/>
  <c r="AI92" i="29"/>
  <c r="AH92" i="29"/>
  <c r="AG92" i="29"/>
  <c r="BA91" i="29"/>
  <c r="AZ91" i="29"/>
  <c r="BB91" i="29" s="1"/>
  <c r="BC91" i="29" s="1"/>
  <c r="AY91" i="29"/>
  <c r="AV91" i="29"/>
  <c r="AS91" i="29"/>
  <c r="AP91" i="29"/>
  <c r="AM91" i="29"/>
  <c r="BA90" i="29"/>
  <c r="AZ90" i="29"/>
  <c r="BB90" i="29" s="1"/>
  <c r="BC90" i="29" s="1"/>
  <c r="AY90" i="29"/>
  <c r="AV90" i="29"/>
  <c r="AS90" i="29"/>
  <c r="AP90" i="29"/>
  <c r="AM90" i="29"/>
  <c r="BB89" i="29"/>
  <c r="BC89" i="29" s="1"/>
  <c r="BA89" i="29"/>
  <c r="BA92" i="29" s="1"/>
  <c r="AZ89" i="29"/>
  <c r="AZ92" i="29" s="1"/>
  <c r="AY89" i="29"/>
  <c r="AV89" i="29"/>
  <c r="AS89" i="29"/>
  <c r="AP89" i="29"/>
  <c r="AM89" i="29"/>
  <c r="AX87" i="29"/>
  <c r="AW87" i="29"/>
  <c r="AU87" i="29"/>
  <c r="AT87" i="29"/>
  <c r="AR87" i="29"/>
  <c r="AQ87" i="29"/>
  <c r="AO87" i="29"/>
  <c r="AN87" i="29"/>
  <c r="AL87" i="29"/>
  <c r="AK87" i="29"/>
  <c r="AJ87" i="29"/>
  <c r="AI87" i="29"/>
  <c r="AH87" i="29"/>
  <c r="AG87" i="29"/>
  <c r="BA86" i="29"/>
  <c r="AZ86" i="29"/>
  <c r="BB86" i="29" s="1"/>
  <c r="BC86" i="29" s="1"/>
  <c r="AY86" i="29"/>
  <c r="AV86" i="29"/>
  <c r="AS86" i="29"/>
  <c r="AP86" i="29"/>
  <c r="AM86" i="29"/>
  <c r="BB85" i="29"/>
  <c r="BC85" i="29" s="1"/>
  <c r="BA85" i="29"/>
  <c r="AZ85" i="29"/>
  <c r="AY85" i="29"/>
  <c r="AV85" i="29"/>
  <c r="AS85" i="29"/>
  <c r="AP85" i="29"/>
  <c r="AM85" i="29"/>
  <c r="BA84" i="29"/>
  <c r="BA87" i="29" s="1"/>
  <c r="AZ84" i="29"/>
  <c r="AZ87" i="29" s="1"/>
  <c r="BB87" i="29" s="1"/>
  <c r="BC87" i="29" s="1"/>
  <c r="AY84" i="29"/>
  <c r="AV84" i="29"/>
  <c r="AS84" i="29"/>
  <c r="AP84" i="29"/>
  <c r="AM84" i="29"/>
  <c r="AZ82" i="29"/>
  <c r="AX82" i="29"/>
  <c r="AW82" i="29"/>
  <c r="AU82" i="29"/>
  <c r="AT82" i="29"/>
  <c r="AR82" i="29"/>
  <c r="AQ82" i="29"/>
  <c r="AO82" i="29"/>
  <c r="AN82" i="29"/>
  <c r="AL82" i="29"/>
  <c r="AK82" i="29"/>
  <c r="AJ82" i="29"/>
  <c r="AI82" i="29"/>
  <c r="AH82" i="29"/>
  <c r="AG82" i="29"/>
  <c r="BB81" i="29"/>
  <c r="BC81" i="29" s="1"/>
  <c r="BA81" i="29"/>
  <c r="BA82" i="29" s="1"/>
  <c r="AZ81" i="29"/>
  <c r="AY81" i="29"/>
  <c r="AV81" i="29"/>
  <c r="AS81" i="29"/>
  <c r="AP81" i="29"/>
  <c r="AM81" i="29"/>
  <c r="BC80" i="29"/>
  <c r="BB80" i="29"/>
  <c r="BA80" i="29"/>
  <c r="AZ80" i="29"/>
  <c r="AY80" i="29"/>
  <c r="AV80" i="29"/>
  <c r="AS80" i="29"/>
  <c r="AP80" i="29"/>
  <c r="AM80" i="29"/>
  <c r="BA79" i="29"/>
  <c r="AZ79" i="29"/>
  <c r="BB79" i="29" s="1"/>
  <c r="BC79" i="29" s="1"/>
  <c r="AY79" i="29"/>
  <c r="AV79" i="29"/>
  <c r="AS79" i="29"/>
  <c r="AP79" i="29"/>
  <c r="AM79" i="29"/>
  <c r="AX77" i="29"/>
  <c r="AW77" i="29"/>
  <c r="AU77" i="29"/>
  <c r="AT77" i="29"/>
  <c r="AR77" i="29"/>
  <c r="AQ77" i="29"/>
  <c r="AO77" i="29"/>
  <c r="AN77" i="29"/>
  <c r="AL77" i="29"/>
  <c r="AK77" i="29"/>
  <c r="AJ77" i="29"/>
  <c r="AI77" i="29"/>
  <c r="AH77" i="29"/>
  <c r="AG77" i="29"/>
  <c r="BA76" i="29"/>
  <c r="AZ76" i="29"/>
  <c r="BB76" i="29" s="1"/>
  <c r="BC76" i="29" s="1"/>
  <c r="AY76" i="29"/>
  <c r="AV76" i="29"/>
  <c r="AS76" i="29"/>
  <c r="AP76" i="29"/>
  <c r="AM76" i="29"/>
  <c r="BA75" i="29"/>
  <c r="AZ75" i="29"/>
  <c r="BB75" i="29" s="1"/>
  <c r="BC75" i="29" s="1"/>
  <c r="AY75" i="29"/>
  <c r="AV75" i="29"/>
  <c r="AS75" i="29"/>
  <c r="AP75" i="29"/>
  <c r="AM75" i="29"/>
  <c r="BA74" i="29"/>
  <c r="BA77" i="29" s="1"/>
  <c r="AZ74" i="29"/>
  <c r="AZ77" i="29" s="1"/>
  <c r="BB77" i="29" s="1"/>
  <c r="BC77" i="29" s="1"/>
  <c r="AY74" i="29"/>
  <c r="AV74" i="29"/>
  <c r="AS74" i="29"/>
  <c r="AP74" i="29"/>
  <c r="AM74" i="29"/>
  <c r="AX72" i="29"/>
  <c r="AW72" i="29"/>
  <c r="AU72" i="29"/>
  <c r="AT72" i="29"/>
  <c r="AR72" i="29"/>
  <c r="AQ72" i="29"/>
  <c r="AO72" i="29"/>
  <c r="AN72" i="29"/>
  <c r="AL72" i="29"/>
  <c r="AK72" i="29"/>
  <c r="AJ72" i="29"/>
  <c r="AI72" i="29"/>
  <c r="AH72" i="29"/>
  <c r="AG72" i="29"/>
  <c r="BA71" i="29"/>
  <c r="AZ71" i="29"/>
  <c r="BB71" i="29" s="1"/>
  <c r="BC71" i="29" s="1"/>
  <c r="AY71" i="29"/>
  <c r="AV71" i="29"/>
  <c r="AS71" i="29"/>
  <c r="AP71" i="29"/>
  <c r="AM71" i="29"/>
  <c r="BA70" i="29"/>
  <c r="BA72" i="29" s="1"/>
  <c r="AZ70" i="29"/>
  <c r="BB70" i="29" s="1"/>
  <c r="BC70" i="29" s="1"/>
  <c r="AY70" i="29"/>
  <c r="AV70" i="29"/>
  <c r="AS70" i="29"/>
  <c r="AP70" i="29"/>
  <c r="AM70" i="29"/>
  <c r="BB69" i="29"/>
  <c r="BC69" i="29" s="1"/>
  <c r="BA69" i="29"/>
  <c r="AZ69" i="29"/>
  <c r="AZ72" i="29" s="1"/>
  <c r="BB72" i="29" s="1"/>
  <c r="BC72" i="29" s="1"/>
  <c r="AY69" i="29"/>
  <c r="AV69" i="29"/>
  <c r="AS69" i="29"/>
  <c r="AP69" i="29"/>
  <c r="AM69" i="29"/>
  <c r="AX67" i="29"/>
  <c r="AW67" i="29"/>
  <c r="AU67" i="29"/>
  <c r="AT67" i="29"/>
  <c r="AR67" i="29"/>
  <c r="AQ67" i="29"/>
  <c r="AO67" i="29"/>
  <c r="AN67" i="29"/>
  <c r="AL67" i="29"/>
  <c r="AK67" i="29"/>
  <c r="AJ67" i="29"/>
  <c r="AI67" i="29"/>
  <c r="AH67" i="29"/>
  <c r="AG67" i="29"/>
  <c r="BA66" i="29"/>
  <c r="AZ66" i="29"/>
  <c r="AZ67" i="29" s="1"/>
  <c r="AY66" i="29"/>
  <c r="AV66" i="29"/>
  <c r="AS66" i="29"/>
  <c r="AP66" i="29"/>
  <c r="AM66" i="29"/>
  <c r="BB65" i="29"/>
  <c r="BC65" i="29" s="1"/>
  <c r="BA65" i="29"/>
  <c r="AZ65" i="29"/>
  <c r="AY65" i="29"/>
  <c r="AV65" i="29"/>
  <c r="AS65" i="29"/>
  <c r="AP65" i="29"/>
  <c r="AM65" i="29"/>
  <c r="BC64" i="29"/>
  <c r="BB64" i="29"/>
  <c r="BA64" i="29"/>
  <c r="BA67" i="29" s="1"/>
  <c r="AZ64" i="29"/>
  <c r="AY64" i="29"/>
  <c r="AV64" i="29"/>
  <c r="AS64" i="29"/>
  <c r="AP64" i="29"/>
  <c r="AM64" i="29"/>
  <c r="AX62" i="29"/>
  <c r="AW62" i="29"/>
  <c r="AU62" i="29"/>
  <c r="AT62" i="29"/>
  <c r="AR62" i="29"/>
  <c r="AQ62" i="29"/>
  <c r="AO62" i="29"/>
  <c r="AN62" i="29"/>
  <c r="AL62" i="29"/>
  <c r="AK62" i="29"/>
  <c r="AJ62" i="29"/>
  <c r="AI62" i="29"/>
  <c r="AH62" i="29"/>
  <c r="AG62" i="29"/>
  <c r="BB61" i="29"/>
  <c r="BC61" i="29" s="1"/>
  <c r="BA61" i="29"/>
  <c r="AZ61" i="29"/>
  <c r="AY61" i="29"/>
  <c r="AV61" i="29"/>
  <c r="AS61" i="29"/>
  <c r="AP61" i="29"/>
  <c r="AM61" i="29"/>
  <c r="BA60" i="29"/>
  <c r="AZ60" i="29"/>
  <c r="BB60" i="29" s="1"/>
  <c r="BC60" i="29" s="1"/>
  <c r="AY60" i="29"/>
  <c r="AV60" i="29"/>
  <c r="AS60" i="29"/>
  <c r="AP60" i="29"/>
  <c r="AM60" i="29"/>
  <c r="BA59" i="29"/>
  <c r="BA62" i="29" s="1"/>
  <c r="AZ59" i="29"/>
  <c r="AZ62" i="29" s="1"/>
  <c r="BB62" i="29" s="1"/>
  <c r="BC62" i="29" s="1"/>
  <c r="AY59" i="29"/>
  <c r="AV59" i="29"/>
  <c r="AS59" i="29"/>
  <c r="AP59" i="29"/>
  <c r="AM59" i="29"/>
  <c r="AX57" i="29"/>
  <c r="AW57" i="29"/>
  <c r="AU57" i="29"/>
  <c r="AT57" i="29"/>
  <c r="R13" i="29" s="1"/>
  <c r="AR57" i="29"/>
  <c r="AQ57" i="29"/>
  <c r="P13" i="29" s="1"/>
  <c r="AO57" i="29"/>
  <c r="AN57" i="29"/>
  <c r="N13" i="29" s="1"/>
  <c r="AL57" i="29"/>
  <c r="J13" i="29" s="1"/>
  <c r="AK57" i="29"/>
  <c r="I13" i="29" s="1"/>
  <c r="AJ57" i="29"/>
  <c r="AI57" i="29"/>
  <c r="G13" i="29" s="1"/>
  <c r="AH57" i="29"/>
  <c r="F13" i="29" s="1"/>
  <c r="AG57" i="29"/>
  <c r="E13" i="29" s="1"/>
  <c r="BC56" i="29"/>
  <c r="BB56" i="29"/>
  <c r="BA56" i="29"/>
  <c r="AZ56" i="29"/>
  <c r="AY56" i="29"/>
  <c r="AV56" i="29"/>
  <c r="AS56" i="29"/>
  <c r="AP56" i="29"/>
  <c r="AM56" i="29"/>
  <c r="BA55" i="29"/>
  <c r="AZ55" i="29"/>
  <c r="AY55" i="29"/>
  <c r="AV55" i="29"/>
  <c r="AS55" i="29"/>
  <c r="AP55" i="29"/>
  <c r="AM55" i="29"/>
  <c r="BA54" i="29"/>
  <c r="BA57" i="29" s="1"/>
  <c r="K13" i="29" s="1"/>
  <c r="AZ54" i="29"/>
  <c r="AY54" i="29"/>
  <c r="AV54" i="29"/>
  <c r="AS54" i="29"/>
  <c r="AP54" i="29"/>
  <c r="AM54" i="29"/>
  <c r="AX52" i="29"/>
  <c r="AW52" i="29"/>
  <c r="AU52" i="29"/>
  <c r="AT52" i="29"/>
  <c r="R12" i="29" s="1"/>
  <c r="AR52" i="29"/>
  <c r="AQ52" i="29"/>
  <c r="AO52" i="29"/>
  <c r="AN52" i="29"/>
  <c r="AL52" i="29"/>
  <c r="AK52" i="29"/>
  <c r="AJ52" i="29"/>
  <c r="AI52" i="29"/>
  <c r="AH52" i="29"/>
  <c r="AG52" i="29"/>
  <c r="BA51" i="29"/>
  <c r="AZ51" i="29"/>
  <c r="BB51" i="29" s="1"/>
  <c r="BC51" i="29" s="1"/>
  <c r="AY51" i="29"/>
  <c r="AV51" i="29"/>
  <c r="AS51" i="29"/>
  <c r="AP51" i="29"/>
  <c r="AM51" i="29"/>
  <c r="BA50" i="29"/>
  <c r="AZ50" i="29"/>
  <c r="BB50" i="29" s="1"/>
  <c r="BC50" i="29" s="1"/>
  <c r="AY50" i="29"/>
  <c r="AV50" i="29"/>
  <c r="AS50" i="29"/>
  <c r="AP50" i="29"/>
  <c r="AM50" i="29"/>
  <c r="BA49" i="29"/>
  <c r="BA52" i="29" s="1"/>
  <c r="K12" i="29" s="1"/>
  <c r="AZ49" i="29"/>
  <c r="AY49" i="29"/>
  <c r="AV49" i="29"/>
  <c r="AS49" i="29"/>
  <c r="AP49" i="29"/>
  <c r="AM49" i="29"/>
  <c r="AX47" i="29"/>
  <c r="AW47" i="29"/>
  <c r="AU47" i="29"/>
  <c r="AT47" i="29"/>
  <c r="R11" i="29" s="1"/>
  <c r="AR47" i="29"/>
  <c r="AQ47" i="29"/>
  <c r="AO47" i="29"/>
  <c r="AN47" i="29"/>
  <c r="AL47" i="29"/>
  <c r="AK47" i="29"/>
  <c r="AJ47" i="29"/>
  <c r="AI47" i="29"/>
  <c r="AH47" i="29"/>
  <c r="AG47" i="29"/>
  <c r="BA46" i="29"/>
  <c r="AZ46" i="29"/>
  <c r="BB46" i="29" s="1"/>
  <c r="BC46" i="29" s="1"/>
  <c r="AY46" i="29"/>
  <c r="AV46" i="29"/>
  <c r="AS46" i="29"/>
  <c r="AP46" i="29"/>
  <c r="AM46" i="29"/>
  <c r="BB45" i="29"/>
  <c r="BC45" i="29" s="1"/>
  <c r="BA45" i="29"/>
  <c r="AZ45" i="29"/>
  <c r="AY45" i="29"/>
  <c r="AV45" i="29"/>
  <c r="AS45" i="29"/>
  <c r="AP45" i="29"/>
  <c r="AM45" i="29"/>
  <c r="BA44" i="29"/>
  <c r="BA47" i="29" s="1"/>
  <c r="K11" i="29" s="1"/>
  <c r="AZ44" i="29"/>
  <c r="AZ47" i="29" s="1"/>
  <c r="BB47" i="29" s="1"/>
  <c r="BC47" i="29" s="1"/>
  <c r="AY44" i="29"/>
  <c r="AV44" i="29"/>
  <c r="AS44" i="29"/>
  <c r="AP44" i="29"/>
  <c r="AM44" i="29"/>
  <c r="AX42" i="29"/>
  <c r="AW42" i="29"/>
  <c r="AU42" i="29"/>
  <c r="AT42" i="29"/>
  <c r="AR42" i="29"/>
  <c r="AQ42" i="29"/>
  <c r="AO42" i="29"/>
  <c r="AN42" i="29"/>
  <c r="AL42" i="29"/>
  <c r="AK42" i="29"/>
  <c r="AJ42" i="29"/>
  <c r="AI42" i="29"/>
  <c r="AH42" i="29"/>
  <c r="AG42" i="29"/>
  <c r="BB41" i="29"/>
  <c r="BC41" i="29" s="1"/>
  <c r="BA41" i="29"/>
  <c r="AZ41" i="29"/>
  <c r="AY41" i="29"/>
  <c r="AV41" i="29"/>
  <c r="AS41" i="29"/>
  <c r="AP41" i="29"/>
  <c r="AM41" i="29"/>
  <c r="BC40" i="29"/>
  <c r="BB40" i="29"/>
  <c r="BA40" i="29"/>
  <c r="AZ40" i="29"/>
  <c r="AY40" i="29"/>
  <c r="AV40" i="29"/>
  <c r="AS40" i="29"/>
  <c r="AP40" i="29"/>
  <c r="AM40" i="29"/>
  <c r="BA39" i="29"/>
  <c r="AZ39" i="29"/>
  <c r="AY39" i="29"/>
  <c r="AV39" i="29"/>
  <c r="AS39" i="29"/>
  <c r="AP39" i="29"/>
  <c r="AM39" i="29"/>
  <c r="AX37" i="29"/>
  <c r="AW37" i="29"/>
  <c r="T9" i="29" s="1"/>
  <c r="AU37" i="29"/>
  <c r="AT37" i="29"/>
  <c r="AR37" i="29"/>
  <c r="AQ37" i="29"/>
  <c r="AO37" i="29"/>
  <c r="AN37" i="29"/>
  <c r="AL37" i="29"/>
  <c r="AK37" i="29"/>
  <c r="AJ37" i="29"/>
  <c r="AI37" i="29"/>
  <c r="AH37" i="29"/>
  <c r="AG37" i="29"/>
  <c r="BA36" i="29"/>
  <c r="AZ36" i="29"/>
  <c r="BB36" i="29" s="1"/>
  <c r="BC36" i="29" s="1"/>
  <c r="AY36" i="29"/>
  <c r="AV36" i="29"/>
  <c r="AS36" i="29"/>
  <c r="AP36" i="29"/>
  <c r="AM36" i="29"/>
  <c r="BA35" i="29"/>
  <c r="AZ35" i="29"/>
  <c r="BB35" i="29" s="1"/>
  <c r="BC35" i="29" s="1"/>
  <c r="AY35" i="29"/>
  <c r="AV35" i="29"/>
  <c r="AS35" i="29"/>
  <c r="AP35" i="29"/>
  <c r="AM35" i="29"/>
  <c r="BA34" i="29"/>
  <c r="BA37" i="29" s="1"/>
  <c r="AZ34" i="29"/>
  <c r="AZ37" i="29" s="1"/>
  <c r="BB37" i="29" s="1"/>
  <c r="BC37" i="29" s="1"/>
  <c r="AY34" i="29"/>
  <c r="AV34" i="29"/>
  <c r="AS34" i="29"/>
  <c r="AP34" i="29"/>
  <c r="AM34" i="29"/>
  <c r="AX32" i="29"/>
  <c r="AW32" i="29"/>
  <c r="AU32" i="29"/>
  <c r="AT32" i="29"/>
  <c r="AR32" i="29"/>
  <c r="AQ32" i="29"/>
  <c r="AO32" i="29"/>
  <c r="AN32" i="29"/>
  <c r="AL32" i="29"/>
  <c r="J8" i="29" s="1"/>
  <c r="AK32" i="29"/>
  <c r="I8" i="29" s="1"/>
  <c r="AJ32" i="29"/>
  <c r="H8" i="29" s="1"/>
  <c r="AI32" i="29"/>
  <c r="AH32" i="29"/>
  <c r="F8" i="29" s="1"/>
  <c r="AG32" i="29"/>
  <c r="E8" i="29" s="1"/>
  <c r="BA31" i="29"/>
  <c r="AZ31" i="29"/>
  <c r="BB31" i="29" s="1"/>
  <c r="BC31" i="29" s="1"/>
  <c r="AY31" i="29"/>
  <c r="AV31" i="29"/>
  <c r="AS31" i="29"/>
  <c r="AP31" i="29"/>
  <c r="AM31" i="29"/>
  <c r="BA30" i="29"/>
  <c r="BA32" i="29" s="1"/>
  <c r="K8" i="29" s="1"/>
  <c r="AZ30" i="29"/>
  <c r="BB30" i="29" s="1"/>
  <c r="BC30" i="29" s="1"/>
  <c r="AY30" i="29"/>
  <c r="AV30" i="29"/>
  <c r="AS30" i="29"/>
  <c r="AP30" i="29"/>
  <c r="AM30" i="29"/>
  <c r="BB29" i="29"/>
  <c r="BC29" i="29" s="1"/>
  <c r="BA29" i="29"/>
  <c r="AZ29" i="29"/>
  <c r="AZ32" i="29" s="1"/>
  <c r="AY29" i="29"/>
  <c r="AV29" i="29"/>
  <c r="AS29" i="29"/>
  <c r="AP29" i="29"/>
  <c r="AM29" i="29"/>
  <c r="AX27" i="29"/>
  <c r="AW27" i="29"/>
  <c r="T7" i="29" s="1"/>
  <c r="AU27" i="29"/>
  <c r="AT27" i="29"/>
  <c r="AR27" i="29"/>
  <c r="AQ27" i="29"/>
  <c r="AO27" i="29"/>
  <c r="AN27" i="29"/>
  <c r="AL27" i="29"/>
  <c r="AK27" i="29"/>
  <c r="AJ27" i="29"/>
  <c r="AI27" i="29"/>
  <c r="G7" i="29" s="1"/>
  <c r="AH27" i="29"/>
  <c r="F7" i="29" s="1"/>
  <c r="AG27" i="29"/>
  <c r="E7" i="29" s="1"/>
  <c r="BA26" i="29"/>
  <c r="AZ26" i="29"/>
  <c r="AY26" i="29"/>
  <c r="AV26" i="29"/>
  <c r="AS26" i="29"/>
  <c r="AP26" i="29"/>
  <c r="AM26" i="29"/>
  <c r="BB25" i="29"/>
  <c r="BC25" i="29" s="1"/>
  <c r="BA25" i="29"/>
  <c r="AZ25" i="29"/>
  <c r="AY25" i="29"/>
  <c r="AV25" i="29"/>
  <c r="AS25" i="29"/>
  <c r="AP25" i="29"/>
  <c r="AM25" i="29"/>
  <c r="BA24" i="29"/>
  <c r="BA27" i="29" s="1"/>
  <c r="K7" i="29" s="1"/>
  <c r="AZ24" i="29"/>
  <c r="BB24" i="29" s="1"/>
  <c r="BC24" i="29" s="1"/>
  <c r="AY24" i="29"/>
  <c r="AV24" i="29"/>
  <c r="AS24" i="29"/>
  <c r="AP24" i="29"/>
  <c r="AM24" i="29"/>
  <c r="AX22" i="29"/>
  <c r="AW22" i="29"/>
  <c r="AU22" i="29"/>
  <c r="AT22" i="29"/>
  <c r="AR22" i="29"/>
  <c r="AQ22" i="29"/>
  <c r="AO22" i="29"/>
  <c r="AN22" i="29"/>
  <c r="AL22" i="29"/>
  <c r="J6" i="29" s="1"/>
  <c r="AK22" i="29"/>
  <c r="AJ22" i="29"/>
  <c r="AI22" i="29"/>
  <c r="AH22" i="29"/>
  <c r="AG22" i="29"/>
  <c r="BA21" i="29"/>
  <c r="AZ21" i="29"/>
  <c r="AY21" i="29"/>
  <c r="AV21" i="29"/>
  <c r="AS21" i="29"/>
  <c r="AP21" i="29"/>
  <c r="AM21" i="29"/>
  <c r="BA20" i="29"/>
  <c r="AZ20" i="29"/>
  <c r="BB20" i="29" s="1"/>
  <c r="BC20" i="29" s="1"/>
  <c r="AY20" i="29"/>
  <c r="AV20" i="29"/>
  <c r="AS20" i="29"/>
  <c r="AP20" i="29"/>
  <c r="AM20" i="29"/>
  <c r="BA19" i="29"/>
  <c r="AZ19" i="29"/>
  <c r="AZ22" i="29" s="1"/>
  <c r="V6" i="29" s="1"/>
  <c r="AY19" i="29"/>
  <c r="AV19" i="29"/>
  <c r="AS19" i="29"/>
  <c r="AP19" i="29"/>
  <c r="AM19" i="29"/>
  <c r="AX17" i="29"/>
  <c r="AW17" i="29"/>
  <c r="AU17" i="29"/>
  <c r="AT17" i="29"/>
  <c r="AR17" i="29"/>
  <c r="AQ17" i="29"/>
  <c r="AO17" i="29"/>
  <c r="AN17" i="29"/>
  <c r="AL17" i="29"/>
  <c r="J5" i="29" s="1"/>
  <c r="AK17" i="29"/>
  <c r="I5" i="29" s="1"/>
  <c r="AJ17" i="29"/>
  <c r="H5" i="29" s="1"/>
  <c r="AI17" i="29"/>
  <c r="AH17" i="29"/>
  <c r="AG17" i="29"/>
  <c r="BC16" i="29"/>
  <c r="BB16" i="29"/>
  <c r="BA16" i="29"/>
  <c r="AZ16" i="29"/>
  <c r="AY16" i="29"/>
  <c r="AV16" i="29"/>
  <c r="AS16" i="29"/>
  <c r="AP16" i="29"/>
  <c r="AM16" i="29"/>
  <c r="BA15" i="29"/>
  <c r="AZ15" i="29"/>
  <c r="AY15" i="29"/>
  <c r="AV15" i="29"/>
  <c r="AS15" i="29"/>
  <c r="AP15" i="29"/>
  <c r="AM15" i="29"/>
  <c r="BA14" i="29"/>
  <c r="BA17" i="29" s="1"/>
  <c r="K5" i="29" s="1"/>
  <c r="AZ14" i="29"/>
  <c r="BB14" i="29" s="1"/>
  <c r="BC14" i="29" s="1"/>
  <c r="AY14" i="29"/>
  <c r="AV14" i="29"/>
  <c r="AS14" i="29"/>
  <c r="AP14" i="29"/>
  <c r="AM14" i="29"/>
  <c r="AX12" i="29"/>
  <c r="AW12" i="29"/>
  <c r="AU12" i="29"/>
  <c r="AT12" i="29"/>
  <c r="AR12" i="29"/>
  <c r="AQ12" i="29"/>
  <c r="AO12" i="29"/>
  <c r="AN12" i="29"/>
  <c r="AL12" i="29"/>
  <c r="AK12" i="29"/>
  <c r="AJ12" i="29"/>
  <c r="H4" i="29" s="1"/>
  <c r="AI12" i="29"/>
  <c r="AH12" i="29"/>
  <c r="AG12" i="29"/>
  <c r="BA11" i="29"/>
  <c r="AZ11" i="29"/>
  <c r="AY11" i="29"/>
  <c r="AV11" i="29"/>
  <c r="AS11" i="29"/>
  <c r="AP11" i="29"/>
  <c r="AM11" i="29"/>
  <c r="BA10" i="29"/>
  <c r="AZ10" i="29"/>
  <c r="BB10" i="29" s="1"/>
  <c r="BC10" i="29" s="1"/>
  <c r="AY10" i="29"/>
  <c r="AV10" i="29"/>
  <c r="AS10" i="29"/>
  <c r="AP10" i="29"/>
  <c r="AM10" i="29"/>
  <c r="BB9" i="29"/>
  <c r="BC9" i="29" s="1"/>
  <c r="BA9" i="29"/>
  <c r="AZ9" i="29"/>
  <c r="AY9" i="29"/>
  <c r="AV9" i="29"/>
  <c r="AS9" i="29"/>
  <c r="AP9" i="29"/>
  <c r="AM9" i="29"/>
  <c r="AX7" i="29"/>
  <c r="AW7" i="29"/>
  <c r="AU7" i="29"/>
  <c r="AT7" i="29"/>
  <c r="AR7" i="29"/>
  <c r="AQ7" i="29"/>
  <c r="AO7" i="29"/>
  <c r="AN7" i="29"/>
  <c r="AL7" i="29"/>
  <c r="AK7" i="29"/>
  <c r="AJ7" i="29"/>
  <c r="H3" i="29" s="1"/>
  <c r="AI7" i="29"/>
  <c r="AH7" i="29"/>
  <c r="AG7" i="29"/>
  <c r="BA6" i="29"/>
  <c r="AZ6" i="29"/>
  <c r="BB6" i="29" s="1"/>
  <c r="BC6" i="29" s="1"/>
  <c r="AY6" i="29"/>
  <c r="AV6" i="29"/>
  <c r="AS6" i="29"/>
  <c r="AP6" i="29"/>
  <c r="AM6" i="29"/>
  <c r="BB5" i="29"/>
  <c r="BC5" i="29" s="1"/>
  <c r="BA5" i="29"/>
  <c r="AZ5" i="29"/>
  <c r="AY5" i="29"/>
  <c r="AV5" i="29"/>
  <c r="AS5" i="29"/>
  <c r="AP5" i="29"/>
  <c r="AM5" i="29"/>
  <c r="BA4" i="29"/>
  <c r="BA7" i="29" s="1"/>
  <c r="K3" i="29" s="1"/>
  <c r="AZ4" i="29"/>
  <c r="AZ7" i="29" s="1"/>
  <c r="V3" i="29" s="1"/>
  <c r="AY4" i="29"/>
  <c r="AV4" i="29"/>
  <c r="AS4" i="29"/>
  <c r="AP4" i="29"/>
  <c r="AM4" i="29"/>
  <c r="AX102" i="18"/>
  <c r="AW102" i="18"/>
  <c r="T22" i="18" s="1"/>
  <c r="U22" i="18" s="1"/>
  <c r="AU102" i="18"/>
  <c r="AT102" i="18"/>
  <c r="R22" i="18" s="1"/>
  <c r="S22" i="18" s="1"/>
  <c r="AR102" i="18"/>
  <c r="AQ102" i="18"/>
  <c r="P22" i="18" s="1"/>
  <c r="Q22" i="18" s="1"/>
  <c r="AO102" i="18"/>
  <c r="N22" i="18" s="1"/>
  <c r="O22" i="18" s="1"/>
  <c r="BA101" i="18"/>
  <c r="AZ101" i="18"/>
  <c r="AY101" i="18"/>
  <c r="AV101" i="18"/>
  <c r="AS101" i="18"/>
  <c r="AP101" i="18"/>
  <c r="BA100" i="18"/>
  <c r="AZ100" i="18"/>
  <c r="BB100" i="18" s="1"/>
  <c r="BC100" i="18" s="1"/>
  <c r="AY100" i="18"/>
  <c r="AV100" i="18"/>
  <c r="AS100" i="18"/>
  <c r="AP100" i="18"/>
  <c r="BA99" i="18"/>
  <c r="AZ99" i="18"/>
  <c r="AY99" i="18"/>
  <c r="AV99" i="18"/>
  <c r="AS99" i="18"/>
  <c r="AP99" i="18"/>
  <c r="AX97" i="18"/>
  <c r="AW97" i="18"/>
  <c r="T21" i="18" s="1"/>
  <c r="AU97" i="18"/>
  <c r="AT97" i="18"/>
  <c r="AR97" i="18"/>
  <c r="AQ97" i="18"/>
  <c r="AO97" i="18"/>
  <c r="N21" i="18" s="1"/>
  <c r="BA96" i="18"/>
  <c r="AZ96" i="18"/>
  <c r="AY96" i="18"/>
  <c r="AV96" i="18"/>
  <c r="AS96" i="18"/>
  <c r="AP96" i="18"/>
  <c r="BA95" i="18"/>
  <c r="AZ95" i="18"/>
  <c r="AY95" i="18"/>
  <c r="AV95" i="18"/>
  <c r="AS95" i="18"/>
  <c r="AP95" i="18"/>
  <c r="BA94" i="18"/>
  <c r="BA97" i="18" s="1"/>
  <c r="AZ94" i="18"/>
  <c r="AY94" i="18"/>
  <c r="AV94" i="18"/>
  <c r="AS94" i="18"/>
  <c r="AP94" i="18"/>
  <c r="AX92" i="18"/>
  <c r="AW92" i="18"/>
  <c r="T20" i="18" s="1"/>
  <c r="AU92" i="18"/>
  <c r="AT92" i="18"/>
  <c r="AR92" i="18"/>
  <c r="AQ92" i="18"/>
  <c r="P20" i="18" s="1"/>
  <c r="AO92" i="18"/>
  <c r="BA91" i="18"/>
  <c r="AZ91" i="18"/>
  <c r="AY91" i="18"/>
  <c r="AV91" i="18"/>
  <c r="AS91" i="18"/>
  <c r="AP91" i="18"/>
  <c r="BA90" i="18"/>
  <c r="AZ90" i="18"/>
  <c r="AY90" i="18"/>
  <c r="AV90" i="18"/>
  <c r="AS90" i="18"/>
  <c r="AP90" i="18"/>
  <c r="BA89" i="18"/>
  <c r="AZ89" i="18"/>
  <c r="AY89" i="18"/>
  <c r="AV89" i="18"/>
  <c r="AS89" i="18"/>
  <c r="AP89" i="18"/>
  <c r="AX87" i="18"/>
  <c r="AW87" i="18"/>
  <c r="T19" i="18" s="1"/>
  <c r="AU87" i="18"/>
  <c r="AT87" i="18"/>
  <c r="R19" i="18" s="1"/>
  <c r="AR87" i="18"/>
  <c r="AQ87" i="18"/>
  <c r="P19" i="18" s="1"/>
  <c r="AO87" i="18"/>
  <c r="N19" i="18" s="1"/>
  <c r="BA86" i="18"/>
  <c r="AZ86" i="18"/>
  <c r="AY86" i="18"/>
  <c r="AV86" i="18"/>
  <c r="AS86" i="18"/>
  <c r="AP86" i="18"/>
  <c r="BA85" i="18"/>
  <c r="AZ85" i="18"/>
  <c r="BB85" i="18" s="1"/>
  <c r="BC85" i="18" s="1"/>
  <c r="AY85" i="18"/>
  <c r="AV85" i="18"/>
  <c r="AS85" i="18"/>
  <c r="AP85" i="18"/>
  <c r="BA84" i="18"/>
  <c r="BA87" i="18" s="1"/>
  <c r="AZ84" i="18"/>
  <c r="AZ87" i="18" s="1"/>
  <c r="V19" i="18" s="1"/>
  <c r="AY84" i="18"/>
  <c r="AV84" i="18"/>
  <c r="AS84" i="18"/>
  <c r="AP84" i="18"/>
  <c r="AX82" i="18"/>
  <c r="AW82" i="18"/>
  <c r="T18" i="18" s="1"/>
  <c r="AU82" i="18"/>
  <c r="AT82" i="18"/>
  <c r="R18" i="18" s="1"/>
  <c r="AR82" i="18"/>
  <c r="AQ82" i="18"/>
  <c r="P18" i="18" s="1"/>
  <c r="AO82" i="18"/>
  <c r="N18" i="18" s="1"/>
  <c r="BA81" i="18"/>
  <c r="AZ81" i="18"/>
  <c r="BB81" i="18" s="1"/>
  <c r="BC81" i="18" s="1"/>
  <c r="AY81" i="18"/>
  <c r="AV81" i="18"/>
  <c r="AS81" i="18"/>
  <c r="AP81" i="18"/>
  <c r="BA80" i="18"/>
  <c r="AZ80" i="18"/>
  <c r="BB80" i="18" s="1"/>
  <c r="BC80" i="18" s="1"/>
  <c r="AY80" i="18"/>
  <c r="AV80" i="18"/>
  <c r="AS80" i="18"/>
  <c r="AP80" i="18"/>
  <c r="BA79" i="18"/>
  <c r="AZ79" i="18"/>
  <c r="BB79" i="18" s="1"/>
  <c r="BC79" i="18" s="1"/>
  <c r="AY79" i="18"/>
  <c r="AV79" i="18"/>
  <c r="AS79" i="18"/>
  <c r="AP79" i="18"/>
  <c r="AX77" i="18"/>
  <c r="AW77" i="18"/>
  <c r="T17" i="18" s="1"/>
  <c r="AU77" i="18"/>
  <c r="AT77" i="18"/>
  <c r="R17" i="18" s="1"/>
  <c r="AR77" i="18"/>
  <c r="AQ77" i="18"/>
  <c r="P17" i="18" s="1"/>
  <c r="AO77" i="18"/>
  <c r="BA76" i="18"/>
  <c r="AZ76" i="18"/>
  <c r="AY76" i="18"/>
  <c r="AV76" i="18"/>
  <c r="AS76" i="18"/>
  <c r="AP76" i="18"/>
  <c r="BA75" i="18"/>
  <c r="AZ75" i="18"/>
  <c r="BB75" i="18" s="1"/>
  <c r="BC75" i="18" s="1"/>
  <c r="AY75" i="18"/>
  <c r="AV75" i="18"/>
  <c r="AS75" i="18"/>
  <c r="AP75" i="18"/>
  <c r="BA74" i="18"/>
  <c r="AZ74" i="18"/>
  <c r="AY74" i="18"/>
  <c r="AV74" i="18"/>
  <c r="AS74" i="18"/>
  <c r="AP74" i="18"/>
  <c r="AX72" i="18"/>
  <c r="AW72" i="18"/>
  <c r="T16" i="18" s="1"/>
  <c r="AU72" i="18"/>
  <c r="AT72" i="18"/>
  <c r="R16" i="18" s="1"/>
  <c r="AR72" i="18"/>
  <c r="AQ72" i="18"/>
  <c r="P16" i="18" s="1"/>
  <c r="AO72" i="18"/>
  <c r="N16" i="18" s="1"/>
  <c r="BA71" i="18"/>
  <c r="AZ71" i="18"/>
  <c r="BB71" i="18" s="1"/>
  <c r="BC71" i="18" s="1"/>
  <c r="AY71" i="18"/>
  <c r="AV71" i="18"/>
  <c r="AS71" i="18"/>
  <c r="AP71" i="18"/>
  <c r="BA70" i="18"/>
  <c r="AZ70" i="18"/>
  <c r="BB70" i="18" s="1"/>
  <c r="BC70" i="18" s="1"/>
  <c r="AY70" i="18"/>
  <c r="AV70" i="18"/>
  <c r="AS70" i="18"/>
  <c r="AP70" i="18"/>
  <c r="BA69" i="18"/>
  <c r="AZ69" i="18"/>
  <c r="BB69" i="18" s="1"/>
  <c r="BC69" i="18" s="1"/>
  <c r="AY69" i="18"/>
  <c r="AV69" i="18"/>
  <c r="AS69" i="18"/>
  <c r="AP69" i="18"/>
  <c r="AX67" i="18"/>
  <c r="AW67" i="18"/>
  <c r="T15" i="18" s="1"/>
  <c r="AU67" i="18"/>
  <c r="AT67" i="18"/>
  <c r="R15" i="18" s="1"/>
  <c r="AR67" i="18"/>
  <c r="AQ67" i="18"/>
  <c r="P15" i="18" s="1"/>
  <c r="AO67" i="18"/>
  <c r="BA66" i="18"/>
  <c r="AZ66" i="18"/>
  <c r="AY66" i="18"/>
  <c r="AV66" i="18"/>
  <c r="AS66" i="18"/>
  <c r="AP66" i="18"/>
  <c r="BA65" i="18"/>
  <c r="AZ65" i="18"/>
  <c r="AY65" i="18"/>
  <c r="AV65" i="18"/>
  <c r="AS65" i="18"/>
  <c r="AP65" i="18"/>
  <c r="BA64" i="18"/>
  <c r="AZ64" i="18"/>
  <c r="AY64" i="18"/>
  <c r="AV64" i="18"/>
  <c r="AS64" i="18"/>
  <c r="AP64" i="18"/>
  <c r="AX62" i="18"/>
  <c r="AW62" i="18"/>
  <c r="T14" i="18" s="1"/>
  <c r="AU62" i="18"/>
  <c r="AT62" i="18"/>
  <c r="R14" i="18" s="1"/>
  <c r="AR62" i="18"/>
  <c r="AQ62" i="18"/>
  <c r="P14" i="18" s="1"/>
  <c r="AO62" i="18"/>
  <c r="BA61" i="18"/>
  <c r="AZ61" i="18"/>
  <c r="BB61" i="18" s="1"/>
  <c r="BC61" i="18" s="1"/>
  <c r="AY61" i="18"/>
  <c r="AV61" i="18"/>
  <c r="AS61" i="18"/>
  <c r="AP61" i="18"/>
  <c r="BA60" i="18"/>
  <c r="AZ60" i="18"/>
  <c r="AY60" i="18"/>
  <c r="AV60" i="18"/>
  <c r="AS60" i="18"/>
  <c r="AP60" i="18"/>
  <c r="BA59" i="18"/>
  <c r="AZ59" i="18"/>
  <c r="AY59" i="18"/>
  <c r="AV59" i="18"/>
  <c r="AS59" i="18"/>
  <c r="AP59" i="18"/>
  <c r="AX57" i="18"/>
  <c r="AW57" i="18"/>
  <c r="T13" i="18" s="1"/>
  <c r="AU57" i="18"/>
  <c r="AT57" i="18"/>
  <c r="R13" i="18" s="1"/>
  <c r="AR57" i="18"/>
  <c r="AQ57" i="18"/>
  <c r="P13" i="18" s="1"/>
  <c r="AO57" i="18"/>
  <c r="N13" i="18" s="1"/>
  <c r="BA56" i="18"/>
  <c r="AZ56" i="18"/>
  <c r="BB56" i="18" s="1"/>
  <c r="BC56" i="18" s="1"/>
  <c r="AY56" i="18"/>
  <c r="AV56" i="18"/>
  <c r="AS56" i="18"/>
  <c r="AP56" i="18"/>
  <c r="BA55" i="18"/>
  <c r="AZ55" i="18"/>
  <c r="AY55" i="18"/>
  <c r="AV55" i="18"/>
  <c r="AS55" i="18"/>
  <c r="AP55" i="18"/>
  <c r="BA54" i="18"/>
  <c r="BA57" i="18" s="1"/>
  <c r="AZ54" i="18"/>
  <c r="BB54" i="18" s="1"/>
  <c r="BC54" i="18" s="1"/>
  <c r="AY54" i="18"/>
  <c r="AV54" i="18"/>
  <c r="AS54" i="18"/>
  <c r="AP54" i="18"/>
  <c r="AX52" i="18"/>
  <c r="AW52" i="18"/>
  <c r="T12" i="18" s="1"/>
  <c r="AU52" i="18"/>
  <c r="AT52" i="18"/>
  <c r="R12" i="18" s="1"/>
  <c r="AR52" i="18"/>
  <c r="AQ52" i="18"/>
  <c r="P12" i="18" s="1"/>
  <c r="AO52" i="18"/>
  <c r="N12" i="18" s="1"/>
  <c r="BA51" i="18"/>
  <c r="AZ51" i="18"/>
  <c r="AY51" i="18"/>
  <c r="AV51" i="18"/>
  <c r="AS51" i="18"/>
  <c r="AP51" i="18"/>
  <c r="BA50" i="18"/>
  <c r="AZ50" i="18"/>
  <c r="BB50" i="18" s="1"/>
  <c r="BC50" i="18" s="1"/>
  <c r="AY50" i="18"/>
  <c r="AV50" i="18"/>
  <c r="AS50" i="18"/>
  <c r="AP50" i="18"/>
  <c r="BA49" i="18"/>
  <c r="AZ49" i="18"/>
  <c r="AY49" i="18"/>
  <c r="AV49" i="18"/>
  <c r="AS49" i="18"/>
  <c r="AP49" i="18"/>
  <c r="AX47" i="18"/>
  <c r="AW47" i="18"/>
  <c r="T11" i="18" s="1"/>
  <c r="AU47" i="18"/>
  <c r="AT47" i="18"/>
  <c r="R11" i="18" s="1"/>
  <c r="AR47" i="18"/>
  <c r="AQ47" i="18"/>
  <c r="P11" i="18" s="1"/>
  <c r="AO47" i="18"/>
  <c r="N11" i="18" s="1"/>
  <c r="BA46" i="18"/>
  <c r="AZ46" i="18"/>
  <c r="BB46" i="18" s="1"/>
  <c r="BC46" i="18" s="1"/>
  <c r="AY46" i="18"/>
  <c r="AV46" i="18"/>
  <c r="AS46" i="18"/>
  <c r="AP46" i="18"/>
  <c r="BA45" i="18"/>
  <c r="AZ45" i="18"/>
  <c r="BB45" i="18" s="1"/>
  <c r="BC45" i="18" s="1"/>
  <c r="AY45" i="18"/>
  <c r="AV45" i="18"/>
  <c r="AS45" i="18"/>
  <c r="AP45" i="18"/>
  <c r="BA44" i="18"/>
  <c r="BA47" i="18" s="1"/>
  <c r="AZ44" i="18"/>
  <c r="AY44" i="18"/>
  <c r="AV44" i="18"/>
  <c r="AS44" i="18"/>
  <c r="AP44" i="18"/>
  <c r="AX42" i="18"/>
  <c r="AW42" i="18"/>
  <c r="T10" i="18" s="1"/>
  <c r="AU42" i="18"/>
  <c r="AT42" i="18"/>
  <c r="R10" i="18" s="1"/>
  <c r="AR42" i="18"/>
  <c r="AQ42" i="18"/>
  <c r="P10" i="18" s="1"/>
  <c r="AO42" i="18"/>
  <c r="N10" i="18" s="1"/>
  <c r="BA41" i="18"/>
  <c r="AZ41" i="18"/>
  <c r="AY41" i="18"/>
  <c r="AV41" i="18"/>
  <c r="AS41" i="18"/>
  <c r="AP41" i="18"/>
  <c r="BA40" i="18"/>
  <c r="AZ40" i="18"/>
  <c r="AY40" i="18"/>
  <c r="AV40" i="18"/>
  <c r="AS40" i="18"/>
  <c r="AP40" i="18"/>
  <c r="BA39" i="18"/>
  <c r="AZ39" i="18"/>
  <c r="BB39" i="18" s="1"/>
  <c r="BC39" i="18" s="1"/>
  <c r="AY39" i="18"/>
  <c r="AV39" i="18"/>
  <c r="AS39" i="18"/>
  <c r="AP39" i="18"/>
  <c r="AX37" i="18"/>
  <c r="AW37" i="18"/>
  <c r="T9" i="18" s="1"/>
  <c r="AU37" i="18"/>
  <c r="AT37" i="18"/>
  <c r="R9" i="18" s="1"/>
  <c r="AR37" i="18"/>
  <c r="AQ37" i="18"/>
  <c r="P9" i="18" s="1"/>
  <c r="AO37" i="18"/>
  <c r="N9" i="18" s="1"/>
  <c r="BA36" i="18"/>
  <c r="AZ36" i="18"/>
  <c r="AY36" i="18"/>
  <c r="AV36" i="18"/>
  <c r="AS36" i="18"/>
  <c r="AP36" i="18"/>
  <c r="BA35" i="18"/>
  <c r="AZ35" i="18"/>
  <c r="BB35" i="18" s="1"/>
  <c r="BC35" i="18" s="1"/>
  <c r="AY35" i="18"/>
  <c r="AV35" i="18"/>
  <c r="AS35" i="18"/>
  <c r="AP35" i="18"/>
  <c r="BA34" i="18"/>
  <c r="AZ34" i="18"/>
  <c r="AY34" i="18"/>
  <c r="AV34" i="18"/>
  <c r="AS34" i="18"/>
  <c r="AP34" i="18"/>
  <c r="AX32" i="18"/>
  <c r="AW32" i="18"/>
  <c r="T8" i="18" s="1"/>
  <c r="AU32" i="18"/>
  <c r="AT32" i="18"/>
  <c r="R8" i="18" s="1"/>
  <c r="AR32" i="18"/>
  <c r="AQ32" i="18"/>
  <c r="P8" i="18" s="1"/>
  <c r="AO32" i="18"/>
  <c r="N8" i="18" s="1"/>
  <c r="BA31" i="18"/>
  <c r="AZ31" i="18"/>
  <c r="AY31" i="18"/>
  <c r="AV31" i="18"/>
  <c r="AS31" i="18"/>
  <c r="AP31" i="18"/>
  <c r="BA30" i="18"/>
  <c r="AZ30" i="18"/>
  <c r="BB30" i="18" s="1"/>
  <c r="BC30" i="18" s="1"/>
  <c r="AY30" i="18"/>
  <c r="AV30" i="18"/>
  <c r="AS30" i="18"/>
  <c r="AP30" i="18"/>
  <c r="BA29" i="18"/>
  <c r="BA32" i="18" s="1"/>
  <c r="AZ29" i="18"/>
  <c r="AZ32" i="18" s="1"/>
  <c r="V8" i="18" s="1"/>
  <c r="AY29" i="18"/>
  <c r="AV29" i="18"/>
  <c r="AS29" i="18"/>
  <c r="AP29" i="18"/>
  <c r="AX27" i="18"/>
  <c r="AW27" i="18"/>
  <c r="T7" i="18" s="1"/>
  <c r="AU27" i="18"/>
  <c r="AT27" i="18"/>
  <c r="R7" i="18" s="1"/>
  <c r="AR27" i="18"/>
  <c r="AQ27" i="18"/>
  <c r="P7" i="18" s="1"/>
  <c r="AO27" i="18"/>
  <c r="N7" i="18"/>
  <c r="BA26" i="18"/>
  <c r="AZ26" i="18"/>
  <c r="AY26" i="18"/>
  <c r="AV26" i="18"/>
  <c r="AS26" i="18"/>
  <c r="AP26" i="18"/>
  <c r="BA25" i="18"/>
  <c r="AZ25" i="18"/>
  <c r="AY25" i="18"/>
  <c r="AV25" i="18"/>
  <c r="AS25" i="18"/>
  <c r="AP25" i="18"/>
  <c r="BA24" i="18"/>
  <c r="AZ24" i="18"/>
  <c r="BB24" i="18" s="1"/>
  <c r="BC24" i="18" s="1"/>
  <c r="AY24" i="18"/>
  <c r="AV24" i="18"/>
  <c r="AS24" i="18"/>
  <c r="AP24" i="18"/>
  <c r="AX22" i="18"/>
  <c r="AW22" i="18"/>
  <c r="T6" i="18" s="1"/>
  <c r="AU22" i="18"/>
  <c r="AT22" i="18"/>
  <c r="R6" i="18" s="1"/>
  <c r="AR22" i="18"/>
  <c r="AQ22" i="18"/>
  <c r="P6" i="18" s="1"/>
  <c r="AO22" i="18"/>
  <c r="N6" i="18"/>
  <c r="BA21" i="18"/>
  <c r="AZ21" i="18"/>
  <c r="BB21" i="18" s="1"/>
  <c r="BC21" i="18" s="1"/>
  <c r="AY21" i="18"/>
  <c r="AV21" i="18"/>
  <c r="AS21" i="18"/>
  <c r="AP21" i="18"/>
  <c r="BA20" i="18"/>
  <c r="AZ20" i="18"/>
  <c r="AY20" i="18"/>
  <c r="AV20" i="18"/>
  <c r="AS20" i="18"/>
  <c r="AP20" i="18"/>
  <c r="BA19" i="18"/>
  <c r="AZ19" i="18"/>
  <c r="AZ22" i="18" s="1"/>
  <c r="V6" i="18" s="1"/>
  <c r="AY19" i="18"/>
  <c r="AV19" i="18"/>
  <c r="AS19" i="18"/>
  <c r="AP19" i="18"/>
  <c r="AX17" i="18"/>
  <c r="AW17" i="18"/>
  <c r="T5" i="18" s="1"/>
  <c r="AU17" i="18"/>
  <c r="AT17" i="18"/>
  <c r="R5" i="18" s="1"/>
  <c r="AR17" i="18"/>
  <c r="AQ17" i="18"/>
  <c r="P5" i="18" s="1"/>
  <c r="AO17" i="18"/>
  <c r="N5" i="18" s="1"/>
  <c r="BA16" i="18"/>
  <c r="AZ16" i="18"/>
  <c r="BB16" i="18" s="1"/>
  <c r="BC16" i="18" s="1"/>
  <c r="AY16" i="18"/>
  <c r="AV16" i="18"/>
  <c r="AS16" i="18"/>
  <c r="AP16" i="18"/>
  <c r="BA15" i="18"/>
  <c r="AZ15" i="18"/>
  <c r="BB15" i="18" s="1"/>
  <c r="BC15" i="18" s="1"/>
  <c r="AY15" i="18"/>
  <c r="AV15" i="18"/>
  <c r="AS15" i="18"/>
  <c r="AP15" i="18"/>
  <c r="BA14" i="18"/>
  <c r="BA17" i="18" s="1"/>
  <c r="AZ14" i="18"/>
  <c r="AY14" i="18"/>
  <c r="AV14" i="18"/>
  <c r="AS14" i="18"/>
  <c r="AP14" i="18"/>
  <c r="AX12" i="18"/>
  <c r="AW12" i="18"/>
  <c r="T4" i="18" s="1"/>
  <c r="AU12" i="18"/>
  <c r="AT12" i="18"/>
  <c r="R4" i="18" s="1"/>
  <c r="AR12" i="18"/>
  <c r="AQ12" i="18"/>
  <c r="P4" i="18" s="1"/>
  <c r="AO12" i="18"/>
  <c r="N4" i="18" s="1"/>
  <c r="BA11" i="18"/>
  <c r="AZ11" i="18"/>
  <c r="AY11" i="18"/>
  <c r="AV11" i="18"/>
  <c r="AS11" i="18"/>
  <c r="AP11" i="18"/>
  <c r="BA10" i="18"/>
  <c r="AZ10" i="18"/>
  <c r="AY10" i="18"/>
  <c r="AV10" i="18"/>
  <c r="AS10" i="18"/>
  <c r="AP10" i="18"/>
  <c r="BA9" i="18"/>
  <c r="BA12" i="18" s="1"/>
  <c r="AZ9" i="18"/>
  <c r="AY9" i="18"/>
  <c r="AV9" i="18"/>
  <c r="AS9" i="18"/>
  <c r="AP9" i="18"/>
  <c r="AX7" i="18"/>
  <c r="AW7" i="18"/>
  <c r="T3" i="18" s="1"/>
  <c r="AU7" i="18"/>
  <c r="AT7" i="18"/>
  <c r="R3" i="18" s="1"/>
  <c r="AR7" i="18"/>
  <c r="AQ7" i="18"/>
  <c r="P3" i="18" s="1"/>
  <c r="AO7" i="18"/>
  <c r="AN7" i="18"/>
  <c r="N3" i="18" s="1"/>
  <c r="AL7" i="18"/>
  <c r="AK7" i="18"/>
  <c r="AJ7" i="18"/>
  <c r="AI7" i="18"/>
  <c r="AH7" i="18"/>
  <c r="AG7" i="18"/>
  <c r="BA6" i="18"/>
  <c r="AZ6" i="18"/>
  <c r="AY6" i="18"/>
  <c r="AV6" i="18"/>
  <c r="AS6" i="18"/>
  <c r="AP6" i="18"/>
  <c r="AM6" i="18"/>
  <c r="BA5" i="18"/>
  <c r="AZ5" i="18"/>
  <c r="BB5" i="18" s="1"/>
  <c r="BC5" i="18" s="1"/>
  <c r="AY5" i="18"/>
  <c r="AV5" i="18"/>
  <c r="AS5" i="18"/>
  <c r="AP5" i="18"/>
  <c r="AM5" i="18"/>
  <c r="BA4" i="18"/>
  <c r="AZ4" i="18"/>
  <c r="AY4" i="18"/>
  <c r="AV4" i="18"/>
  <c r="AS4" i="18"/>
  <c r="AP4" i="18"/>
  <c r="AM4" i="18"/>
  <c r="J19" i="18"/>
  <c r="J63" i="34" l="1"/>
  <c r="AZ207" i="34"/>
  <c r="BB207" i="34" s="1"/>
  <c r="BC207" i="34" s="1"/>
  <c r="BB204" i="34"/>
  <c r="BC204" i="34" s="1"/>
  <c r="AZ212" i="34"/>
  <c r="BB209" i="34"/>
  <c r="BC209" i="34" s="1"/>
  <c r="AZ217" i="34"/>
  <c r="BB214" i="34"/>
  <c r="BC214" i="34" s="1"/>
  <c r="AZ222" i="34"/>
  <c r="BB222" i="34" s="1"/>
  <c r="BC222" i="34" s="1"/>
  <c r="BB219" i="34"/>
  <c r="BC219" i="34" s="1"/>
  <c r="AZ227" i="34"/>
  <c r="BB227" i="34" s="1"/>
  <c r="BC227" i="34" s="1"/>
  <c r="BB224" i="34"/>
  <c r="BC224" i="34" s="1"/>
  <c r="AZ232" i="34"/>
  <c r="BB232" i="34" s="1"/>
  <c r="BC232" i="34" s="1"/>
  <c r="BB229" i="34"/>
  <c r="BC229" i="34" s="1"/>
  <c r="AZ237" i="34"/>
  <c r="BB237" i="34" s="1"/>
  <c r="BC237" i="34" s="1"/>
  <c r="BB234" i="34"/>
  <c r="BC234" i="34" s="1"/>
  <c r="AZ242" i="34"/>
  <c r="BB242" i="34" s="1"/>
  <c r="BC242" i="34" s="1"/>
  <c r="BB239" i="34"/>
  <c r="BC239" i="34" s="1"/>
  <c r="AZ247" i="34"/>
  <c r="BB247" i="34" s="1"/>
  <c r="BC247" i="34" s="1"/>
  <c r="BB244" i="34"/>
  <c r="BC244" i="34" s="1"/>
  <c r="AZ252" i="34"/>
  <c r="BB252" i="34" s="1"/>
  <c r="BC252" i="34" s="1"/>
  <c r="BB249" i="34"/>
  <c r="BC249" i="34" s="1"/>
  <c r="AZ257" i="34"/>
  <c r="BB257" i="34" s="1"/>
  <c r="BC257" i="34" s="1"/>
  <c r="BB254" i="34"/>
  <c r="BC254" i="34" s="1"/>
  <c r="AZ262" i="34"/>
  <c r="BB262" i="34" s="1"/>
  <c r="BC262" i="34" s="1"/>
  <c r="BB259" i="34"/>
  <c r="BC259" i="34" s="1"/>
  <c r="AZ267" i="34"/>
  <c r="BB267" i="34" s="1"/>
  <c r="BC267" i="34" s="1"/>
  <c r="BB264" i="34"/>
  <c r="BC264" i="34" s="1"/>
  <c r="AZ272" i="34"/>
  <c r="BB272" i="34" s="1"/>
  <c r="BC272" i="34" s="1"/>
  <c r="BB269" i="34"/>
  <c r="BC269" i="34" s="1"/>
  <c r="AZ277" i="34"/>
  <c r="BB277" i="34" s="1"/>
  <c r="BC277" i="34" s="1"/>
  <c r="BB274" i="34"/>
  <c r="BC274" i="34" s="1"/>
  <c r="AZ282" i="34"/>
  <c r="BB282" i="34" s="1"/>
  <c r="BC282" i="34" s="1"/>
  <c r="BB279" i="34"/>
  <c r="BC279" i="34" s="1"/>
  <c r="AZ287" i="34"/>
  <c r="BB287" i="34" s="1"/>
  <c r="BC287" i="34" s="1"/>
  <c r="BB284" i="34"/>
  <c r="BC284" i="34" s="1"/>
  <c r="AZ292" i="34"/>
  <c r="BB292" i="34" s="1"/>
  <c r="BC292" i="34" s="1"/>
  <c r="BB289" i="34"/>
  <c r="BC289" i="34" s="1"/>
  <c r="AZ297" i="34"/>
  <c r="BB297" i="34" s="1"/>
  <c r="BC297" i="34" s="1"/>
  <c r="BB294" i="34"/>
  <c r="BC294" i="34" s="1"/>
  <c r="AZ302" i="34"/>
  <c r="BB302" i="34" s="1"/>
  <c r="BC302" i="34" s="1"/>
  <c r="BB299" i="34"/>
  <c r="BC299" i="34" s="1"/>
  <c r="AZ107" i="34"/>
  <c r="BB107" i="34" s="1"/>
  <c r="BC107" i="34" s="1"/>
  <c r="BB104" i="34"/>
  <c r="BC104" i="34" s="1"/>
  <c r="AZ112" i="34"/>
  <c r="BB112" i="34" s="1"/>
  <c r="BC112" i="34" s="1"/>
  <c r="BB109" i="34"/>
  <c r="BC109" i="34" s="1"/>
  <c r="AZ117" i="34"/>
  <c r="BB117" i="34" s="1"/>
  <c r="BC117" i="34" s="1"/>
  <c r="BB114" i="34"/>
  <c r="BC114" i="34" s="1"/>
  <c r="AZ122" i="34"/>
  <c r="BB122" i="34" s="1"/>
  <c r="BC122" i="34" s="1"/>
  <c r="BB119" i="34"/>
  <c r="BC119" i="34" s="1"/>
  <c r="AZ127" i="34"/>
  <c r="BB127" i="34" s="1"/>
  <c r="BC127" i="34" s="1"/>
  <c r="BB124" i="34"/>
  <c r="BC124" i="34" s="1"/>
  <c r="AZ132" i="34"/>
  <c r="BB132" i="34" s="1"/>
  <c r="BC132" i="34" s="1"/>
  <c r="BB129" i="34"/>
  <c r="BC129" i="34" s="1"/>
  <c r="AZ137" i="34"/>
  <c r="BB137" i="34" s="1"/>
  <c r="BC137" i="34" s="1"/>
  <c r="BB134" i="34"/>
  <c r="BC134" i="34" s="1"/>
  <c r="AZ142" i="34"/>
  <c r="BB142" i="34" s="1"/>
  <c r="BC142" i="34" s="1"/>
  <c r="BB139" i="34"/>
  <c r="BC139" i="34" s="1"/>
  <c r="AZ147" i="34"/>
  <c r="BB147" i="34" s="1"/>
  <c r="BC147" i="34" s="1"/>
  <c r="BB144" i="34"/>
  <c r="BC144" i="34" s="1"/>
  <c r="AZ152" i="34"/>
  <c r="BB152" i="34" s="1"/>
  <c r="BC152" i="34" s="1"/>
  <c r="BB149" i="34"/>
  <c r="BC149" i="34" s="1"/>
  <c r="AZ157" i="34"/>
  <c r="BB157" i="34" s="1"/>
  <c r="BC157" i="34" s="1"/>
  <c r="BB154" i="34"/>
  <c r="BC154" i="34" s="1"/>
  <c r="AZ162" i="34"/>
  <c r="BB162" i="34" s="1"/>
  <c r="BC162" i="34" s="1"/>
  <c r="BB159" i="34"/>
  <c r="BC159" i="34" s="1"/>
  <c r="AZ167" i="34"/>
  <c r="BB167" i="34" s="1"/>
  <c r="BC167" i="34" s="1"/>
  <c r="BB164" i="34"/>
  <c r="BC164" i="34" s="1"/>
  <c r="AZ172" i="34"/>
  <c r="BB172" i="34" s="1"/>
  <c r="BC172" i="34" s="1"/>
  <c r="BB169" i="34"/>
  <c r="BC169" i="34" s="1"/>
  <c r="AZ177" i="34"/>
  <c r="BB177" i="34" s="1"/>
  <c r="BC177" i="34" s="1"/>
  <c r="BB174" i="34"/>
  <c r="BC174" i="34" s="1"/>
  <c r="AZ182" i="34"/>
  <c r="BB182" i="34" s="1"/>
  <c r="BC182" i="34" s="1"/>
  <c r="BB179" i="34"/>
  <c r="BC179" i="34" s="1"/>
  <c r="AZ187" i="34"/>
  <c r="BB187" i="34" s="1"/>
  <c r="BC187" i="34" s="1"/>
  <c r="BB184" i="34"/>
  <c r="BC184" i="34" s="1"/>
  <c r="AZ192" i="34"/>
  <c r="BB192" i="34" s="1"/>
  <c r="BC192" i="34" s="1"/>
  <c r="BB189" i="34"/>
  <c r="BC189" i="34" s="1"/>
  <c r="AZ197" i="34"/>
  <c r="BB194" i="34"/>
  <c r="BC194" i="34" s="1"/>
  <c r="AZ202" i="34"/>
  <c r="BB202" i="34" s="1"/>
  <c r="BC202" i="34" s="1"/>
  <c r="BB199" i="34"/>
  <c r="BC199" i="34" s="1"/>
  <c r="M43" i="34"/>
  <c r="O43" i="34"/>
  <c r="Q43" i="34"/>
  <c r="U43" i="34"/>
  <c r="X43" i="34"/>
  <c r="M44" i="34"/>
  <c r="O44" i="34"/>
  <c r="Q44" i="34"/>
  <c r="S44" i="34"/>
  <c r="U44" i="34"/>
  <c r="M45" i="34"/>
  <c r="O45" i="34"/>
  <c r="Q45" i="34"/>
  <c r="S45" i="34"/>
  <c r="U45" i="34"/>
  <c r="M46" i="34"/>
  <c r="O46" i="34"/>
  <c r="Q46" i="34"/>
  <c r="S46" i="34"/>
  <c r="U46" i="34"/>
  <c r="X46" i="34"/>
  <c r="M47" i="34"/>
  <c r="O47" i="34"/>
  <c r="Q47" i="34"/>
  <c r="S47" i="34"/>
  <c r="U47" i="34"/>
  <c r="X47" i="34"/>
  <c r="M48" i="34"/>
  <c r="O48" i="34"/>
  <c r="Q48" i="34"/>
  <c r="S48" i="34"/>
  <c r="U48" i="34"/>
  <c r="X48" i="34"/>
  <c r="M49" i="34"/>
  <c r="O49" i="34"/>
  <c r="Q49" i="34"/>
  <c r="S49" i="34"/>
  <c r="U49" i="34"/>
  <c r="X49" i="34"/>
  <c r="M50" i="34"/>
  <c r="O50" i="34"/>
  <c r="Q50" i="34"/>
  <c r="S50" i="34"/>
  <c r="U50" i="34"/>
  <c r="X50" i="34"/>
  <c r="M51" i="34"/>
  <c r="O51" i="34"/>
  <c r="Q51" i="34"/>
  <c r="S51" i="34"/>
  <c r="U51" i="34"/>
  <c r="X51" i="34"/>
  <c r="M52" i="34"/>
  <c r="O52" i="34"/>
  <c r="Q52" i="34"/>
  <c r="S52" i="34"/>
  <c r="U52" i="34"/>
  <c r="X52" i="34"/>
  <c r="M53" i="34"/>
  <c r="O53" i="34"/>
  <c r="Q53" i="34"/>
  <c r="S53" i="34"/>
  <c r="U53" i="34"/>
  <c r="X53" i="34"/>
  <c r="M54" i="34"/>
  <c r="O54" i="34"/>
  <c r="Q54" i="34"/>
  <c r="S54" i="34"/>
  <c r="U54" i="34"/>
  <c r="X54" i="34"/>
  <c r="M55" i="34"/>
  <c r="O55" i="34"/>
  <c r="Q55" i="34"/>
  <c r="S55" i="34"/>
  <c r="U55" i="34"/>
  <c r="X55" i="34"/>
  <c r="M56" i="34"/>
  <c r="O56" i="34"/>
  <c r="Q56" i="34"/>
  <c r="S56" i="34"/>
  <c r="U56" i="34"/>
  <c r="X56" i="34"/>
  <c r="M57" i="34"/>
  <c r="O57" i="34"/>
  <c r="Q57" i="34"/>
  <c r="S57" i="34"/>
  <c r="U57" i="34"/>
  <c r="X57" i="34"/>
  <c r="M58" i="34"/>
  <c r="O58" i="34"/>
  <c r="Q58" i="34"/>
  <c r="S58" i="34"/>
  <c r="U58" i="34"/>
  <c r="X58" i="34"/>
  <c r="M59" i="34"/>
  <c r="O59" i="34"/>
  <c r="Q59" i="34"/>
  <c r="S59" i="34"/>
  <c r="U59" i="34"/>
  <c r="X59" i="34"/>
  <c r="M60" i="34"/>
  <c r="O60" i="34"/>
  <c r="Q60" i="34"/>
  <c r="S60" i="34"/>
  <c r="U60" i="34"/>
  <c r="X60" i="34"/>
  <c r="M61" i="34"/>
  <c r="O61" i="34"/>
  <c r="Q61" i="34"/>
  <c r="S61" i="34"/>
  <c r="U61" i="34"/>
  <c r="X61" i="34"/>
  <c r="M62" i="34"/>
  <c r="M23" i="34"/>
  <c r="O23" i="34"/>
  <c r="Q23" i="34"/>
  <c r="U23" i="34"/>
  <c r="X23" i="34"/>
  <c r="M24" i="34"/>
  <c r="O24" i="34"/>
  <c r="Q24" i="34"/>
  <c r="S24" i="34"/>
  <c r="U24" i="34"/>
  <c r="X24" i="34"/>
  <c r="M25" i="34"/>
  <c r="O25" i="34"/>
  <c r="Q25" i="34"/>
  <c r="S25" i="34"/>
  <c r="U25" i="34"/>
  <c r="X25" i="34"/>
  <c r="M26" i="34"/>
  <c r="O26" i="34"/>
  <c r="Q26" i="34"/>
  <c r="S26" i="34"/>
  <c r="U26" i="34"/>
  <c r="X26" i="34"/>
  <c r="M27" i="34"/>
  <c r="O27" i="34"/>
  <c r="Q27" i="34"/>
  <c r="S27" i="34"/>
  <c r="U27" i="34"/>
  <c r="X27" i="34"/>
  <c r="M30" i="34"/>
  <c r="O30" i="34"/>
  <c r="Q30" i="34"/>
  <c r="S30" i="34"/>
  <c r="U30" i="34"/>
  <c r="X30" i="34"/>
  <c r="M31" i="34"/>
  <c r="O31" i="34"/>
  <c r="Q31" i="34"/>
  <c r="S31" i="34"/>
  <c r="U31" i="34"/>
  <c r="X31" i="34"/>
  <c r="M32" i="34"/>
  <c r="O32" i="34"/>
  <c r="Q32" i="34"/>
  <c r="S32" i="34"/>
  <c r="U32" i="34"/>
  <c r="X32" i="34"/>
  <c r="M33" i="34"/>
  <c r="O33" i="34"/>
  <c r="Q33" i="34"/>
  <c r="S33" i="34"/>
  <c r="U33" i="34"/>
  <c r="X33" i="34"/>
  <c r="O34" i="34"/>
  <c r="Q34" i="34"/>
  <c r="S34" i="34"/>
  <c r="U34" i="34"/>
  <c r="X34" i="34"/>
  <c r="O35" i="34"/>
  <c r="Q35" i="34"/>
  <c r="S35" i="34"/>
  <c r="U35" i="34"/>
  <c r="X35" i="34"/>
  <c r="M36" i="34"/>
  <c r="O36" i="34"/>
  <c r="Q36" i="34"/>
  <c r="S36" i="34"/>
  <c r="U36" i="34"/>
  <c r="X36" i="34"/>
  <c r="M37" i="34"/>
  <c r="O37" i="34"/>
  <c r="Q37" i="34"/>
  <c r="S37" i="34"/>
  <c r="U37" i="34"/>
  <c r="X37" i="34"/>
  <c r="M38" i="34"/>
  <c r="O38" i="34"/>
  <c r="Q38" i="34"/>
  <c r="S38" i="34"/>
  <c r="U38" i="34"/>
  <c r="X38" i="34"/>
  <c r="M39" i="34"/>
  <c r="O39" i="34"/>
  <c r="Q39" i="34"/>
  <c r="S39" i="34"/>
  <c r="U39" i="34"/>
  <c r="X39" i="34"/>
  <c r="M40" i="34"/>
  <c r="O40" i="34"/>
  <c r="Q40" i="34"/>
  <c r="S40" i="34"/>
  <c r="U40" i="34"/>
  <c r="X40" i="34"/>
  <c r="M41" i="34"/>
  <c r="O41" i="34"/>
  <c r="Q41" i="34"/>
  <c r="S41" i="34"/>
  <c r="U41" i="34"/>
  <c r="M42" i="34"/>
  <c r="O42" i="34"/>
  <c r="Q42" i="34"/>
  <c r="S42" i="34"/>
  <c r="U42" i="34"/>
  <c r="X42" i="34"/>
  <c r="L3" i="34"/>
  <c r="M3" i="34" s="1"/>
  <c r="O3" i="34"/>
  <c r="Q3" i="34"/>
  <c r="U3" i="34"/>
  <c r="M4" i="34"/>
  <c r="O4" i="34"/>
  <c r="Q4" i="34"/>
  <c r="S4" i="34"/>
  <c r="U4" i="34"/>
  <c r="AZ7" i="34"/>
  <c r="BB4" i="34"/>
  <c r="BC4" i="34" s="1"/>
  <c r="M5" i="34"/>
  <c r="O5" i="34"/>
  <c r="Q5" i="34"/>
  <c r="S5" i="34"/>
  <c r="U5" i="34"/>
  <c r="M6" i="34"/>
  <c r="O6" i="34"/>
  <c r="Q6" i="34"/>
  <c r="S6" i="34"/>
  <c r="U6" i="34"/>
  <c r="M7" i="34"/>
  <c r="O7" i="34"/>
  <c r="Q7" i="34"/>
  <c r="S7" i="34"/>
  <c r="U7" i="34"/>
  <c r="M8" i="34"/>
  <c r="O8" i="34"/>
  <c r="Q8" i="34"/>
  <c r="S8" i="34"/>
  <c r="U8" i="34"/>
  <c r="O9" i="34"/>
  <c r="Q9" i="34"/>
  <c r="S9" i="34"/>
  <c r="U9" i="34"/>
  <c r="AZ12" i="34"/>
  <c r="BB9" i="34"/>
  <c r="BC9" i="34" s="1"/>
  <c r="M10" i="34"/>
  <c r="O10" i="34"/>
  <c r="Q10" i="34"/>
  <c r="S10" i="34"/>
  <c r="U10" i="34"/>
  <c r="M11" i="34"/>
  <c r="O11" i="34"/>
  <c r="Q11" i="34"/>
  <c r="S11" i="34"/>
  <c r="U11" i="34"/>
  <c r="M12" i="34"/>
  <c r="O12" i="34"/>
  <c r="Q12" i="34"/>
  <c r="S12" i="34"/>
  <c r="U12" i="34"/>
  <c r="M13" i="34"/>
  <c r="O13" i="34"/>
  <c r="Q13" i="34"/>
  <c r="S13" i="34"/>
  <c r="U13" i="34"/>
  <c r="M14" i="34"/>
  <c r="O14" i="34"/>
  <c r="Q14" i="34"/>
  <c r="S14" i="34"/>
  <c r="U14" i="34"/>
  <c r="AZ17" i="34"/>
  <c r="BB14" i="34"/>
  <c r="BC14" i="34" s="1"/>
  <c r="M15" i="34"/>
  <c r="O15" i="34"/>
  <c r="Q15" i="34"/>
  <c r="S15" i="34"/>
  <c r="U15" i="34"/>
  <c r="M16" i="34"/>
  <c r="O16" i="34"/>
  <c r="Q16" i="34"/>
  <c r="S16" i="34"/>
  <c r="U16" i="34"/>
  <c r="M17" i="34"/>
  <c r="O17" i="34"/>
  <c r="Q17" i="34"/>
  <c r="S17" i="34"/>
  <c r="U17" i="34"/>
  <c r="M18" i="34"/>
  <c r="O18" i="34"/>
  <c r="Q18" i="34"/>
  <c r="S18" i="34"/>
  <c r="U18" i="34"/>
  <c r="M19" i="34"/>
  <c r="O19" i="34"/>
  <c r="Q19" i="34"/>
  <c r="S19" i="34"/>
  <c r="U19" i="34"/>
  <c r="AZ22" i="34"/>
  <c r="BB19" i="34"/>
  <c r="BC19" i="34" s="1"/>
  <c r="M20" i="34"/>
  <c r="O20" i="34"/>
  <c r="Q20" i="34"/>
  <c r="S20" i="34"/>
  <c r="U20" i="34"/>
  <c r="M21" i="34"/>
  <c r="O21" i="34"/>
  <c r="Q21" i="34"/>
  <c r="S21" i="34"/>
  <c r="U21" i="34"/>
  <c r="AZ27" i="34"/>
  <c r="BB24" i="34"/>
  <c r="BC24" i="34" s="1"/>
  <c r="AZ32" i="34"/>
  <c r="BB29" i="34"/>
  <c r="BC29" i="34" s="1"/>
  <c r="AZ37" i="34"/>
  <c r="BB34" i="34"/>
  <c r="BC34" i="34" s="1"/>
  <c r="AZ42" i="34"/>
  <c r="BB39" i="34"/>
  <c r="BC39" i="34" s="1"/>
  <c r="AZ47" i="34"/>
  <c r="BB44" i="34"/>
  <c r="BC44" i="34" s="1"/>
  <c r="AZ52" i="34"/>
  <c r="BB49" i="34"/>
  <c r="BC49" i="34" s="1"/>
  <c r="AZ57" i="34"/>
  <c r="BB54" i="34"/>
  <c r="BC54" i="34" s="1"/>
  <c r="AZ62" i="34"/>
  <c r="BB59" i="34"/>
  <c r="BC59" i="34" s="1"/>
  <c r="AZ67" i="34"/>
  <c r="BB64" i="34"/>
  <c r="BC64" i="34" s="1"/>
  <c r="AZ72" i="34"/>
  <c r="BB69" i="34"/>
  <c r="BC69" i="34" s="1"/>
  <c r="AZ77" i="34"/>
  <c r="BB74" i="34"/>
  <c r="BC74" i="34" s="1"/>
  <c r="AZ82" i="34"/>
  <c r="BB79" i="34"/>
  <c r="BC79" i="34" s="1"/>
  <c r="AZ87" i="34"/>
  <c r="BB84" i="34"/>
  <c r="BC84" i="34" s="1"/>
  <c r="AZ92" i="34"/>
  <c r="BB89" i="34"/>
  <c r="BC89" i="34" s="1"/>
  <c r="AZ97" i="34"/>
  <c r="BB94" i="34"/>
  <c r="BC94" i="34" s="1"/>
  <c r="AZ102" i="34"/>
  <c r="BB99" i="34"/>
  <c r="BC99" i="34" s="1"/>
  <c r="K9" i="29"/>
  <c r="I29" i="33"/>
  <c r="G23" i="33"/>
  <c r="H23" i="33"/>
  <c r="L3" i="33"/>
  <c r="M3" i="33" s="1"/>
  <c r="N23" i="33"/>
  <c r="O23" i="33" s="1"/>
  <c r="O3" i="33"/>
  <c r="P23" i="33"/>
  <c r="Q23" i="33" s="1"/>
  <c r="Q3" i="33"/>
  <c r="R23" i="33"/>
  <c r="S23" i="33" s="1"/>
  <c r="S3" i="33"/>
  <c r="T23" i="33"/>
  <c r="U23" i="33" s="1"/>
  <c r="U3" i="33"/>
  <c r="M4" i="33"/>
  <c r="O4" i="33"/>
  <c r="Q4" i="33"/>
  <c r="S4" i="33"/>
  <c r="U4" i="33"/>
  <c r="AZ7" i="33"/>
  <c r="BB4" i="33"/>
  <c r="BC4" i="33" s="1"/>
  <c r="M5" i="33"/>
  <c r="O5" i="33"/>
  <c r="Q5" i="33"/>
  <c r="S5" i="33"/>
  <c r="U5" i="33"/>
  <c r="M6" i="33"/>
  <c r="O6" i="33"/>
  <c r="Q6" i="33"/>
  <c r="S6" i="33"/>
  <c r="U6" i="33"/>
  <c r="M7" i="33"/>
  <c r="O7" i="33"/>
  <c r="Q7" i="33"/>
  <c r="S7" i="33"/>
  <c r="U7" i="33"/>
  <c r="M8" i="33"/>
  <c r="O8" i="33"/>
  <c r="Q8" i="33"/>
  <c r="S8" i="33"/>
  <c r="U8" i="33"/>
  <c r="O9" i="33"/>
  <c r="Q9" i="33"/>
  <c r="S9" i="33"/>
  <c r="U9" i="33"/>
  <c r="AZ12" i="33"/>
  <c r="BB9" i="33"/>
  <c r="BC9" i="33" s="1"/>
  <c r="M10" i="33"/>
  <c r="O10" i="33"/>
  <c r="Q10" i="33"/>
  <c r="S10" i="33"/>
  <c r="U10" i="33"/>
  <c r="M11" i="33"/>
  <c r="O11" i="33"/>
  <c r="Q11" i="33"/>
  <c r="S11" i="33"/>
  <c r="U11" i="33"/>
  <c r="M12" i="33"/>
  <c r="O12" i="33"/>
  <c r="Q12" i="33"/>
  <c r="S12" i="33"/>
  <c r="U12" i="33"/>
  <c r="M13" i="33"/>
  <c r="O13" i="33"/>
  <c r="Q13" i="33"/>
  <c r="S13" i="33"/>
  <c r="U13" i="33"/>
  <c r="M14" i="33"/>
  <c r="O14" i="33"/>
  <c r="Q14" i="33"/>
  <c r="S14" i="33"/>
  <c r="U14" i="33"/>
  <c r="AZ17" i="33"/>
  <c r="BB14" i="33"/>
  <c r="BC14" i="33" s="1"/>
  <c r="M15" i="33"/>
  <c r="O15" i="33"/>
  <c r="Q15" i="33"/>
  <c r="S15" i="33"/>
  <c r="U15" i="33"/>
  <c r="M16" i="33"/>
  <c r="O16" i="33"/>
  <c r="Q16" i="33"/>
  <c r="S16" i="33"/>
  <c r="U16" i="33"/>
  <c r="M17" i="33"/>
  <c r="O17" i="33"/>
  <c r="Q17" i="33"/>
  <c r="S17" i="33"/>
  <c r="U17" i="33"/>
  <c r="M18" i="33"/>
  <c r="O18" i="33"/>
  <c r="Q18" i="33"/>
  <c r="S18" i="33"/>
  <c r="U18" i="33"/>
  <c r="M19" i="33"/>
  <c r="O19" i="33"/>
  <c r="Q19" i="33"/>
  <c r="S19" i="33"/>
  <c r="U19" i="33"/>
  <c r="AZ22" i="33"/>
  <c r="BB19" i="33"/>
  <c r="BC19" i="33" s="1"/>
  <c r="M20" i="33"/>
  <c r="O20" i="33"/>
  <c r="Q20" i="33"/>
  <c r="S20" i="33"/>
  <c r="U20" i="33"/>
  <c r="M21" i="33"/>
  <c r="O21" i="33"/>
  <c r="Q21" i="33"/>
  <c r="S21" i="33"/>
  <c r="U21" i="33"/>
  <c r="M23" i="33"/>
  <c r="AZ27" i="33"/>
  <c r="BB24" i="33"/>
  <c r="BC24" i="33" s="1"/>
  <c r="AZ32" i="33"/>
  <c r="BB29" i="33"/>
  <c r="BC29" i="33" s="1"/>
  <c r="AZ37" i="33"/>
  <c r="BB34" i="33"/>
  <c r="BC34" i="33" s="1"/>
  <c r="AZ42" i="33"/>
  <c r="BB39" i="33"/>
  <c r="BC39" i="33" s="1"/>
  <c r="AZ47" i="33"/>
  <c r="BB44" i="33"/>
  <c r="BC44" i="33" s="1"/>
  <c r="AZ52" i="33"/>
  <c r="BB49" i="33"/>
  <c r="BC49" i="33" s="1"/>
  <c r="AZ57" i="33"/>
  <c r="BB54" i="33"/>
  <c r="BC54" i="33" s="1"/>
  <c r="AZ62" i="33"/>
  <c r="BB59" i="33"/>
  <c r="BC59" i="33" s="1"/>
  <c r="AZ67" i="33"/>
  <c r="BB64" i="33"/>
  <c r="BC64" i="33" s="1"/>
  <c r="AZ72" i="33"/>
  <c r="BB69" i="33"/>
  <c r="BC69" i="33" s="1"/>
  <c r="AZ77" i="33"/>
  <c r="BB74" i="33"/>
  <c r="BC74" i="33" s="1"/>
  <c r="AZ82" i="33"/>
  <c r="BB79" i="33"/>
  <c r="BC79" i="33" s="1"/>
  <c r="AZ87" i="33"/>
  <c r="BB84" i="33"/>
  <c r="BC84" i="33" s="1"/>
  <c r="AZ92" i="33"/>
  <c r="BB89" i="33"/>
  <c r="BC89" i="33" s="1"/>
  <c r="AZ97" i="33"/>
  <c r="BB94" i="33"/>
  <c r="BC94" i="33" s="1"/>
  <c r="AZ102" i="33"/>
  <c r="BB99" i="33"/>
  <c r="BC99" i="33" s="1"/>
  <c r="AZ107" i="33"/>
  <c r="BB107" i="33" s="1"/>
  <c r="BC107" i="33" s="1"/>
  <c r="BB104" i="33"/>
  <c r="BC104" i="33" s="1"/>
  <c r="N14" i="18"/>
  <c r="AZ107" i="18"/>
  <c r="BB107" i="18" s="1"/>
  <c r="BC107" i="18" s="1"/>
  <c r="BB104" i="18"/>
  <c r="BC104" i="18" s="1"/>
  <c r="N20" i="18"/>
  <c r="R20" i="18"/>
  <c r="BB96" i="18"/>
  <c r="BC96" i="18" s="1"/>
  <c r="AZ92" i="18"/>
  <c r="V20" i="18" s="1"/>
  <c r="P21" i="18"/>
  <c r="BA92" i="18"/>
  <c r="R21" i="18"/>
  <c r="L22" i="31"/>
  <c r="M22" i="31" s="1"/>
  <c r="O22" i="31"/>
  <c r="Q22" i="31"/>
  <c r="S22" i="31"/>
  <c r="U22" i="31"/>
  <c r="N17" i="18"/>
  <c r="N15" i="18"/>
  <c r="I29" i="31"/>
  <c r="G23" i="31"/>
  <c r="H23" i="31"/>
  <c r="L23" i="31" s="1"/>
  <c r="M23" i="31" s="1"/>
  <c r="L3" i="31"/>
  <c r="M3" i="31" s="1"/>
  <c r="N23" i="31"/>
  <c r="O23" i="31" s="1"/>
  <c r="O3" i="31"/>
  <c r="P23" i="31"/>
  <c r="Q3" i="31"/>
  <c r="R23" i="31"/>
  <c r="S3" i="31"/>
  <c r="T23" i="31"/>
  <c r="U3" i="31"/>
  <c r="M4" i="31"/>
  <c r="O4" i="31"/>
  <c r="Q4" i="31"/>
  <c r="S4" i="31"/>
  <c r="U4" i="31"/>
  <c r="AZ7" i="31"/>
  <c r="BB4" i="31"/>
  <c r="BC4" i="31" s="1"/>
  <c r="M5" i="31"/>
  <c r="O5" i="31"/>
  <c r="Q5" i="31"/>
  <c r="S5" i="31"/>
  <c r="U5" i="31"/>
  <c r="X5" i="31"/>
  <c r="M6" i="31"/>
  <c r="O6" i="31"/>
  <c r="Q6" i="31"/>
  <c r="S6" i="31"/>
  <c r="U6" i="31"/>
  <c r="M7" i="31"/>
  <c r="O7" i="31"/>
  <c r="Q7" i="31"/>
  <c r="S7" i="31"/>
  <c r="U7" i="31"/>
  <c r="O8" i="31"/>
  <c r="Q8" i="31"/>
  <c r="S8" i="31"/>
  <c r="U8" i="31"/>
  <c r="O9" i="31"/>
  <c r="Q9" i="31"/>
  <c r="S9" i="31"/>
  <c r="U9" i="31"/>
  <c r="AZ12" i="31"/>
  <c r="BB9" i="31"/>
  <c r="BC9" i="31" s="1"/>
  <c r="M10" i="31"/>
  <c r="O10" i="31"/>
  <c r="Q10" i="31"/>
  <c r="S10" i="31"/>
  <c r="U10" i="31"/>
  <c r="M11" i="31"/>
  <c r="O11" i="31"/>
  <c r="Q11" i="31"/>
  <c r="S11" i="31"/>
  <c r="U11" i="31"/>
  <c r="M12" i="31"/>
  <c r="O12" i="31"/>
  <c r="Q12" i="31"/>
  <c r="S12" i="31"/>
  <c r="U12" i="31"/>
  <c r="M13" i="31"/>
  <c r="O13" i="31"/>
  <c r="Q13" i="31"/>
  <c r="S13" i="31"/>
  <c r="U13" i="31"/>
  <c r="M14" i="31"/>
  <c r="O14" i="31"/>
  <c r="Q14" i="31"/>
  <c r="S14" i="31"/>
  <c r="U14" i="31"/>
  <c r="AZ17" i="31"/>
  <c r="BB14" i="31"/>
  <c r="BC14" i="31" s="1"/>
  <c r="M15" i="31"/>
  <c r="O15" i="31"/>
  <c r="Q15" i="31"/>
  <c r="S15" i="31"/>
  <c r="U15" i="31"/>
  <c r="M16" i="31"/>
  <c r="O16" i="31"/>
  <c r="Q16" i="31"/>
  <c r="S16" i="31"/>
  <c r="U16" i="31"/>
  <c r="M17" i="31"/>
  <c r="O17" i="31"/>
  <c r="Q17" i="31"/>
  <c r="S17" i="31"/>
  <c r="U17" i="31"/>
  <c r="O18" i="31"/>
  <c r="Q18" i="31"/>
  <c r="S18" i="31"/>
  <c r="U18" i="31"/>
  <c r="O19" i="31"/>
  <c r="Q19" i="31"/>
  <c r="S19" i="31"/>
  <c r="U19" i="31"/>
  <c r="AZ22" i="31"/>
  <c r="BB19" i="31"/>
  <c r="BC19" i="31" s="1"/>
  <c r="M20" i="31"/>
  <c r="O20" i="31"/>
  <c r="Q20" i="31"/>
  <c r="S20" i="31"/>
  <c r="U20" i="31"/>
  <c r="M21" i="31"/>
  <c r="O21" i="31"/>
  <c r="Q21" i="31"/>
  <c r="S21" i="31"/>
  <c r="U21" i="31"/>
  <c r="X21" i="31"/>
  <c r="AZ27" i="31"/>
  <c r="BB24" i="31"/>
  <c r="BC24" i="31" s="1"/>
  <c r="AZ32" i="31"/>
  <c r="BB29" i="31"/>
  <c r="BC29" i="31" s="1"/>
  <c r="AZ37" i="31"/>
  <c r="BB34" i="31"/>
  <c r="BC34" i="31" s="1"/>
  <c r="AZ42" i="31"/>
  <c r="BB39" i="31"/>
  <c r="BC39" i="31" s="1"/>
  <c r="AZ47" i="31"/>
  <c r="BB44" i="31"/>
  <c r="BC44" i="31" s="1"/>
  <c r="AZ52" i="31"/>
  <c r="BB49" i="31"/>
  <c r="BC49" i="31" s="1"/>
  <c r="AZ57" i="31"/>
  <c r="BB54" i="31"/>
  <c r="BC54" i="31" s="1"/>
  <c r="AZ62" i="31"/>
  <c r="BB59" i="31"/>
  <c r="BC59" i="31" s="1"/>
  <c r="AZ67" i="31"/>
  <c r="BB64" i="31"/>
  <c r="BC64" i="31" s="1"/>
  <c r="AZ72" i="31"/>
  <c r="BB69" i="31"/>
  <c r="BC69" i="31" s="1"/>
  <c r="AZ77" i="31"/>
  <c r="BB74" i="31"/>
  <c r="BC74" i="31" s="1"/>
  <c r="AZ82" i="31"/>
  <c r="BB79" i="31"/>
  <c r="BC79" i="31" s="1"/>
  <c r="AZ87" i="31"/>
  <c r="BB84" i="31"/>
  <c r="BC84" i="31" s="1"/>
  <c r="AZ92" i="31"/>
  <c r="BB89" i="31"/>
  <c r="BC89" i="31" s="1"/>
  <c r="AZ97" i="31"/>
  <c r="BB94" i="31"/>
  <c r="BC94" i="31" s="1"/>
  <c r="AZ102" i="31"/>
  <c r="V22" i="31" s="1"/>
  <c r="BB99" i="31"/>
  <c r="BC99" i="31" s="1"/>
  <c r="BA62" i="18"/>
  <c r="BA67" i="18"/>
  <c r="BB65" i="18"/>
  <c r="BC65" i="18" s="1"/>
  <c r="BB40" i="18"/>
  <c r="BC40" i="18" s="1"/>
  <c r="BB41" i="18"/>
  <c r="BC41" i="18" s="1"/>
  <c r="AZ67" i="18"/>
  <c r="V15" i="18" s="1"/>
  <c r="BB101" i="18"/>
  <c r="BC101" i="18" s="1"/>
  <c r="L13" i="29"/>
  <c r="BB54" i="29"/>
  <c r="BC54" i="29" s="1"/>
  <c r="AZ57" i="29"/>
  <c r="BB57" i="29" s="1"/>
  <c r="BC57" i="29" s="1"/>
  <c r="AZ52" i="29"/>
  <c r="BB52" i="29" s="1"/>
  <c r="BC52" i="29" s="1"/>
  <c r="BB49" i="29"/>
  <c r="BC49" i="29" s="1"/>
  <c r="BA42" i="29"/>
  <c r="BB39" i="29"/>
  <c r="BC39" i="29" s="1"/>
  <c r="AZ42" i="29"/>
  <c r="AZ27" i="29"/>
  <c r="V7" i="29" s="1"/>
  <c r="BB21" i="29"/>
  <c r="BC21" i="29" s="1"/>
  <c r="BB11" i="29"/>
  <c r="BC11" i="29" s="1"/>
  <c r="BA22" i="29"/>
  <c r="K6" i="29" s="1"/>
  <c r="AZ17" i="29"/>
  <c r="AZ12" i="29"/>
  <c r="V4" i="29" s="1"/>
  <c r="BA12" i="29"/>
  <c r="K4" i="29" s="1"/>
  <c r="AZ12" i="18"/>
  <c r="BA7" i="18"/>
  <c r="AZ7" i="18"/>
  <c r="V3" i="18" s="1"/>
  <c r="BB67" i="29"/>
  <c r="BC67" i="29" s="1"/>
  <c r="BB27" i="29"/>
  <c r="BC27" i="29" s="1"/>
  <c r="BB82" i="29"/>
  <c r="BC82" i="29" s="1"/>
  <c r="BB7" i="29"/>
  <c r="BB32" i="29"/>
  <c r="BC32" i="29" s="1"/>
  <c r="BB42" i="29"/>
  <c r="BC42" i="29" s="1"/>
  <c r="BB92" i="29"/>
  <c r="BC92" i="29" s="1"/>
  <c r="BB26" i="29"/>
  <c r="BC26" i="29" s="1"/>
  <c r="BB34" i="29"/>
  <c r="BC34" i="29" s="1"/>
  <c r="BB66" i="29"/>
  <c r="BC66" i="29" s="1"/>
  <c r="BB74" i="29"/>
  <c r="BC74" i="29" s="1"/>
  <c r="BB19" i="29"/>
  <c r="BC19" i="29" s="1"/>
  <c r="BB59" i="29"/>
  <c r="BC59" i="29" s="1"/>
  <c r="BB99" i="29"/>
  <c r="BC99" i="29" s="1"/>
  <c r="BB4" i="29"/>
  <c r="BC4" i="29" s="1"/>
  <c r="BB44" i="29"/>
  <c r="BC44" i="29" s="1"/>
  <c r="BB84" i="29"/>
  <c r="BC84" i="29" s="1"/>
  <c r="BB15" i="29"/>
  <c r="BC15" i="29" s="1"/>
  <c r="BB55" i="29"/>
  <c r="BC55" i="29" s="1"/>
  <c r="BB95" i="29"/>
  <c r="BC95" i="29" s="1"/>
  <c r="BB32" i="18"/>
  <c r="BC32" i="18" s="1"/>
  <c r="BA22" i="18"/>
  <c r="AZ52" i="18"/>
  <c r="V12" i="18" s="1"/>
  <c r="BB64" i="18"/>
  <c r="BC64" i="18" s="1"/>
  <c r="AZ77" i="18"/>
  <c r="BB89" i="18"/>
  <c r="BC89" i="18" s="1"/>
  <c r="AZ102" i="18"/>
  <c r="AZ17" i="18"/>
  <c r="BB6" i="18"/>
  <c r="BC6" i="18" s="1"/>
  <c r="BB14" i="18"/>
  <c r="BC14" i="18" s="1"/>
  <c r="BB29" i="18"/>
  <c r="BC29" i="18" s="1"/>
  <c r="BA52" i="18"/>
  <c r="BB52" i="18" s="1"/>
  <c r="BC52" i="18" s="1"/>
  <c r="BB60" i="18"/>
  <c r="BC60" i="18" s="1"/>
  <c r="BA77" i="18"/>
  <c r="BB86" i="18"/>
  <c r="BC86" i="18" s="1"/>
  <c r="AZ97" i="18"/>
  <c r="BA102" i="18"/>
  <c r="AZ27" i="18"/>
  <c r="V7" i="18" s="1"/>
  <c r="BB36" i="18"/>
  <c r="BC36" i="18" s="1"/>
  <c r="BB55" i="18"/>
  <c r="BC55" i="18" s="1"/>
  <c r="AZ62" i="18"/>
  <c r="BB87" i="18"/>
  <c r="BC87" i="18" s="1"/>
  <c r="BB94" i="18"/>
  <c r="BC94" i="18" s="1"/>
  <c r="AZ57" i="18"/>
  <c r="BB11" i="18"/>
  <c r="BC11" i="18" s="1"/>
  <c r="BA27" i="18"/>
  <c r="BB25" i="18"/>
  <c r="BC25" i="18" s="1"/>
  <c r="AZ37" i="18"/>
  <c r="AZ47" i="18"/>
  <c r="AZ72" i="18"/>
  <c r="BA82" i="18"/>
  <c r="AZ82" i="18"/>
  <c r="V18" i="18" s="1"/>
  <c r="BB10" i="18"/>
  <c r="BC10" i="18" s="1"/>
  <c r="BA37" i="18"/>
  <c r="BA72" i="18"/>
  <c r="BB91" i="18"/>
  <c r="BC91" i="18" s="1"/>
  <c r="BB22" i="18"/>
  <c r="BC22" i="18" s="1"/>
  <c r="BB20" i="18"/>
  <c r="BC20" i="18" s="1"/>
  <c r="BB31" i="18"/>
  <c r="BC31" i="18" s="1"/>
  <c r="AZ42" i="18"/>
  <c r="V10" i="18" s="1"/>
  <c r="BB51" i="18"/>
  <c r="BC51" i="18" s="1"/>
  <c r="BB76" i="18"/>
  <c r="BC76" i="18" s="1"/>
  <c r="BB90" i="18"/>
  <c r="BC90" i="18" s="1"/>
  <c r="BB67" i="18"/>
  <c r="BC67" i="18" s="1"/>
  <c r="BB26" i="18"/>
  <c r="BC26" i="18" s="1"/>
  <c r="BB34" i="18"/>
  <c r="BC34" i="18" s="1"/>
  <c r="BA42" i="18"/>
  <c r="BB42" i="18" s="1"/>
  <c r="BC42" i="18" s="1"/>
  <c r="BB66" i="18"/>
  <c r="BC66" i="18" s="1"/>
  <c r="BB74" i="18"/>
  <c r="BC74" i="18" s="1"/>
  <c r="BB9" i="18"/>
  <c r="BC9" i="18" s="1"/>
  <c r="BB49" i="18"/>
  <c r="BC49" i="18" s="1"/>
  <c r="BB19" i="18"/>
  <c r="BC19" i="18" s="1"/>
  <c r="BB59" i="18"/>
  <c r="BC59" i="18" s="1"/>
  <c r="BB99" i="18"/>
  <c r="BC99" i="18" s="1"/>
  <c r="BB4" i="18"/>
  <c r="BC4" i="18" s="1"/>
  <c r="BB44" i="18"/>
  <c r="BC44" i="18" s="1"/>
  <c r="BB84" i="18"/>
  <c r="BC84" i="18" s="1"/>
  <c r="BB95" i="18"/>
  <c r="BC95" i="18" s="1"/>
  <c r="BB217" i="34" l="1"/>
  <c r="V45" i="34"/>
  <c r="BB212" i="34"/>
  <c r="V44" i="34"/>
  <c r="BB197" i="34"/>
  <c r="V41" i="34"/>
  <c r="V63" i="34" s="1"/>
  <c r="BB102" i="34"/>
  <c r="V22" i="34"/>
  <c r="BB97" i="34"/>
  <c r="V21" i="34"/>
  <c r="BB92" i="34"/>
  <c r="V20" i="34"/>
  <c r="BB87" i="34"/>
  <c r="V19" i="34"/>
  <c r="BB82" i="34"/>
  <c r="V18" i="34"/>
  <c r="BB77" i="34"/>
  <c r="V17" i="34"/>
  <c r="BB72" i="34"/>
  <c r="V16" i="34"/>
  <c r="BB67" i="34"/>
  <c r="V15" i="34"/>
  <c r="BB62" i="34"/>
  <c r="V14" i="34"/>
  <c r="BB57" i="34"/>
  <c r="V13" i="34"/>
  <c r="BB52" i="34"/>
  <c r="V12" i="34"/>
  <c r="BB47" i="34"/>
  <c r="V11" i="34"/>
  <c r="BB42" i="34"/>
  <c r="V10" i="34"/>
  <c r="BB37" i="34"/>
  <c r="V9" i="34"/>
  <c r="BB32" i="34"/>
  <c r="V8" i="34"/>
  <c r="BB27" i="34"/>
  <c r="V7" i="34"/>
  <c r="BB22" i="34"/>
  <c r="V6" i="34"/>
  <c r="BB17" i="34"/>
  <c r="V5" i="34"/>
  <c r="BB12" i="34"/>
  <c r="V4" i="34"/>
  <c r="BB7" i="34"/>
  <c r="V3" i="34"/>
  <c r="K10" i="29"/>
  <c r="BB102" i="33"/>
  <c r="V22" i="33"/>
  <c r="BB97" i="33"/>
  <c r="V21" i="33"/>
  <c r="BB92" i="33"/>
  <c r="V20" i="33"/>
  <c r="BB87" i="33"/>
  <c r="V19" i="33"/>
  <c r="BB82" i="33"/>
  <c r="V18" i="33"/>
  <c r="BB77" i="33"/>
  <c r="V17" i="33"/>
  <c r="BB72" i="33"/>
  <c r="V16" i="33"/>
  <c r="BB67" i="33"/>
  <c r="V15" i="33"/>
  <c r="BB62" i="33"/>
  <c r="V14" i="33"/>
  <c r="BB57" i="33"/>
  <c r="V13" i="33"/>
  <c r="BB52" i="33"/>
  <c r="V12" i="33"/>
  <c r="BB47" i="33"/>
  <c r="V11" i="33"/>
  <c r="BB42" i="33"/>
  <c r="V10" i="33"/>
  <c r="BB37" i="33"/>
  <c r="V9" i="33"/>
  <c r="BB32" i="33"/>
  <c r="V8" i="33"/>
  <c r="BB27" i="33"/>
  <c r="V7" i="33"/>
  <c r="BB22" i="33"/>
  <c r="V6" i="33"/>
  <c r="BB17" i="33"/>
  <c r="V5" i="33"/>
  <c r="BB12" i="33"/>
  <c r="V4" i="33"/>
  <c r="BB7" i="33"/>
  <c r="V3" i="33"/>
  <c r="V23" i="33" s="1"/>
  <c r="S23" i="31"/>
  <c r="U23" i="31"/>
  <c r="BB92" i="18"/>
  <c r="BC92" i="18" s="1"/>
  <c r="Q23" i="31"/>
  <c r="BB102" i="31"/>
  <c r="W22" i="31" s="1"/>
  <c r="X22" i="31" s="1"/>
  <c r="BB97" i="31"/>
  <c r="BC97" i="31" s="1"/>
  <c r="V21" i="31"/>
  <c r="BB92" i="31"/>
  <c r="V20" i="31"/>
  <c r="BB87" i="31"/>
  <c r="V19" i="31"/>
  <c r="BB82" i="31"/>
  <c r="V18" i="31"/>
  <c r="BB77" i="31"/>
  <c r="V17" i="31"/>
  <c r="BB72" i="31"/>
  <c r="V16" i="31"/>
  <c r="BB67" i="31"/>
  <c r="V15" i="31"/>
  <c r="BB62" i="31"/>
  <c r="V14" i="31"/>
  <c r="BB57" i="31"/>
  <c r="V13" i="31"/>
  <c r="BB52" i="31"/>
  <c r="V12" i="31"/>
  <c r="BB47" i="31"/>
  <c r="V11" i="31"/>
  <c r="BB42" i="31"/>
  <c r="V10" i="31"/>
  <c r="BB37" i="31"/>
  <c r="V9" i="31"/>
  <c r="BB32" i="31"/>
  <c r="V8" i="31"/>
  <c r="BB27" i="31"/>
  <c r="V7" i="31"/>
  <c r="BB22" i="31"/>
  <c r="V6" i="31"/>
  <c r="BB17" i="31"/>
  <c r="BC17" i="31" s="1"/>
  <c r="V5" i="31"/>
  <c r="BB12" i="31"/>
  <c r="V4" i="31"/>
  <c r="BB7" i="31"/>
  <c r="V3" i="31"/>
  <c r="V23" i="31" s="1"/>
  <c r="BB82" i="18"/>
  <c r="BC82" i="18" s="1"/>
  <c r="BB72" i="18"/>
  <c r="BC72" i="18" s="1"/>
  <c r="V16" i="18"/>
  <c r="BB47" i="18"/>
  <c r="BC47" i="18" s="1"/>
  <c r="V11" i="18"/>
  <c r="BB37" i="18"/>
  <c r="BC37" i="18" s="1"/>
  <c r="V9" i="18"/>
  <c r="BB57" i="18"/>
  <c r="BC57" i="18" s="1"/>
  <c r="V13" i="18"/>
  <c r="BB62" i="18"/>
  <c r="BC62" i="18" s="1"/>
  <c r="V14" i="18"/>
  <c r="BB97" i="18"/>
  <c r="V21" i="18"/>
  <c r="BB17" i="18"/>
  <c r="V5" i="18"/>
  <c r="BB102" i="18"/>
  <c r="BC102" i="18" s="1"/>
  <c r="V22" i="18"/>
  <c r="BB77" i="18"/>
  <c r="BC77" i="18" s="1"/>
  <c r="V17" i="18"/>
  <c r="BB12" i="18"/>
  <c r="BC12" i="18" s="1"/>
  <c r="V4" i="18"/>
  <c r="BB17" i="29"/>
  <c r="V5" i="29"/>
  <c r="BB22" i="29"/>
  <c r="BB12" i="29"/>
  <c r="BC7" i="29"/>
  <c r="W3" i="29"/>
  <c r="BC12" i="29"/>
  <c r="W4" i="29"/>
  <c r="BB7" i="18"/>
  <c r="BC7" i="18" s="1"/>
  <c r="BB27" i="18"/>
  <c r="BC27" i="18" s="1"/>
  <c r="BC217" i="34" l="1"/>
  <c r="W45" i="34"/>
  <c r="X45" i="34" s="1"/>
  <c r="BC212" i="34"/>
  <c r="W44" i="34"/>
  <c r="X44" i="34" s="1"/>
  <c r="BC197" i="34"/>
  <c r="W41" i="34"/>
  <c r="BC7" i="34"/>
  <c r="W3" i="34"/>
  <c r="BC12" i="34"/>
  <c r="W4" i="34"/>
  <c r="X4" i="34" s="1"/>
  <c r="BC17" i="34"/>
  <c r="W5" i="34"/>
  <c r="X5" i="34" s="1"/>
  <c r="BC22" i="34"/>
  <c r="W6" i="34"/>
  <c r="X6" i="34" s="1"/>
  <c r="BC27" i="34"/>
  <c r="W7" i="34"/>
  <c r="X7" i="34" s="1"/>
  <c r="BC32" i="34"/>
  <c r="W8" i="34"/>
  <c r="X8" i="34" s="1"/>
  <c r="BC37" i="34"/>
  <c r="W9" i="34"/>
  <c r="X9" i="34" s="1"/>
  <c r="BC42" i="34"/>
  <c r="W10" i="34"/>
  <c r="X10" i="34" s="1"/>
  <c r="BC47" i="34"/>
  <c r="W11" i="34"/>
  <c r="X11" i="34" s="1"/>
  <c r="BC52" i="34"/>
  <c r="W12" i="34"/>
  <c r="X12" i="34" s="1"/>
  <c r="BC57" i="34"/>
  <c r="W13" i="34"/>
  <c r="X13" i="34" s="1"/>
  <c r="BC62" i="34"/>
  <c r="W14" i="34"/>
  <c r="X14" i="34" s="1"/>
  <c r="BC67" i="34"/>
  <c r="W15" i="34"/>
  <c r="X15" i="34" s="1"/>
  <c r="BC72" i="34"/>
  <c r="W16" i="34"/>
  <c r="X16" i="34" s="1"/>
  <c r="BC77" i="34"/>
  <c r="W17" i="34"/>
  <c r="X17" i="34" s="1"/>
  <c r="BC82" i="34"/>
  <c r="W18" i="34"/>
  <c r="X18" i="34" s="1"/>
  <c r="BC87" i="34"/>
  <c r="W19" i="34"/>
  <c r="X19" i="34" s="1"/>
  <c r="BC92" i="34"/>
  <c r="W20" i="34"/>
  <c r="X20" i="34" s="1"/>
  <c r="BC97" i="34"/>
  <c r="W21" i="34"/>
  <c r="X21" i="34" s="1"/>
  <c r="BC102" i="34"/>
  <c r="W22" i="34"/>
  <c r="X22" i="34" s="1"/>
  <c r="BC7" i="33"/>
  <c r="W3" i="33"/>
  <c r="BC12" i="33"/>
  <c r="W4" i="33"/>
  <c r="X4" i="33" s="1"/>
  <c r="BC17" i="33"/>
  <c r="W5" i="33"/>
  <c r="X5" i="33" s="1"/>
  <c r="BC22" i="33"/>
  <c r="W6" i="33"/>
  <c r="X6" i="33" s="1"/>
  <c r="BC27" i="33"/>
  <c r="W7" i="33"/>
  <c r="X7" i="33" s="1"/>
  <c r="BC32" i="33"/>
  <c r="W8" i="33"/>
  <c r="X8" i="33" s="1"/>
  <c r="BC37" i="33"/>
  <c r="W9" i="33"/>
  <c r="X9" i="33" s="1"/>
  <c r="BC42" i="33"/>
  <c r="W10" i="33"/>
  <c r="X10" i="33" s="1"/>
  <c r="BC47" i="33"/>
  <c r="W11" i="33"/>
  <c r="X11" i="33" s="1"/>
  <c r="BC52" i="33"/>
  <c r="W12" i="33"/>
  <c r="X12" i="33" s="1"/>
  <c r="BC57" i="33"/>
  <c r="W13" i="33"/>
  <c r="X13" i="33" s="1"/>
  <c r="BC62" i="33"/>
  <c r="W14" i="33"/>
  <c r="X14" i="33" s="1"/>
  <c r="BC67" i="33"/>
  <c r="W15" i="33"/>
  <c r="X15" i="33" s="1"/>
  <c r="BC72" i="33"/>
  <c r="W16" i="33"/>
  <c r="X16" i="33" s="1"/>
  <c r="BC77" i="33"/>
  <c r="W17" i="33"/>
  <c r="X17" i="33" s="1"/>
  <c r="BC82" i="33"/>
  <c r="W18" i="33"/>
  <c r="X18" i="33" s="1"/>
  <c r="BC87" i="33"/>
  <c r="W19" i="33"/>
  <c r="X19" i="33" s="1"/>
  <c r="BC92" i="33"/>
  <c r="W20" i="33"/>
  <c r="X20" i="33" s="1"/>
  <c r="BC97" i="33"/>
  <c r="W21" i="33"/>
  <c r="X21" i="33" s="1"/>
  <c r="BC102" i="33"/>
  <c r="W22" i="33"/>
  <c r="X22" i="33" s="1"/>
  <c r="BC17" i="18"/>
  <c r="W5" i="18"/>
  <c r="BC97" i="18"/>
  <c r="W21" i="18"/>
  <c r="BC7" i="31"/>
  <c r="W3" i="31"/>
  <c r="BC12" i="31"/>
  <c r="W4" i="31"/>
  <c r="X4" i="31" s="1"/>
  <c r="BC22" i="31"/>
  <c r="W6" i="31"/>
  <c r="X6" i="31" s="1"/>
  <c r="BC27" i="31"/>
  <c r="W7" i="31"/>
  <c r="X7" i="31" s="1"/>
  <c r="BC32" i="31"/>
  <c r="W8" i="31"/>
  <c r="X8" i="31" s="1"/>
  <c r="BC37" i="31"/>
  <c r="W9" i="31"/>
  <c r="X9" i="31" s="1"/>
  <c r="BC42" i="31"/>
  <c r="W10" i="31"/>
  <c r="X10" i="31" s="1"/>
  <c r="BC47" i="31"/>
  <c r="W11" i="31"/>
  <c r="X11" i="31" s="1"/>
  <c r="BC52" i="31"/>
  <c r="W12" i="31"/>
  <c r="X12" i="31" s="1"/>
  <c r="BC57" i="31"/>
  <c r="W13" i="31"/>
  <c r="X13" i="31" s="1"/>
  <c r="BC62" i="31"/>
  <c r="W14" i="31"/>
  <c r="X14" i="31" s="1"/>
  <c r="BC67" i="31"/>
  <c r="W15" i="31"/>
  <c r="X15" i="31" s="1"/>
  <c r="BC72" i="31"/>
  <c r="W16" i="31"/>
  <c r="X16" i="31" s="1"/>
  <c r="BC77" i="31"/>
  <c r="W17" i="31"/>
  <c r="X17" i="31" s="1"/>
  <c r="BC82" i="31"/>
  <c r="W18" i="31"/>
  <c r="X18" i="31" s="1"/>
  <c r="BC87" i="31"/>
  <c r="W19" i="31"/>
  <c r="X19" i="31" s="1"/>
  <c r="BC92" i="31"/>
  <c r="W20" i="31"/>
  <c r="X20" i="31" s="1"/>
  <c r="BC102" i="31"/>
  <c r="BC17" i="29"/>
  <c r="W5" i="29"/>
  <c r="BC22" i="29"/>
  <c r="W6" i="29"/>
  <c r="T22" i="29"/>
  <c r="Q22" i="29"/>
  <c r="T21" i="29"/>
  <c r="X21" i="29"/>
  <c r="T20" i="29"/>
  <c r="T19" i="29"/>
  <c r="T18" i="29"/>
  <c r="O18" i="29"/>
  <c r="T17" i="29"/>
  <c r="U17" i="29" s="1"/>
  <c r="Q17" i="29"/>
  <c r="T16" i="29"/>
  <c r="U16" i="29" s="1"/>
  <c r="T15" i="29"/>
  <c r="T14" i="29"/>
  <c r="T13" i="29"/>
  <c r="O13" i="29"/>
  <c r="T12" i="29"/>
  <c r="T11" i="29"/>
  <c r="T10" i="29"/>
  <c r="Q7" i="29"/>
  <c r="U6" i="29"/>
  <c r="O5" i="29"/>
  <c r="X5" i="29"/>
  <c r="O4" i="29"/>
  <c r="I70" i="34" l="1"/>
  <c r="W63" i="34"/>
  <c r="X41" i="34"/>
  <c r="J70" i="34"/>
  <c r="X3" i="34"/>
  <c r="J29" i="33"/>
  <c r="K29" i="33" s="1"/>
  <c r="W23" i="33"/>
  <c r="X3" i="33"/>
  <c r="X23" i="33" s="1"/>
  <c r="J29" i="31"/>
  <c r="K29" i="31" s="1"/>
  <c r="W23" i="31"/>
  <c r="X3" i="31"/>
  <c r="X23" i="31" s="1"/>
  <c r="U12" i="29"/>
  <c r="O10" i="29"/>
  <c r="U21" i="29"/>
  <c r="O15" i="29"/>
  <c r="X3" i="29"/>
  <c r="O8" i="29"/>
  <c r="O20" i="29"/>
  <c r="U3" i="29"/>
  <c r="O12" i="29"/>
  <c r="Q20" i="29"/>
  <c r="S4" i="29"/>
  <c r="U11" i="29"/>
  <c r="Q12" i="29"/>
  <c r="S19" i="29"/>
  <c r="S9" i="29"/>
  <c r="S14" i="29"/>
  <c r="L17" i="29"/>
  <c r="M17" i="29" s="1"/>
  <c r="L20" i="29"/>
  <c r="M20" i="29" s="1"/>
  <c r="O3" i="29"/>
  <c r="Q5" i="29"/>
  <c r="S7" i="29"/>
  <c r="L9" i="29"/>
  <c r="M9" i="29" s="1"/>
  <c r="Q10" i="29"/>
  <c r="X12" i="29"/>
  <c r="S12" i="29"/>
  <c r="Q15" i="29"/>
  <c r="S17" i="29"/>
  <c r="U19" i="29"/>
  <c r="O21" i="29"/>
  <c r="S22" i="29"/>
  <c r="U4" i="29"/>
  <c r="L5" i="29"/>
  <c r="M5" i="29" s="1"/>
  <c r="O6" i="29"/>
  <c r="Q8" i="29"/>
  <c r="U9" i="29"/>
  <c r="O11" i="29"/>
  <c r="Q13" i="29"/>
  <c r="U14" i="29"/>
  <c r="O16" i="29"/>
  <c r="Q18" i="29"/>
  <c r="S20" i="29"/>
  <c r="Q3" i="29"/>
  <c r="S5" i="29"/>
  <c r="U7" i="29"/>
  <c r="S10" i="29"/>
  <c r="S15" i="29"/>
  <c r="O19" i="29"/>
  <c r="Q21" i="29"/>
  <c r="L22" i="29"/>
  <c r="M22" i="29" s="1"/>
  <c r="U22" i="29"/>
  <c r="Q6" i="29"/>
  <c r="S8" i="29"/>
  <c r="O9" i="29"/>
  <c r="Q11" i="29"/>
  <c r="S13" i="29"/>
  <c r="O14" i="29"/>
  <c r="Q16" i="29"/>
  <c r="S18" i="29"/>
  <c r="U20" i="29"/>
  <c r="S3" i="29"/>
  <c r="U5" i="29"/>
  <c r="O7" i="29"/>
  <c r="U10" i="29"/>
  <c r="U15" i="29"/>
  <c r="O17" i="29"/>
  <c r="Q19" i="29"/>
  <c r="S21" i="29"/>
  <c r="O22" i="29"/>
  <c r="L3" i="29"/>
  <c r="M3" i="29" s="1"/>
  <c r="Q4" i="29"/>
  <c r="S6" i="29"/>
  <c r="U8" i="29"/>
  <c r="Q9" i="29"/>
  <c r="S11" i="29"/>
  <c r="U13" i="29"/>
  <c r="X14" i="29"/>
  <c r="Q14" i="29"/>
  <c r="S16" i="29"/>
  <c r="U18" i="29"/>
  <c r="X22" i="29"/>
  <c r="X4" i="29"/>
  <c r="X8" i="29"/>
  <c r="X17" i="29"/>
  <c r="L6" i="29"/>
  <c r="M6" i="29" s="1"/>
  <c r="L7" i="29"/>
  <c r="M7" i="29" s="1"/>
  <c r="X9" i="29"/>
  <c r="X6" i="29"/>
  <c r="X7" i="29"/>
  <c r="R23" i="29"/>
  <c r="I23" i="29"/>
  <c r="X13" i="29"/>
  <c r="X18" i="29"/>
  <c r="J23" i="29"/>
  <c r="L12" i="29"/>
  <c r="M12" i="29" s="1"/>
  <c r="L16" i="29"/>
  <c r="M16" i="29" s="1"/>
  <c r="X20" i="29"/>
  <c r="H23" i="29"/>
  <c r="X10" i="29"/>
  <c r="L19" i="29"/>
  <c r="M19" i="29" s="1"/>
  <c r="T23" i="29"/>
  <c r="X16" i="29"/>
  <c r="X19" i="29"/>
  <c r="L11" i="29"/>
  <c r="M11" i="29" s="1"/>
  <c r="F23" i="29"/>
  <c r="X11" i="29"/>
  <c r="G23" i="29"/>
  <c r="M13" i="29"/>
  <c r="X15" i="29"/>
  <c r="E23" i="29"/>
  <c r="L10" i="29"/>
  <c r="M10" i="29" s="1"/>
  <c r="L18" i="29"/>
  <c r="M18" i="29" s="1"/>
  <c r="L15" i="29"/>
  <c r="M15" i="29" s="1"/>
  <c r="J21" i="18"/>
  <c r="I21" i="18"/>
  <c r="H21" i="18"/>
  <c r="G21" i="18"/>
  <c r="X21" i="18" s="1"/>
  <c r="F21" i="18"/>
  <c r="E21" i="18"/>
  <c r="J20" i="18"/>
  <c r="I20" i="18"/>
  <c r="H20" i="18"/>
  <c r="G20" i="18"/>
  <c r="F20" i="18"/>
  <c r="E20" i="18"/>
  <c r="I19" i="18"/>
  <c r="H19" i="18"/>
  <c r="G19" i="18"/>
  <c r="O19" i="18" s="1"/>
  <c r="J18" i="18"/>
  <c r="I18" i="18"/>
  <c r="H18" i="18"/>
  <c r="G18" i="18"/>
  <c r="S18" i="18" s="1"/>
  <c r="J17" i="18"/>
  <c r="I17" i="18"/>
  <c r="H17" i="18"/>
  <c r="G17" i="18"/>
  <c r="F17" i="18"/>
  <c r="E17" i="18"/>
  <c r="J16" i="18"/>
  <c r="I16" i="18"/>
  <c r="H16" i="18"/>
  <c r="G16" i="18"/>
  <c r="F16" i="18"/>
  <c r="E16" i="18"/>
  <c r="J15" i="18"/>
  <c r="I15" i="18"/>
  <c r="H15" i="18"/>
  <c r="G15" i="18"/>
  <c r="S15" i="18" s="1"/>
  <c r="F15" i="18"/>
  <c r="E15" i="18"/>
  <c r="J14" i="18"/>
  <c r="I14" i="18"/>
  <c r="H14" i="18"/>
  <c r="G14" i="18"/>
  <c r="F14" i="18"/>
  <c r="E14" i="18"/>
  <c r="J13" i="18"/>
  <c r="I13" i="18"/>
  <c r="H13" i="18"/>
  <c r="G13" i="18"/>
  <c r="F13" i="18"/>
  <c r="E13" i="18"/>
  <c r="J12" i="18"/>
  <c r="I12" i="18"/>
  <c r="H12" i="18"/>
  <c r="G12" i="18"/>
  <c r="F12" i="18"/>
  <c r="E12" i="18"/>
  <c r="K12" i="18"/>
  <c r="J11" i="18"/>
  <c r="I11" i="18"/>
  <c r="H11" i="18"/>
  <c r="G11" i="18"/>
  <c r="F11" i="18"/>
  <c r="E11" i="18"/>
  <c r="J10" i="18"/>
  <c r="I10" i="18"/>
  <c r="H10" i="18"/>
  <c r="G10" i="18"/>
  <c r="F10" i="18"/>
  <c r="E10" i="18"/>
  <c r="J9" i="18"/>
  <c r="I9" i="18"/>
  <c r="H9" i="18"/>
  <c r="G9" i="18"/>
  <c r="F9" i="18"/>
  <c r="J8" i="18"/>
  <c r="I8" i="18"/>
  <c r="G8" i="18"/>
  <c r="F8" i="18"/>
  <c r="J7" i="18"/>
  <c r="I7" i="18"/>
  <c r="H7" i="18"/>
  <c r="G7" i="18"/>
  <c r="Q7" i="18" s="1"/>
  <c r="F7" i="18"/>
  <c r="J6" i="18"/>
  <c r="I6" i="18"/>
  <c r="H6" i="18"/>
  <c r="G6" i="18"/>
  <c r="U6" i="18" s="1"/>
  <c r="F6" i="18"/>
  <c r="E6" i="18"/>
  <c r="J5" i="18"/>
  <c r="I5" i="18"/>
  <c r="H5" i="18"/>
  <c r="G5" i="18"/>
  <c r="X5" i="18" s="1"/>
  <c r="F5" i="18"/>
  <c r="E5" i="18"/>
  <c r="J4" i="18"/>
  <c r="I4" i="18"/>
  <c r="H4" i="18"/>
  <c r="G4" i="18"/>
  <c r="F4" i="18"/>
  <c r="E4" i="18"/>
  <c r="K4" i="18"/>
  <c r="J3" i="18"/>
  <c r="I3" i="18"/>
  <c r="H3" i="18"/>
  <c r="G3" i="18"/>
  <c r="F3" i="18"/>
  <c r="E3" i="18"/>
  <c r="U11" i="18" l="1"/>
  <c r="Q11" i="18"/>
  <c r="O11" i="18"/>
  <c r="L21" i="29"/>
  <c r="M21" i="29" s="1"/>
  <c r="L4" i="29"/>
  <c r="M4" i="29" s="1"/>
  <c r="L8" i="29"/>
  <c r="M8" i="29" s="1"/>
  <c r="L14" i="29"/>
  <c r="M14" i="29" s="1"/>
  <c r="S23" i="29"/>
  <c r="O3" i="18"/>
  <c r="O14" i="18"/>
  <c r="U3" i="18"/>
  <c r="O8" i="18"/>
  <c r="U14" i="18"/>
  <c r="Q8" i="18"/>
  <c r="Q19" i="18"/>
  <c r="Q15" i="18"/>
  <c r="O16" i="18"/>
  <c r="U19" i="18"/>
  <c r="O5" i="18"/>
  <c r="Q16" i="18"/>
  <c r="O21" i="18"/>
  <c r="U4" i="18"/>
  <c r="Q5" i="18"/>
  <c r="O13" i="18"/>
  <c r="U20" i="18"/>
  <c r="Q21" i="18"/>
  <c r="O6" i="18"/>
  <c r="U12" i="18"/>
  <c r="Q13" i="18"/>
  <c r="S17" i="18"/>
  <c r="S4" i="18"/>
  <c r="Q10" i="18"/>
  <c r="S12" i="18"/>
  <c r="Q18" i="18"/>
  <c r="S20" i="18"/>
  <c r="Q3" i="18"/>
  <c r="S5" i="18"/>
  <c r="U7" i="18"/>
  <c r="O9" i="18"/>
  <c r="S13" i="18"/>
  <c r="U15" i="18"/>
  <c r="O17" i="18"/>
  <c r="S21" i="18"/>
  <c r="S9" i="18"/>
  <c r="L12" i="18"/>
  <c r="M12" i="18" s="1"/>
  <c r="O4" i="18"/>
  <c r="Q6" i="18"/>
  <c r="S8" i="18"/>
  <c r="U10" i="18"/>
  <c r="O12" i="18"/>
  <c r="Q14" i="18"/>
  <c r="S16" i="18"/>
  <c r="U18" i="18"/>
  <c r="K19" i="18"/>
  <c r="L19" i="18" s="1"/>
  <c r="M19" i="18" s="1"/>
  <c r="O20" i="18"/>
  <c r="U9" i="18"/>
  <c r="L4" i="18"/>
  <c r="M4" i="18" s="1"/>
  <c r="U5" i="18"/>
  <c r="O7" i="18"/>
  <c r="Q9" i="18"/>
  <c r="S11" i="18"/>
  <c r="U13" i="18"/>
  <c r="O15" i="18"/>
  <c r="Q17" i="18"/>
  <c r="S19" i="18"/>
  <c r="U21" i="18"/>
  <c r="S7" i="18"/>
  <c r="U17" i="18"/>
  <c r="S10" i="18"/>
  <c r="Q4" i="18"/>
  <c r="S6" i="18"/>
  <c r="U8" i="18"/>
  <c r="O10" i="18"/>
  <c r="Q12" i="18"/>
  <c r="S14" i="18"/>
  <c r="U16" i="18"/>
  <c r="O18" i="18"/>
  <c r="Q20" i="18"/>
  <c r="K14" i="18"/>
  <c r="L14" i="18" s="1"/>
  <c r="M14" i="18" s="1"/>
  <c r="K17" i="18"/>
  <c r="L17" i="18" s="1"/>
  <c r="M17" i="18" s="1"/>
  <c r="P23" i="29"/>
  <c r="Q23" i="29" s="1"/>
  <c r="N23" i="29"/>
  <c r="O23" i="29" s="1"/>
  <c r="T23" i="18"/>
  <c r="U23" i="29"/>
  <c r="K13" i="18"/>
  <c r="L13" i="18" s="1"/>
  <c r="M13" i="18" s="1"/>
  <c r="P23" i="18"/>
  <c r="K23" i="29"/>
  <c r="L23" i="29" s="1"/>
  <c r="M23" i="29" s="1"/>
  <c r="E23" i="18"/>
  <c r="F23" i="18"/>
  <c r="G23" i="18"/>
  <c r="H23" i="18"/>
  <c r="J23" i="18"/>
  <c r="K16" i="18"/>
  <c r="L16" i="18" s="1"/>
  <c r="M16" i="18" s="1"/>
  <c r="K6" i="18"/>
  <c r="L6" i="18" s="1"/>
  <c r="M6" i="18" s="1"/>
  <c r="K21" i="18"/>
  <c r="L21" i="18" s="1"/>
  <c r="M21" i="18" s="1"/>
  <c r="K7" i="18"/>
  <c r="L7" i="18" s="1"/>
  <c r="M7" i="18" s="1"/>
  <c r="K5" i="18"/>
  <c r="L5" i="18" s="1"/>
  <c r="M5" i="18" s="1"/>
  <c r="K10" i="18"/>
  <c r="L10" i="18" s="1"/>
  <c r="M10" i="18" s="1"/>
  <c r="I23" i="18"/>
  <c r="K20" i="18"/>
  <c r="L20" i="18" s="1"/>
  <c r="M20" i="18" s="1"/>
  <c r="K3" i="18"/>
  <c r="L3" i="18" s="1"/>
  <c r="M3" i="18" s="1"/>
  <c r="K11" i="18"/>
  <c r="L11" i="18" s="1"/>
  <c r="M11" i="18" s="1"/>
  <c r="K22" i="18"/>
  <c r="K15" i="18"/>
  <c r="L15" i="18" s="1"/>
  <c r="M15" i="18" s="1"/>
  <c r="K8" i="18"/>
  <c r="L8" i="18" s="1"/>
  <c r="M8" i="18" s="1"/>
  <c r="K18" i="18"/>
  <c r="L18" i="18" s="1"/>
  <c r="M18" i="18" s="1"/>
  <c r="W23" i="29" l="1"/>
  <c r="W3" i="18"/>
  <c r="K9" i="18"/>
  <c r="L9" i="18" s="1"/>
  <c r="M9" i="18" s="1"/>
  <c r="N23" i="18"/>
  <c r="O23" i="18" s="1"/>
  <c r="V23" i="29"/>
  <c r="X23" i="29"/>
  <c r="K29" i="29"/>
  <c r="U23" i="18"/>
  <c r="Q23" i="18"/>
  <c r="X13" i="21"/>
  <c r="W13" i="21"/>
  <c r="U13" i="21"/>
  <c r="T13" i="21"/>
  <c r="R13" i="21"/>
  <c r="Q13" i="21"/>
  <c r="O13" i="21"/>
  <c r="N13" i="21"/>
  <c r="F13" i="21"/>
  <c r="G13" i="21"/>
  <c r="H13" i="21"/>
  <c r="I13" i="21"/>
  <c r="J13" i="21"/>
  <c r="K13" i="21"/>
  <c r="E13" i="21"/>
  <c r="X3" i="18" l="1"/>
  <c r="J29" i="18"/>
  <c r="W19" i="18"/>
  <c r="X19" i="18" s="1"/>
  <c r="W14" i="18"/>
  <c r="X14" i="18" s="1"/>
  <c r="W15" i="18"/>
  <c r="X15" i="18" s="1"/>
  <c r="W7" i="18"/>
  <c r="X7" i="18" s="1"/>
  <c r="W17" i="18"/>
  <c r="X17" i="18" s="1"/>
  <c r="W6" i="18"/>
  <c r="X6" i="18" s="1"/>
  <c r="W9" i="18"/>
  <c r="X9" i="18" s="1"/>
  <c r="W18" i="18"/>
  <c r="X18" i="18" s="1"/>
  <c r="W22" i="18"/>
  <c r="X22" i="18" s="1"/>
  <c r="W20" i="18"/>
  <c r="X20" i="18" s="1"/>
  <c r="W16" i="18"/>
  <c r="X16" i="18" s="1"/>
  <c r="W10" i="18"/>
  <c r="X10" i="18" s="1"/>
  <c r="W12" i="18"/>
  <c r="X12" i="18" s="1"/>
  <c r="W13" i="18"/>
  <c r="X13" i="18" s="1"/>
  <c r="W11" i="18"/>
  <c r="X11" i="18" s="1"/>
  <c r="W8" i="18"/>
  <c r="X8" i="18" s="1"/>
  <c r="W4" i="18"/>
  <c r="X4" i="18" s="1"/>
  <c r="V23" i="18"/>
  <c r="K23" i="18"/>
  <c r="I19" i="21"/>
  <c r="Y13" i="21"/>
  <c r="S13" i="21"/>
  <c r="P13" i="21"/>
  <c r="M13" i="21"/>
  <c r="V13" i="21"/>
  <c r="AA12" i="21"/>
  <c r="Z12" i="21"/>
  <c r="Y12" i="21"/>
  <c r="V12" i="21"/>
  <c r="S12" i="21"/>
  <c r="P12" i="21"/>
  <c r="M12" i="21"/>
  <c r="L12" i="21"/>
  <c r="AA11" i="21"/>
  <c r="AB11" i="21" s="1"/>
  <c r="AC11" i="21" s="1"/>
  <c r="Z11" i="21"/>
  <c r="Y11" i="21"/>
  <c r="V11" i="21"/>
  <c r="S11" i="21"/>
  <c r="P11" i="21"/>
  <c r="M11" i="21"/>
  <c r="L11" i="21"/>
  <c r="AA10" i="21"/>
  <c r="Z10" i="21"/>
  <c r="AB10" i="21" s="1"/>
  <c r="AC10" i="21" s="1"/>
  <c r="Y10" i="21"/>
  <c r="V10" i="21"/>
  <c r="S10" i="21"/>
  <c r="P10" i="21"/>
  <c r="M10" i="21"/>
  <c r="L10" i="21"/>
  <c r="AA9" i="21"/>
  <c r="Z9" i="21"/>
  <c r="AB9" i="21" s="1"/>
  <c r="AC9" i="21" s="1"/>
  <c r="Y9" i="21"/>
  <c r="V9" i="21"/>
  <c r="S9" i="21"/>
  <c r="P9" i="21"/>
  <c r="M9" i="21"/>
  <c r="L9" i="21"/>
  <c r="AA8" i="21"/>
  <c r="Z8" i="21"/>
  <c r="AB8" i="21" s="1"/>
  <c r="AC8" i="21" s="1"/>
  <c r="Y8" i="21"/>
  <c r="V8" i="21"/>
  <c r="S8" i="21"/>
  <c r="P8" i="21"/>
  <c r="M8" i="21"/>
  <c r="L8" i="21"/>
  <c r="AA7" i="21"/>
  <c r="Z7" i="21"/>
  <c r="Y7" i="21"/>
  <c r="V7" i="21"/>
  <c r="S7" i="21"/>
  <c r="P7" i="21"/>
  <c r="M7" i="21"/>
  <c r="L7" i="21"/>
  <c r="AA6" i="21"/>
  <c r="Z6" i="21"/>
  <c r="Y6" i="21"/>
  <c r="V6" i="21"/>
  <c r="S6" i="21"/>
  <c r="P6" i="21"/>
  <c r="M6" i="21"/>
  <c r="L6" i="21"/>
  <c r="AA5" i="21"/>
  <c r="Z5" i="21"/>
  <c r="AB5" i="21" s="1"/>
  <c r="AC5" i="21" s="1"/>
  <c r="Y5" i="21"/>
  <c r="V5" i="21"/>
  <c r="S5" i="21"/>
  <c r="P5" i="21"/>
  <c r="M5" i="21"/>
  <c r="L5" i="21"/>
  <c r="AA4" i="21"/>
  <c r="Z4" i="21"/>
  <c r="AB4" i="21" s="1"/>
  <c r="AC4" i="21" s="1"/>
  <c r="Y4" i="21"/>
  <c r="V4" i="21"/>
  <c r="S4" i="21"/>
  <c r="P4" i="21"/>
  <c r="M4" i="21"/>
  <c r="L4" i="21"/>
  <c r="AA3" i="21"/>
  <c r="Z3" i="21"/>
  <c r="Z13" i="21" s="1"/>
  <c r="Y3" i="21"/>
  <c r="V3" i="21"/>
  <c r="S3" i="21"/>
  <c r="P3" i="21"/>
  <c r="M3" i="21"/>
  <c r="L3" i="21"/>
  <c r="L13" i="21" s="1"/>
  <c r="L23" i="18" l="1"/>
  <c r="M23" i="18" s="1"/>
  <c r="L22" i="18"/>
  <c r="M22" i="18" s="1"/>
  <c r="W23" i="18"/>
  <c r="AB6" i="21"/>
  <c r="AC6" i="21" s="1"/>
  <c r="X23" i="18"/>
  <c r="AB3" i="21"/>
  <c r="AA13" i="21"/>
  <c r="AB7" i="21"/>
  <c r="AC7" i="21" s="1"/>
  <c r="AB12" i="21"/>
  <c r="AC12" i="21"/>
  <c r="J19" i="21"/>
  <c r="K19" i="21" s="1"/>
  <c r="AC3" i="21" l="1"/>
  <c r="AB13" i="21"/>
  <c r="I29" i="18"/>
  <c r="H61" i="26" l="1"/>
  <c r="F61" i="26"/>
  <c r="E61" i="26"/>
  <c r="G61" i="26" l="1"/>
  <c r="K29" i="18" l="1"/>
  <c r="S3" i="18"/>
  <c r="R23" i="18"/>
  <c r="S23" i="18"/>
  <c r="S3" i="34"/>
  <c r="S23" i="34"/>
  <c r="S43" i="34"/>
  <c r="AS207" i="34"/>
  <c r="AS7" i="31"/>
  <c r="AS107" i="34"/>
  <c r="AS7" i="18"/>
  <c r="AS7" i="34"/>
  <c r="AS7"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tc={F20612D1-DC4A-4282-87E9-570F9EFE3BDB}</author>
  </authors>
  <commentList>
    <comment ref="A1" authorId="0" shapeId="0" xr:uid="{F20612D1-DC4A-4282-87E9-570F9EFE3BDB}">
      <text>
        <t>[Threaded comment]
Your version of Excel allows you to read this threaded comment; however, any edits to it will get removed if the file is opened in a newer version of Excel. Learn more: https://go.microsoft.com/fwlink/?linkid=870924
Comment:
    Note that the contents of these figures and tables are not for 2025-2026. They are currently just being left as placeholders of which types of figures/tables should go in this sheet once the data is collected for 2025-2026.</t>
      </text>
    </comment>
  </commentList>
</comments>
</file>

<file path=xl/sharedStrings.xml><?xml version="1.0" encoding="utf-8"?>
<sst xmlns="http://schemas.openxmlformats.org/spreadsheetml/2006/main" count="1895" uniqueCount="380">
  <si>
    <t>United States Department of the Interior</t>
  </si>
  <si>
    <t>U.S. Fish and Wildlife Service</t>
  </si>
  <si>
    <t>Report prepared for:</t>
  </si>
  <si>
    <t>Red Bluff Fish and Wildlife Office</t>
  </si>
  <si>
    <t>10950 Tyler Road</t>
  </si>
  <si>
    <t>Customer:</t>
  </si>
  <si>
    <t>United States Bureau of Reclamation</t>
  </si>
  <si>
    <t>Red Bluff, CA  96080</t>
  </si>
  <si>
    <t>Mid-Pacific Regional Office</t>
  </si>
  <si>
    <t>Customer Address:</t>
  </si>
  <si>
    <t>2800 Cottage Way</t>
  </si>
  <si>
    <t>https://www.fws.gov/redbluff/</t>
  </si>
  <si>
    <t>Customer City, State, Zip:</t>
  </si>
  <si>
    <t>Sacramento, CA  95825-1898</t>
  </si>
  <si>
    <t>Customer Phone:</t>
  </si>
  <si>
    <t>916.978.4315</t>
  </si>
  <si>
    <t>Prepared by:</t>
  </si>
  <si>
    <t>Customer Email:</t>
  </si>
  <si>
    <t>Mike Schraml: 530.527.3043 / mike_schraml@fws.gov</t>
  </si>
  <si>
    <t>Table of Contents</t>
  </si>
  <si>
    <t>Metadata</t>
  </si>
  <si>
    <t>Contact Information</t>
  </si>
  <si>
    <t>Summary</t>
  </si>
  <si>
    <t>Use Limitations</t>
  </si>
  <si>
    <t>References</t>
  </si>
  <si>
    <t>Worksheet Descriptions</t>
  </si>
  <si>
    <t>Data Descriptions</t>
  </si>
  <si>
    <t>UBC CHN 18-19 worksheet</t>
  </si>
  <si>
    <t>UBC RBT 18-19 worksheet</t>
  </si>
  <si>
    <t>Tables &amp; Figures worksheet</t>
  </si>
  <si>
    <t>UBC CHN 17-18 worksheet</t>
  </si>
  <si>
    <t>UBC CHN 18-19</t>
  </si>
  <si>
    <t>UBC RBT 18-19</t>
  </si>
  <si>
    <t xml:space="preserve">UBC Tables &amp; Figures </t>
  </si>
  <si>
    <t>UBC CHN 17-18</t>
  </si>
  <si>
    <t>Fix this hyper link for report</t>
  </si>
  <si>
    <t>Summary:</t>
  </si>
  <si>
    <r>
      <t xml:space="preserve">The data was collected by the U.S. Fish and Wildlife Service's, Red Bluff Fish and Wildlife Office's, Battle Creek Monitoring Program.  The data encompasses the brood year (BY) 2018 and 2018-2019 mark-recapture (M-R) data collected on Battle Creek, California, from </t>
    </r>
    <r>
      <rPr>
        <sz val="10"/>
        <color rgb="FFFF0000"/>
        <rFont val="Arial"/>
        <family val="2"/>
      </rPr>
      <t>December 15, 2015, through March 15, 2016, and December 27, 2016, through January 31, 2017</t>
    </r>
    <r>
      <rPr>
        <sz val="10"/>
        <color theme="1"/>
        <rFont val="Arial"/>
        <family val="2"/>
      </rPr>
      <t>.  The catch data was collected using at 5-ft diameter rotary screw trap located at river mile 6.2, 40.3977N latitude -122.1341W Longitude (decimal degrees).</t>
    </r>
  </si>
  <si>
    <t>Use Limitations:</t>
  </si>
  <si>
    <t xml:space="preserve">FWS assumes no liability for the improper or incorrect  use of these data.  These data are intended for the use of Battle Creek monitoring.  The final data can be found in our monitoring reports at http://www.fws.gov/redbluff/cvpia.aspx.  </t>
  </si>
  <si>
    <t>References:</t>
  </si>
  <si>
    <t>Bailey, N. T. J.  1951.  On Estimating the Size of Mobile Populations from Recapture Data.  Biometrika 38(3):293-306.</t>
  </si>
  <si>
    <t>Buckland, S. T., and P. H. Garthwaite.  1991.  Quantifying Precision of Mark-Recapture Estimates Using the Bootstrap and Related Methods.  Biometrics 47(1):255-268.</t>
  </si>
  <si>
    <t>Carlson, S. R., L. G. Coggins Jr, and C. O. Swanton.  1998.  A simple stratified design for mark-recapture estimation of salmon smolt abundance.  Alaska Fishery Research Bulletin 5(2):88-102.</t>
  </si>
  <si>
    <t>Thedinga, J. F., M. L. Murphy, S. W. Johnson, J. M. Lorenz, and K. V. Koski.  1994.  Determination of salmonid smolt yield with rotary-screw traps in the Situk River, Alaska, to predict effects of glacial flooding.  North American Journal of Fisheries Management 14(4):837-851.</t>
  </si>
  <si>
    <t>Return to Table of Contents</t>
  </si>
  <si>
    <t>Excel Worksheet Name</t>
  </si>
  <si>
    <t>Worksheet Description</t>
  </si>
  <si>
    <r>
      <t xml:space="preserve">This worksheet contains the M-R trial data and results obtained during the brood year 2018 spring-run Chinook Salmon sampling season conducted during the </t>
    </r>
    <r>
      <rPr>
        <sz val="10"/>
        <color rgb="FFFF0000"/>
        <rFont val="Arial"/>
        <family val="2"/>
      </rPr>
      <t>December 27, 2016, through January 31, 2017</t>
    </r>
    <r>
      <rPr>
        <sz val="10"/>
        <color theme="1"/>
        <rFont val="Arial"/>
        <family val="2"/>
      </rPr>
      <t xml:space="preserve">, time period.  The Bailey's efficiency calculated on this worksheet is used to generate the passage indices (estimated) for the annual report. </t>
    </r>
  </si>
  <si>
    <r>
      <t xml:space="preserve">This worksheet contains the M-R trial data and results obtained during the brood year 2018 Rainbow Trout / steelhead sampling season conducted during the </t>
    </r>
    <r>
      <rPr>
        <sz val="10"/>
        <color rgb="FFFF0000"/>
        <rFont val="Arial"/>
        <family val="2"/>
      </rPr>
      <t>January 16, 2018, through February 18, 2018</t>
    </r>
    <r>
      <rPr>
        <sz val="10"/>
        <color theme="1"/>
        <rFont val="Arial"/>
        <family val="2"/>
      </rPr>
      <t xml:space="preserve">, time period.  The Bailey's efficiency calculated on this worksheet is used to generate the passage indices (estimated) for the annual report. </t>
    </r>
  </si>
  <si>
    <t>This worksheet contains the table and figures presented in the report.</t>
  </si>
  <si>
    <r>
      <t xml:space="preserve">This worksheet contains the M-R trial data and results obtained during the brood year 2017 spring-run Chinook Salmon sampling season conducted during the January 16, 2018, through February 18, 2018, time period.  The Bailey's efficiency calculated on this worksheet is used to generate the passage indices (estimated) for the annual report. </t>
    </r>
    <r>
      <rPr>
        <sz val="10"/>
        <color rgb="FFFF0000"/>
        <rFont val="Arial"/>
        <family val="2"/>
      </rPr>
      <t>This worksheet is only for the report version of this spreadsheet.</t>
    </r>
  </si>
  <si>
    <t>Column Name</t>
  </si>
  <si>
    <t>Column</t>
  </si>
  <si>
    <t>Data Description</t>
  </si>
  <si>
    <t>Unit</t>
  </si>
  <si>
    <t>Spreadsheet Origin</t>
  </si>
  <si>
    <t>Worksheet Origin</t>
  </si>
  <si>
    <t>Trial</t>
  </si>
  <si>
    <t>A</t>
  </si>
  <si>
    <t>The trial number for BY 2018 Chinook Salmon M-R sampling.</t>
  </si>
  <si>
    <t>N/A</t>
  </si>
  <si>
    <t>Mark Date</t>
  </si>
  <si>
    <t>B</t>
  </si>
  <si>
    <r>
      <t xml:space="preserve">The date the fish were marked for the M-R study conducted on the </t>
    </r>
    <r>
      <rPr>
        <b/>
        <sz val="10"/>
        <color theme="1"/>
        <rFont val="Arial"/>
        <family val="2"/>
      </rPr>
      <t>Release Date.</t>
    </r>
  </si>
  <si>
    <t>Release Date</t>
  </si>
  <si>
    <t>C</t>
  </si>
  <si>
    <t>The date the fish were released for the M-R study.</t>
  </si>
  <si>
    <t>Days Held</t>
  </si>
  <si>
    <t>D</t>
  </si>
  <si>
    <t>The number of days the fish were held in live-cars before being released.</t>
  </si>
  <si>
    <t>days</t>
  </si>
  <si>
    <t>Number Held</t>
  </si>
  <si>
    <t>E</t>
  </si>
  <si>
    <t>The combined number of all mark types of fish initally held for the M-R study.</t>
  </si>
  <si>
    <t>Number Marked</t>
  </si>
  <si>
    <t>F</t>
  </si>
  <si>
    <t>The combined number of all mark types of fish marked for the M-R study.</t>
  </si>
  <si>
    <t>number of fish</t>
  </si>
  <si>
    <t>Number Released</t>
  </si>
  <si>
    <t>G</t>
  </si>
  <si>
    <t>The combined number of all mark types of fish released for the M-R study.  The total marked fish minus fish injured or killed during the marking process.</t>
  </si>
  <si>
    <t>Pre Mark Morts</t>
  </si>
  <si>
    <t>H</t>
  </si>
  <si>
    <t>The number of fish that died as a result of being kept in the live-car before the marking process.</t>
  </si>
  <si>
    <t>Marking Morts</t>
  </si>
  <si>
    <t>I</t>
  </si>
  <si>
    <t>The number of fish that died during the marking process.</t>
  </si>
  <si>
    <t>Post Mark Morts</t>
  </si>
  <si>
    <t>J</t>
  </si>
  <si>
    <t>The number of fish that died as a result of the release counting process or being retained in the live-car after the marking process.</t>
  </si>
  <si>
    <t>Predation/Trap Morts</t>
  </si>
  <si>
    <t>K</t>
  </si>
  <si>
    <t>The number of fish recaptured that were found dead in the live-box of the rotary screw trap.</t>
  </si>
  <si>
    <t>Total Morts</t>
  </si>
  <si>
    <t>L</t>
  </si>
  <si>
    <t>The total number of fish that died as a result of conducting the M-R trial..</t>
  </si>
  <si>
    <t>Percent Mortality</t>
  </si>
  <si>
    <t>M</t>
  </si>
  <si>
    <t>The percent of total marked fish that died because of the marking and releasing process.</t>
  </si>
  <si>
    <t>percent</t>
  </si>
  <si>
    <t>Current</t>
  </si>
  <si>
    <t>Calculation</t>
  </si>
  <si>
    <t>Number Caught Day1</t>
  </si>
  <si>
    <t>N</t>
  </si>
  <si>
    <t>The total number of marked fish recaptured on the first day following the release.</t>
  </si>
  <si>
    <t>Percent Day1</t>
  </si>
  <si>
    <t>O</t>
  </si>
  <si>
    <t>The percent of total released fish that were recaptured on the first day following the release.</t>
  </si>
  <si>
    <t>Number Caught Day2</t>
  </si>
  <si>
    <t>P</t>
  </si>
  <si>
    <t>The total number of marked fish recaptured on the second day following the release.</t>
  </si>
  <si>
    <t>Percent Day2</t>
  </si>
  <si>
    <t>Q</t>
  </si>
  <si>
    <t>The percent of total released fish that were recaptured on the second day following the release.</t>
  </si>
  <si>
    <t>Number Caught Day3</t>
  </si>
  <si>
    <t>R</t>
  </si>
  <si>
    <t>The total number of marked fish recaptured on the third day following the release.</t>
  </si>
  <si>
    <t>Percent Day3</t>
  </si>
  <si>
    <t>S</t>
  </si>
  <si>
    <t>The percent of total released fish that were recaptured on the third day following the release.</t>
  </si>
  <si>
    <t>Number Caught Day4</t>
  </si>
  <si>
    <t>T</t>
  </si>
  <si>
    <t>The total number of marked fish recaptured on the fourth day following the release.</t>
  </si>
  <si>
    <t>Percent Day4</t>
  </si>
  <si>
    <t>U</t>
  </si>
  <si>
    <t>The percent of total released fish that were recaptured on the fourth day following the release.</t>
  </si>
  <si>
    <t>Total Live Recaptures</t>
  </si>
  <si>
    <t>V</t>
  </si>
  <si>
    <t>The total number of marked live fish of all mark types recaptured for that M-R trial.</t>
  </si>
  <si>
    <t>Total Mort Recaptures</t>
  </si>
  <si>
    <t>W</t>
  </si>
  <si>
    <t>The total number of marked dead fish of all mark types recaptured for that M-R trial.</t>
  </si>
  <si>
    <t>Total Recaptures</t>
  </si>
  <si>
    <t>X</t>
  </si>
  <si>
    <t>The total number of marked fish of all mark types recaptured for that M-R trial.</t>
  </si>
  <si>
    <t>mean</t>
  </si>
  <si>
    <t>Bailey's Efficiency</t>
  </si>
  <si>
    <t>Y</t>
  </si>
  <si>
    <t>Bailey's efficiency (total number of recaptured +1) / (total number of released +1).</t>
  </si>
  <si>
    <t>Race and Origin</t>
  </si>
  <si>
    <t>Z</t>
  </si>
  <si>
    <t>The race (run) of Chinook Salmon used for the M-R trial and where they were obtained.  CNFH = Coleman National Fish hatchery</t>
  </si>
  <si>
    <t>Mark Type</t>
  </si>
  <si>
    <t>AB</t>
  </si>
  <si>
    <t>The type of mark applied to the released fish.  All fish were marked with Bismarck brown dye, upper clip = an upper caudal fin clip, lower clip = an lower caudal fin clip, no clip = no fin was clipped.</t>
  </si>
  <si>
    <t>AC</t>
  </si>
  <si>
    <t>AD</t>
  </si>
  <si>
    <t>AE</t>
  </si>
  <si>
    <t>AF</t>
  </si>
  <si>
    <t>The combined number of of fish held for the indicated mark type.</t>
  </si>
  <si>
    <t>AG</t>
  </si>
  <si>
    <t>The number of indicted mark type marked for the M-R study.</t>
  </si>
  <si>
    <t>AH</t>
  </si>
  <si>
    <t>The number of indicated mark type of fish released for the M-R study.  The total marked fish minus fish injured or killed during the marking process.</t>
  </si>
  <si>
    <t>AI</t>
  </si>
  <si>
    <t>The number of indicated mark type of fish that died as a result of the marking process.</t>
  </si>
  <si>
    <t>AJ</t>
  </si>
  <si>
    <t>The percent of total marked fish that died because of the marking process for the indicated mark type.</t>
  </si>
  <si>
    <t>AK</t>
  </si>
  <si>
    <t>The total number of marked fish recaptured on the first day following the release for the indicated mark type.</t>
  </si>
  <si>
    <t>AL</t>
  </si>
  <si>
    <t>The percent of  indicted mark type that died because of the marking and releasing process.</t>
  </si>
  <si>
    <t>Number Live  Caught Day1</t>
  </si>
  <si>
    <t>AM</t>
  </si>
  <si>
    <t>The number of live fish of the indicated mark type that were captured the 1st day after the release.</t>
  </si>
  <si>
    <t>Number Morts  Caught Day1</t>
  </si>
  <si>
    <t>AN</t>
  </si>
  <si>
    <t>The number of dead fish of the indicated mark type that were captured the 1st day after the release.</t>
  </si>
  <si>
    <t>Precent Day1</t>
  </si>
  <si>
    <t>AO</t>
  </si>
  <si>
    <t>The percent of released fish of the indicated mark type  that were captured the 1st day after the release.</t>
  </si>
  <si>
    <t>Number Live  Caught Day2</t>
  </si>
  <si>
    <t>AP</t>
  </si>
  <si>
    <t>The number of live fish of the indicated mark type that were captured the 2nd day after the release.</t>
  </si>
  <si>
    <t>Number Morts  Caught Day2</t>
  </si>
  <si>
    <t>AQ</t>
  </si>
  <si>
    <t>The number of dead fish of the indicated mark type that were captured the 2nd day after the release.</t>
  </si>
  <si>
    <t>Precent Day2</t>
  </si>
  <si>
    <t>AR</t>
  </si>
  <si>
    <t>The percent of released fish of the indicated mark type  that were captured the 2nd day after the release.</t>
  </si>
  <si>
    <t>Number Live  Caught Day3</t>
  </si>
  <si>
    <t>AS</t>
  </si>
  <si>
    <t>The number of live fish of the indicated mark type that were captured the 3rd day after the release.</t>
  </si>
  <si>
    <t>Number Morts  Caught Day3</t>
  </si>
  <si>
    <t>AT</t>
  </si>
  <si>
    <t>The number of dead fish of the indicated mark type that were captured the 3rd day after the release.</t>
  </si>
  <si>
    <t>Precent Day3</t>
  </si>
  <si>
    <t>AU</t>
  </si>
  <si>
    <t>The percent of released fish of the indicated mark type  that were captured the 3rd day after the release.</t>
  </si>
  <si>
    <t>Number Live  Caught Day4</t>
  </si>
  <si>
    <t>AV</t>
  </si>
  <si>
    <t>The number of live fish of the indicated mark type that were captured the 4th day after the release.</t>
  </si>
  <si>
    <t>Number Morts  Caught Day4</t>
  </si>
  <si>
    <t>AW</t>
  </si>
  <si>
    <t>The number of dead fish of the indicated mark type that were captured the 4th day after the release.</t>
  </si>
  <si>
    <t>Precent Day4</t>
  </si>
  <si>
    <t>AX</t>
  </si>
  <si>
    <t>The percent of released fish of the indicated mark type  that were captured the 4th day after the release.</t>
  </si>
  <si>
    <t>AY</t>
  </si>
  <si>
    <t>The total number of live fish of the indicated mark type that were recaptured during the entire M-R trial.</t>
  </si>
  <si>
    <t>AZ</t>
  </si>
  <si>
    <t>The total number of dead fish of the indicated mark type that were recaptured during the entire M-R trial.</t>
  </si>
  <si>
    <t>BA</t>
  </si>
  <si>
    <t>The total number of fish of the indicated mark type that were recaptured during the entire M-R trial.</t>
  </si>
  <si>
    <t>BB</t>
  </si>
  <si>
    <t>Bailey's efficiency for the indicated mark type (total number of recaptured +1) / (total number of released +1).</t>
  </si>
  <si>
    <t>Bailey's Eff.</t>
  </si>
  <si>
    <t>Race and Origon</t>
  </si>
  <si>
    <t>BC</t>
  </si>
  <si>
    <t>All Variables</t>
  </si>
  <si>
    <t>Same as above, except it is for Rainbow Trout / steelhead M-R sampling.</t>
  </si>
  <si>
    <t>The trial number for BY 2017 spring-run Chinook Salmon M-R sampling.</t>
  </si>
  <si>
    <t>All others</t>
  </si>
  <si>
    <t>Same as above except the data was collected during BY 2017 sampling.</t>
  </si>
  <si>
    <t>Tables and figures worksheet</t>
  </si>
  <si>
    <t>All</t>
  </si>
  <si>
    <t>Same as UBC CHN 18-19</t>
  </si>
  <si>
    <t>Tab</t>
  </si>
  <si>
    <t>Problem</t>
  </si>
  <si>
    <t>Noticed by</t>
  </si>
  <si>
    <t>Date Noticed</t>
  </si>
  <si>
    <t>Fixed by</t>
  </si>
  <si>
    <t>Date Fixed</t>
  </si>
  <si>
    <t>Notes</t>
  </si>
  <si>
    <t>Dates at end of season</t>
  </si>
  <si>
    <t>MS</t>
  </si>
  <si>
    <t>Upper Battle Creek 2025-2026</t>
  </si>
  <si>
    <t>Do not enter data into blue shaded cells</t>
  </si>
  <si>
    <t>Upper Battle Creek Chinook Salmon</t>
  </si>
  <si>
    <t>Mark date</t>
  </si>
  <si>
    <t>Release date</t>
  </si>
  <si>
    <t>Days held</t>
  </si>
  <si>
    <t>Number held</t>
  </si>
  <si>
    <t>Number marked</t>
  </si>
  <si>
    <t>Number released</t>
  </si>
  <si>
    <t>Pre-mark mortalities</t>
  </si>
  <si>
    <t>Marking mortalities</t>
  </si>
  <si>
    <t>Post-mark mortalities</t>
  </si>
  <si>
    <t>Predation / Trap mortalities</t>
  </si>
  <si>
    <t>Total mortalities</t>
  </si>
  <si>
    <t>Percent mortality</t>
  </si>
  <si>
    <t>Number caught day 1</t>
  </si>
  <si>
    <t>Percent caught day 1</t>
  </si>
  <si>
    <t>Number caught day 2</t>
  </si>
  <si>
    <t>Percent caught day 2</t>
  </si>
  <si>
    <t>Number caught day 3</t>
  </si>
  <si>
    <t>Percent caught day 3</t>
  </si>
  <si>
    <t>Number caught day 4</t>
  </si>
  <si>
    <t>Percent caught day 4</t>
  </si>
  <si>
    <t>Total live recaptures</t>
  </si>
  <si>
    <t>Total recaptured</t>
  </si>
  <si>
    <t>Bailey's efficiency</t>
  </si>
  <si>
    <t>Race</t>
  </si>
  <si>
    <t>Origin</t>
  </si>
  <si>
    <t>Trap site</t>
  </si>
  <si>
    <t>Mark type</t>
  </si>
  <si>
    <t>Number live caught day 1</t>
  </si>
  <si>
    <t>Number mortalities caught day 1</t>
  </si>
  <si>
    <t>Number live caught day 2</t>
  </si>
  <si>
    <t>Number mortalities caught day 2</t>
  </si>
  <si>
    <t>Number live caught day 3</t>
  </si>
  <si>
    <t>Number mortalities caught day 3</t>
  </si>
  <si>
    <t>Number live caught day 4</t>
  </si>
  <si>
    <t>Number mortalities caught day 4</t>
  </si>
  <si>
    <t>Total live recaptured</t>
  </si>
  <si>
    <t>Total mortalities recaptured</t>
  </si>
  <si>
    <t>LF Smolt</t>
  </si>
  <si>
    <t>CNFH</t>
  </si>
  <si>
    <t>Lower</t>
  </si>
  <si>
    <t>Trial 1</t>
  </si>
  <si>
    <t>No clip</t>
  </si>
  <si>
    <t>Coleman</t>
  </si>
  <si>
    <t>Lower clip</t>
  </si>
  <si>
    <t>FCS</t>
  </si>
  <si>
    <t>Upper clip</t>
  </si>
  <si>
    <t>Trial 2</t>
  </si>
  <si>
    <t>Trial 3</t>
  </si>
  <si>
    <t>Trial 4</t>
  </si>
  <si>
    <t>Trial 5</t>
  </si>
  <si>
    <t>Trial 6</t>
  </si>
  <si>
    <t>Trial 7</t>
  </si>
  <si>
    <t>Trial 8</t>
  </si>
  <si>
    <t>LFCS</t>
  </si>
  <si>
    <t>Trial 9</t>
  </si>
  <si>
    <t>Trial 10</t>
  </si>
  <si>
    <t>Trial 11</t>
  </si>
  <si>
    <t>Trial 12</t>
  </si>
  <si>
    <t>Trial 13</t>
  </si>
  <si>
    <t>In left and right tables enter data in green fields only, all other data is calculated</t>
  </si>
  <si>
    <t>Trial 14</t>
  </si>
  <si>
    <t xml:space="preserve">Avg. Released </t>
  </si>
  <si>
    <t>Avg. Recaps</t>
  </si>
  <si>
    <t>Avg. Eff</t>
  </si>
  <si>
    <t>Rounded season average</t>
  </si>
  <si>
    <t>Trial 15</t>
  </si>
  <si>
    <t>Trial 16</t>
  </si>
  <si>
    <t>Trial 17</t>
  </si>
  <si>
    <t>Trial 18</t>
  </si>
  <si>
    <t>Trial 19</t>
  </si>
  <si>
    <t>Trial 20</t>
  </si>
  <si>
    <t>Trial 21</t>
  </si>
  <si>
    <t>Trial 22</t>
  </si>
  <si>
    <t>Trial 23</t>
  </si>
  <si>
    <t>Trial 24</t>
  </si>
  <si>
    <t>Trial 25</t>
  </si>
  <si>
    <t>Trial 26</t>
  </si>
  <si>
    <t>Trial 27</t>
  </si>
  <si>
    <t>Trial 28</t>
  </si>
  <si>
    <t>Trial 29</t>
  </si>
  <si>
    <t>Trial 30</t>
  </si>
  <si>
    <t>Trial 31</t>
  </si>
  <si>
    <t>Trial 32</t>
  </si>
  <si>
    <t>Trial 33</t>
  </si>
  <si>
    <t>Trial 34</t>
  </si>
  <si>
    <t>Trial 35</t>
  </si>
  <si>
    <t>Trial 36</t>
  </si>
  <si>
    <t>Trial 37</t>
  </si>
  <si>
    <t>Trial 38</t>
  </si>
  <si>
    <t>Trial 39</t>
  </si>
  <si>
    <t>Trial 40</t>
  </si>
  <si>
    <t>CFNH</t>
  </si>
  <si>
    <t>Trial 41</t>
  </si>
  <si>
    <t>Trial 42</t>
  </si>
  <si>
    <t>Trial 43</t>
  </si>
  <si>
    <t>Trial 44</t>
  </si>
  <si>
    <t>Trial 45</t>
  </si>
  <si>
    <t>Trial 46</t>
  </si>
  <si>
    <t>Trial 47</t>
  </si>
  <si>
    <t>Trial 48</t>
  </si>
  <si>
    <t>Trial 49</t>
  </si>
  <si>
    <t>Trial 50</t>
  </si>
  <si>
    <t>Trial 51</t>
  </si>
  <si>
    <t>Trial 52</t>
  </si>
  <si>
    <t>Trial 53</t>
  </si>
  <si>
    <t>Trial 54</t>
  </si>
  <si>
    <t>Trial 55</t>
  </si>
  <si>
    <t>Trial 56</t>
  </si>
  <si>
    <t>Trial 57</t>
  </si>
  <si>
    <t>Trial 58</t>
  </si>
  <si>
    <t>Trial 59</t>
  </si>
  <si>
    <t>Trial 60</t>
  </si>
  <si>
    <t>UBC</t>
  </si>
  <si>
    <t>LF CHN</t>
  </si>
  <si>
    <t>Trial 61</t>
  </si>
  <si>
    <t>Upper Battle Creek winter-run Chinook Salmon 2025-2026</t>
  </si>
  <si>
    <t>Upper Battle Creek winter-run Chinook Salmon</t>
  </si>
  <si>
    <t>WCS</t>
  </si>
  <si>
    <t>CHFH</t>
  </si>
  <si>
    <t>Upper Battle Creek Rainbow Trout/steelhead 2025-2026</t>
  </si>
  <si>
    <t>Upper Battle Creek Rainbow Trout/steelhead</t>
  </si>
  <si>
    <t>Number live caught day1</t>
  </si>
  <si>
    <t>Number mortalities caught day1</t>
  </si>
  <si>
    <t>Percent caught day1</t>
  </si>
  <si>
    <t>Number live caught day2</t>
  </si>
  <si>
    <t>Number mortalities caught day2</t>
  </si>
  <si>
    <t>Percent caught day2</t>
  </si>
  <si>
    <t>Number live caught day3</t>
  </si>
  <si>
    <t>Number mortalities caught day3</t>
  </si>
  <si>
    <t>Percent caught day3</t>
  </si>
  <si>
    <t>Number live caught day4</t>
  </si>
  <si>
    <t>Number mortalities caught day4</t>
  </si>
  <si>
    <t>Percent caught day4</t>
  </si>
  <si>
    <t>Date</t>
  </si>
  <si>
    <t>Season average</t>
  </si>
  <si>
    <t>Mean daily flow</t>
  </si>
  <si>
    <t>Trial efficiency</t>
  </si>
  <si>
    <t>Mortality</t>
  </si>
  <si>
    <t>Number recaptured</t>
  </si>
  <si>
    <t>Run-Origin</t>
  </si>
  <si>
    <t>Total</t>
  </si>
  <si>
    <t>Dates</t>
  </si>
  <si>
    <t>Week</t>
  </si>
  <si>
    <t>Released</t>
  </si>
  <si>
    <t>Recaptured</t>
  </si>
  <si>
    <t>Juvenile passage index</t>
  </si>
  <si>
    <t>01-Jan-18 to 30-Jun-18</t>
  </si>
  <si>
    <t>1-26</t>
  </si>
  <si>
    <t>RBT, LFCS</t>
  </si>
  <si>
    <t>UCC spring-run Chinook Salmon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</si>
</sst>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0"/>
    <numFmt numFmtId="165" formatCode="0.000"/>
    <numFmt numFmtId="166" formatCode="[$-409]d\-mmm\-yy;@"/>
    <numFmt numFmtId="167" formatCode="0.0%"/>
    <numFmt numFmtId="168" formatCode="mm/dd/yy;@"/>
    <numFmt numFmtId="169" formatCode="0.0"/>
    <numFmt numFmtId="170" formatCode="#,##0.0000"/>
  </numFmts>
  <fonts count="53" x14ac:knownFonts="1">
    <font>
      <sz val="10"/>
      <name val="Arial"/>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0"/>
      <name val="Arial"/>
      <family val="2"/>
    </font>
    <font>
      <b/>
      <sz val="12"/>
      <name val="Arial"/>
      <family val="2"/>
    </font>
    <font>
      <sz val="12"/>
      <name val="Arial"/>
      <family val="2"/>
    </font>
    <font>
      <b/>
      <sz val="10"/>
      <name val="Arial"/>
      <family val="2"/>
    </font>
    <font>
      <b/>
      <sz val="10"/>
      <color indexed="17"/>
      <name val="Arial"/>
      <family val="2"/>
    </font>
    <font>
      <b/>
      <sz val="10"/>
      <color indexed="10"/>
      <name val="Arial"/>
      <family val="2"/>
    </font>
    <font>
      <sz val="10"/>
      <name val="Arial"/>
      <family val="2"/>
    </font>
    <font>
      <b/>
      <sz val="10"/>
      <color indexed="20"/>
      <name val="Arial"/>
      <family val="2"/>
    </font>
    <font>
      <b/>
      <sz val="10"/>
      <color indexed="53"/>
      <name val="Arial"/>
      <family val="2"/>
    </font>
    <font>
      <b/>
      <sz val="10"/>
      <color indexed="9"/>
      <name val="Arial"/>
      <family val="2"/>
    </font>
    <font>
      <sz val="12"/>
      <name val="Times New Roman"/>
      <family val="1"/>
    </font>
    <font>
      <b/>
      <sz val="10"/>
      <color rgb="FFFF0000"/>
      <name val="Arial"/>
      <family val="2"/>
    </font>
    <font>
      <sz val="10"/>
      <name val="Arial"/>
      <family val="2"/>
    </font>
    <font>
      <u/>
      <sz val="10"/>
      <color theme="10"/>
      <name val="Arial"/>
      <family val="2"/>
    </font>
    <font>
      <sz val="10"/>
      <color theme="6" tint="-0.249977111117893"/>
      <name val="Arial"/>
      <family val="2"/>
    </font>
    <font>
      <b/>
      <sz val="10"/>
      <color theme="6" tint="-0.249977111117893"/>
      <name val="Arial"/>
      <family val="2"/>
    </font>
    <font>
      <b/>
      <sz val="10"/>
      <color theme="8" tint="-0.499984740745262"/>
      <name val="Arial"/>
      <family val="2"/>
    </font>
    <font>
      <sz val="14"/>
      <name val="Arial"/>
      <family val="2"/>
    </font>
    <font>
      <sz val="16"/>
      <name val="Arial"/>
      <family val="2"/>
    </font>
    <font>
      <b/>
      <sz val="16"/>
      <color theme="8" tint="-0.499984740745262"/>
      <name val="Arial"/>
      <family val="2"/>
    </font>
    <font>
      <b/>
      <sz val="16"/>
      <color indexed="20"/>
      <name val="Arial"/>
      <family val="2"/>
    </font>
    <font>
      <b/>
      <sz val="14"/>
      <color theme="8" tint="-0.499984740745262"/>
      <name val="Arial"/>
      <family val="2"/>
    </font>
    <font>
      <sz val="10"/>
      <color rgb="FFFF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u/>
      <sz val="10"/>
      <color indexed="12"/>
      <name val="Arial"/>
      <family val="2"/>
    </font>
    <font>
      <b/>
      <sz val="12"/>
      <color rgb="FFFF0000"/>
      <name val="Times New Roman"/>
      <family val="1"/>
    </font>
    <font>
      <sz val="12"/>
      <color rgb="FF000000"/>
      <name val="Times New Roman"/>
      <family val="1"/>
    </font>
    <font>
      <b/>
      <sz val="10"/>
      <color theme="1"/>
      <name val="Arial"/>
      <family val="2"/>
    </font>
    <font>
      <i/>
      <sz val="10"/>
      <color theme="1"/>
      <name val="Arial"/>
      <family val="2"/>
    </font>
    <font>
      <sz val="16"/>
      <color rgb="FFFF0000"/>
      <name val="Arial"/>
      <family val="2"/>
    </font>
    <font>
      <b/>
      <sz val="16"/>
      <color rgb="FFFF0000"/>
      <name val="Arial"/>
      <family val="2"/>
    </font>
  </fonts>
  <fills count="45">
    <fill>
      <patternFill patternType="none"/>
    </fill>
    <fill>
      <patternFill patternType="gray125"/>
    </fill>
    <fill>
      <patternFill patternType="solid">
        <fgColor indexed="15"/>
        <bgColor indexed="64"/>
      </patternFill>
    </fill>
    <fill>
      <patternFill patternType="solid">
        <fgColor indexed="42"/>
        <bgColor indexed="64"/>
      </patternFill>
    </fill>
    <fill>
      <patternFill patternType="solid">
        <fgColor indexed="20"/>
        <bgColor indexed="64"/>
      </patternFill>
    </fill>
    <fill>
      <patternFill patternType="solid">
        <fgColor theme="3" tint="0.59999389629810485"/>
        <bgColor indexed="64"/>
      </patternFill>
    </fill>
    <fill>
      <patternFill patternType="solid">
        <fgColor theme="8" tint="-0.249977111117893"/>
        <bgColor indexed="64"/>
      </patternFill>
    </fill>
    <fill>
      <patternFill patternType="solid">
        <fgColor theme="6"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66"/>
        <bgColor indexed="64"/>
      </patternFill>
    </fill>
    <fill>
      <patternFill patternType="solid">
        <fgColor theme="0"/>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FFFF"/>
        <bgColor indexed="64"/>
      </patternFill>
    </fill>
    <fill>
      <patternFill patternType="solid">
        <fgColor theme="9" tint="0.59999389629810485"/>
        <bgColor indexed="64"/>
      </patternFill>
    </fill>
  </fills>
  <borders count="66">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style="medium">
        <color indexed="64"/>
      </top>
      <bottom/>
      <diagonal/>
    </border>
    <border>
      <left/>
      <right/>
      <top style="medium">
        <color auto="1"/>
      </top>
      <bottom style="thin">
        <color auto="1"/>
      </bottom>
      <diagonal/>
    </border>
    <border>
      <left/>
      <right/>
      <top style="thin">
        <color indexed="64"/>
      </top>
      <bottom/>
      <diagonal/>
    </border>
    <border>
      <left/>
      <right/>
      <top style="thin">
        <color indexed="64"/>
      </top>
      <bottom style="thin">
        <color indexed="64"/>
      </bottom>
      <diagonal/>
    </border>
    <border>
      <left/>
      <right/>
      <top/>
      <bottom style="thin">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rgb="FF000000"/>
      </left>
      <right style="medium">
        <color rgb="FF000000"/>
      </right>
      <top/>
      <bottom/>
      <diagonal/>
    </border>
    <border>
      <left/>
      <right/>
      <top/>
      <bottom style="medium">
        <color rgb="FF000000"/>
      </bottom>
      <diagonal/>
    </border>
    <border>
      <left style="medium">
        <color indexed="64"/>
      </left>
      <right style="medium">
        <color indexed="64"/>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medium">
        <color indexed="64"/>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style="medium">
        <color indexed="64"/>
      </right>
      <top/>
      <bottom/>
      <diagonal/>
    </border>
    <border>
      <left style="medium">
        <color indexed="64"/>
      </left>
      <right style="thin">
        <color rgb="FF000000"/>
      </right>
      <top/>
      <bottom/>
      <diagonal/>
    </border>
    <border>
      <left style="thin">
        <color rgb="FF000000"/>
      </left>
      <right style="medium">
        <color indexed="64"/>
      </right>
      <top/>
      <bottom style="thin">
        <color rgb="FF000000"/>
      </bottom>
      <diagonal/>
    </border>
    <border>
      <left style="medium">
        <color indexed="64"/>
      </left>
      <right style="medium">
        <color indexed="64"/>
      </right>
      <top/>
      <bottom style="thin">
        <color rgb="FF000000"/>
      </bottom>
      <diagonal/>
    </border>
    <border>
      <left style="medium">
        <color indexed="64"/>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bottom/>
      <diagonal/>
    </border>
    <border>
      <left style="medium">
        <color rgb="FF000000"/>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s>
  <cellStyleXfs count="195">
    <xf numFmtId="0" fontId="0" fillId="0" borderId="0"/>
    <xf numFmtId="0" fontId="12" fillId="0" borderId="0" applyProtection="0"/>
    <xf numFmtId="0" fontId="18" fillId="0" borderId="0" applyProtection="0"/>
    <xf numFmtId="43" fontId="6" fillId="0" borderId="0" applyFont="0" applyFill="0" applyBorder="0" applyAlignment="0" applyProtection="0"/>
    <xf numFmtId="43" fontId="6" fillId="0" borderId="0" applyFont="0" applyFill="0" applyBorder="0" applyAlignment="0" applyProtection="0"/>
    <xf numFmtId="0" fontId="6" fillId="0" borderId="0" applyProtection="0"/>
    <xf numFmtId="0" fontId="6" fillId="0" borderId="0"/>
    <xf numFmtId="0" fontId="6" fillId="0" borderId="0"/>
    <xf numFmtId="9" fontId="6" fillId="0" borderId="0" applyFont="0" applyFill="0" applyBorder="0" applyAlignment="0" applyProtection="0"/>
    <xf numFmtId="0" fontId="18" fillId="0" borderId="0" applyProtection="0"/>
    <xf numFmtId="0" fontId="19" fillId="0" borderId="0" applyNumberFormat="0" applyFill="0" applyBorder="0" applyAlignment="0" applyProtection="0"/>
    <xf numFmtId="0" fontId="6" fillId="0" borderId="0" applyProtection="0"/>
    <xf numFmtId="0" fontId="6" fillId="0" borderId="0" applyProtection="0"/>
    <xf numFmtId="0" fontId="6" fillId="0" borderId="0" applyProtection="0"/>
    <xf numFmtId="0" fontId="6" fillId="0" borderId="0" applyProtection="0"/>
    <xf numFmtId="0" fontId="6" fillId="0" borderId="0" applyProtection="0"/>
    <xf numFmtId="0" fontId="6" fillId="0" borderId="0" applyProtection="0"/>
    <xf numFmtId="0" fontId="29" fillId="0" borderId="0" applyNumberFormat="0" applyFill="0" applyBorder="0" applyAlignment="0" applyProtection="0"/>
    <xf numFmtId="0" fontId="30" fillId="0" borderId="13" applyNumberFormat="0" applyFill="0" applyAlignment="0" applyProtection="0"/>
    <xf numFmtId="0" fontId="31" fillId="0" borderId="14" applyNumberFormat="0" applyFill="0" applyAlignment="0" applyProtection="0"/>
    <xf numFmtId="0" fontId="32" fillId="0" borderId="15" applyNumberFormat="0" applyFill="0" applyAlignment="0" applyProtection="0"/>
    <xf numFmtId="0" fontId="32" fillId="0" borderId="0" applyNumberFormat="0" applyFill="0" applyBorder="0" applyAlignment="0" applyProtection="0"/>
    <xf numFmtId="0" fontId="33" fillId="8" borderId="0" applyNumberFormat="0" applyBorder="0" applyAlignment="0" applyProtection="0"/>
    <xf numFmtId="0" fontId="34" fillId="9" borderId="0" applyNumberFormat="0" applyBorder="0" applyAlignment="0" applyProtection="0"/>
    <xf numFmtId="0" fontId="35" fillId="10" borderId="0" applyNumberFormat="0" applyBorder="0" applyAlignment="0" applyProtection="0"/>
    <xf numFmtId="0" fontId="36" fillId="11" borderId="16" applyNumberFormat="0" applyAlignment="0" applyProtection="0"/>
    <xf numFmtId="0" fontId="37" fillId="12" borderId="17" applyNumberFormat="0" applyAlignment="0" applyProtection="0"/>
    <xf numFmtId="0" fontId="38" fillId="12" borderId="16" applyNumberFormat="0" applyAlignment="0" applyProtection="0"/>
    <xf numFmtId="0" fontId="39" fillId="0" borderId="18" applyNumberFormat="0" applyFill="0" applyAlignment="0" applyProtection="0"/>
    <xf numFmtId="0" fontId="40" fillId="13" borderId="19"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21" applyNumberFormat="0" applyFill="0" applyAlignment="0" applyProtection="0"/>
    <xf numFmtId="0" fontId="44"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44" fillId="18" borderId="0" applyNumberFormat="0" applyBorder="0" applyAlignment="0" applyProtection="0"/>
    <xf numFmtId="0" fontId="44"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44" fillId="22" borderId="0" applyNumberFormat="0" applyBorder="0" applyAlignment="0" applyProtection="0"/>
    <xf numFmtId="0" fontId="44"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44" fillId="26" borderId="0" applyNumberFormat="0" applyBorder="0" applyAlignment="0" applyProtection="0"/>
    <xf numFmtId="0" fontId="44"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44" fillId="30" borderId="0" applyNumberFormat="0" applyBorder="0" applyAlignment="0" applyProtection="0"/>
    <xf numFmtId="0" fontId="44"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44" fillId="38" borderId="0" applyNumberFormat="0" applyBorder="0" applyAlignment="0" applyProtection="0"/>
    <xf numFmtId="0" fontId="5" fillId="0" borderId="0"/>
    <xf numFmtId="0" fontId="45" fillId="0" borderId="0"/>
    <xf numFmtId="0" fontId="46" fillId="0" borderId="0" applyNumberFormat="0" applyFill="0" applyBorder="0" applyAlignment="0" applyProtection="0">
      <alignment vertical="top"/>
      <protection locked="0"/>
    </xf>
    <xf numFmtId="0" fontId="5" fillId="14" borderId="20" applyNumberFormat="0" applyFont="0" applyAlignment="0" applyProtection="0"/>
    <xf numFmtId="0" fontId="6" fillId="0" borderId="0"/>
    <xf numFmtId="0" fontId="5" fillId="0" borderId="0"/>
    <xf numFmtId="0" fontId="6" fillId="0" borderId="0"/>
    <xf numFmtId="0" fontId="6" fillId="0" borderId="0"/>
    <xf numFmtId="0" fontId="5" fillId="0" borderId="0"/>
    <xf numFmtId="0" fontId="6" fillId="0" borderId="0"/>
    <xf numFmtId="0" fontId="5" fillId="0" borderId="0"/>
    <xf numFmtId="0" fontId="5" fillId="14" borderId="20" applyNumberFormat="0" applyFont="0" applyAlignment="0" applyProtection="0"/>
    <xf numFmtId="0" fontId="5" fillId="16" borderId="0" applyNumberFormat="0" applyBorder="0" applyAlignment="0" applyProtection="0"/>
    <xf numFmtId="0" fontId="5" fillId="17"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5" fillId="0" borderId="0"/>
    <xf numFmtId="0" fontId="5" fillId="0" borderId="0"/>
    <xf numFmtId="0" fontId="4" fillId="0" borderId="0"/>
    <xf numFmtId="0" fontId="4" fillId="14" borderId="20"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0" fontId="6" fillId="0" borderId="0" applyProtection="0"/>
    <xf numFmtId="43" fontId="6" fillId="0" borderId="0" applyFont="0" applyFill="0" applyBorder="0" applyAlignment="0" applyProtection="0"/>
    <xf numFmtId="0" fontId="6" fillId="0" borderId="0" applyProtection="0"/>
    <xf numFmtId="0" fontId="6" fillId="0" borderId="0"/>
    <xf numFmtId="9" fontId="6" fillId="0" borderId="0" applyFont="0" applyFill="0" applyBorder="0" applyAlignment="0" applyProtection="0"/>
    <xf numFmtId="0" fontId="6" fillId="0" borderId="0"/>
    <xf numFmtId="0" fontId="4" fillId="0" borderId="0"/>
    <xf numFmtId="0" fontId="6" fillId="0" borderId="0" applyProtection="0"/>
    <xf numFmtId="43" fontId="6" fillId="0" borderId="0" applyFont="0" applyFill="0" applyBorder="0" applyAlignment="0" applyProtection="0"/>
    <xf numFmtId="0" fontId="6" fillId="0" borderId="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4" fillId="0" borderId="0"/>
    <xf numFmtId="9" fontId="4" fillId="0" borderId="0" applyFont="0" applyFill="0" applyBorder="0" applyAlignment="0" applyProtection="0"/>
    <xf numFmtId="0" fontId="4" fillId="0" borderId="0"/>
    <xf numFmtId="0" fontId="4" fillId="0" borderId="0"/>
    <xf numFmtId="0" fontId="6" fillId="0" borderId="0" applyProtection="0"/>
    <xf numFmtId="43" fontId="6" fillId="0" borderId="0" applyFont="0" applyFill="0" applyBorder="0" applyAlignment="0" applyProtection="0"/>
    <xf numFmtId="0" fontId="6" fillId="0" borderId="0" applyProtection="0"/>
    <xf numFmtId="0" fontId="6" fillId="0" borderId="0"/>
    <xf numFmtId="0" fontId="6" fillId="0" borderId="0"/>
    <xf numFmtId="9" fontId="6" fillId="0" borderId="0" applyFont="0" applyFill="0" applyBorder="0" applyAlignment="0" applyProtection="0"/>
    <xf numFmtId="0" fontId="6" fillId="0" borderId="0"/>
    <xf numFmtId="0" fontId="4" fillId="0" borderId="0"/>
    <xf numFmtId="0" fontId="6" fillId="0" borderId="0" applyProtection="0"/>
    <xf numFmtId="0" fontId="6" fillId="0" borderId="0" applyProtection="0"/>
    <xf numFmtId="0" fontId="6" fillId="0" borderId="0"/>
    <xf numFmtId="0" fontId="4" fillId="0" borderId="0"/>
    <xf numFmtId="9" fontId="4" fillId="0" borderId="0" applyFont="0" applyFill="0" applyBorder="0" applyAlignment="0" applyProtection="0"/>
    <xf numFmtId="0" fontId="4" fillId="0" borderId="0"/>
    <xf numFmtId="0" fontId="6" fillId="0" borderId="0" applyProtection="0"/>
    <xf numFmtId="0" fontId="6" fillId="0" borderId="0" applyProtection="0"/>
    <xf numFmtId="0" fontId="4" fillId="0" borderId="0"/>
    <xf numFmtId="0" fontId="4" fillId="0" borderId="0"/>
    <xf numFmtId="0" fontId="6" fillId="0" borderId="0" applyProtection="0"/>
    <xf numFmtId="0" fontId="6" fillId="0" borderId="0" applyProtection="0"/>
    <xf numFmtId="0" fontId="4" fillId="0" borderId="0"/>
    <xf numFmtId="0" fontId="45" fillId="0" borderId="0"/>
    <xf numFmtId="0" fontId="4" fillId="14" borderId="20" applyNumberFormat="0" applyFont="0" applyAlignment="0" applyProtection="0"/>
    <xf numFmtId="0" fontId="4" fillId="0" borderId="0"/>
    <xf numFmtId="0" fontId="6" fillId="0" borderId="0" applyProtection="0"/>
    <xf numFmtId="0" fontId="4" fillId="0" borderId="0"/>
    <xf numFmtId="0" fontId="4" fillId="0" borderId="0"/>
    <xf numFmtId="0" fontId="4" fillId="14" borderId="20"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6" fillId="0" borderId="0" applyProtection="0"/>
    <xf numFmtId="0" fontId="6" fillId="0" borderId="0" applyProtection="0"/>
    <xf numFmtId="0" fontId="45" fillId="0" borderId="0"/>
    <xf numFmtId="0" fontId="4" fillId="0" borderId="0"/>
    <xf numFmtId="0" fontId="6" fillId="0" borderId="0"/>
    <xf numFmtId="0" fontId="6" fillId="0" borderId="0"/>
    <xf numFmtId="0" fontId="6" fillId="0" borderId="0"/>
    <xf numFmtId="0" fontId="6" fillId="0" borderId="0" applyProtection="0"/>
    <xf numFmtId="0" fontId="6" fillId="0" borderId="0"/>
    <xf numFmtId="0" fontId="6" fillId="0" borderId="0"/>
    <xf numFmtId="0" fontId="6" fillId="0" borderId="0"/>
    <xf numFmtId="0" fontId="4" fillId="0" borderId="0"/>
    <xf numFmtId="0" fontId="6" fillId="0" borderId="0" applyProtection="0"/>
    <xf numFmtId="0" fontId="6" fillId="0" borderId="0" applyProtection="0"/>
    <xf numFmtId="0" fontId="4" fillId="0" borderId="0"/>
    <xf numFmtId="0" fontId="6" fillId="0" borderId="0" applyProtection="0"/>
    <xf numFmtId="0" fontId="6" fillId="0" borderId="0"/>
    <xf numFmtId="0" fontId="45" fillId="0" borderId="0"/>
    <xf numFmtId="0" fontId="6" fillId="0" borderId="0"/>
    <xf numFmtId="0" fontId="6" fillId="0" borderId="0" applyProtection="0"/>
    <xf numFmtId="0" fontId="6" fillId="0" borderId="0" applyProtection="0"/>
    <xf numFmtId="0" fontId="6" fillId="0" borderId="0" applyProtection="0"/>
    <xf numFmtId="0" fontId="6" fillId="0" borderId="0"/>
    <xf numFmtId="0" fontId="6" fillId="0" borderId="0" applyProtection="0"/>
    <xf numFmtId="0" fontId="6" fillId="0" borderId="0"/>
    <xf numFmtId="0" fontId="4" fillId="0" borderId="0"/>
    <xf numFmtId="0" fontId="4" fillId="0" borderId="0"/>
    <xf numFmtId="0" fontId="6" fillId="0" borderId="0"/>
    <xf numFmtId="0" fontId="6" fillId="0" borderId="0" applyProtection="0"/>
    <xf numFmtId="0" fontId="6" fillId="0" borderId="0" applyProtection="0"/>
    <xf numFmtId="0" fontId="4" fillId="0" borderId="0"/>
    <xf numFmtId="0" fontId="6" fillId="0" borderId="0"/>
    <xf numFmtId="0" fontId="6" fillId="0" borderId="0"/>
    <xf numFmtId="0" fontId="3" fillId="0" borderId="0"/>
    <xf numFmtId="0" fontId="2" fillId="0" borderId="0"/>
  </cellStyleXfs>
  <cellXfs count="438">
    <xf numFmtId="0" fontId="0" fillId="0" borderId="0" xfId="0"/>
    <xf numFmtId="164" fontId="6" fillId="0" borderId="0" xfId="5" applyNumberFormat="1" applyAlignment="1" applyProtection="1">
      <alignment horizontal="center"/>
    </xf>
    <xf numFmtId="0" fontId="15" fillId="6" borderId="0" xfId="5" applyFont="1" applyFill="1" applyAlignment="1" applyProtection="1">
      <alignment horizontal="center"/>
    </xf>
    <xf numFmtId="2" fontId="15" fillId="6" borderId="0" xfId="5" applyNumberFormat="1" applyFont="1" applyFill="1" applyAlignment="1" applyProtection="1">
      <alignment horizontal="center"/>
    </xf>
    <xf numFmtId="165" fontId="15" fillId="6" borderId="0" xfId="5" applyNumberFormat="1" applyFont="1" applyFill="1" applyAlignment="1" applyProtection="1">
      <alignment horizontal="center"/>
    </xf>
    <xf numFmtId="1" fontId="9" fillId="2" borderId="0" xfId="5" applyNumberFormat="1" applyFont="1" applyFill="1" applyAlignment="1" applyProtection="1">
      <alignment horizontal="center"/>
    </xf>
    <xf numFmtId="164" fontId="9" fillId="2" borderId="0" xfId="5" applyNumberFormat="1" applyFont="1" applyFill="1" applyAlignment="1" applyProtection="1">
      <alignment horizontal="center"/>
    </xf>
    <xf numFmtId="0" fontId="6" fillId="0" borderId="0" xfId="6"/>
    <xf numFmtId="0" fontId="14" fillId="0" borderId="0" xfId="6" applyFont="1" applyAlignment="1">
      <alignment horizontal="center" vertical="center" textRotation="90"/>
    </xf>
    <xf numFmtId="0" fontId="9" fillId="0" borderId="1" xfId="6" applyFont="1" applyBorder="1" applyAlignment="1">
      <alignment horizontal="center" vertical="center" textRotation="90"/>
    </xf>
    <xf numFmtId="3" fontId="6" fillId="0" borderId="0" xfId="6" applyNumberFormat="1" applyAlignment="1">
      <alignment horizontal="center"/>
    </xf>
    <xf numFmtId="164" fontId="6" fillId="0" borderId="0" xfId="6" applyNumberFormat="1" applyAlignment="1">
      <alignment horizontal="center"/>
    </xf>
    <xf numFmtId="164" fontId="26" fillId="7" borderId="0" xfId="6" applyNumberFormat="1" applyFont="1" applyFill="1" applyAlignment="1">
      <alignment horizontal="center"/>
    </xf>
    <xf numFmtId="165" fontId="24" fillId="7" borderId="0" xfId="6" applyNumberFormat="1" applyFont="1" applyFill="1"/>
    <xf numFmtId="165" fontId="6" fillId="7" borderId="0" xfId="6" applyNumberFormat="1" applyFill="1"/>
    <xf numFmtId="0" fontId="6" fillId="0" borderId="0" xfId="6" applyProtection="1">
      <protection locked="0"/>
    </xf>
    <xf numFmtId="1" fontId="6" fillId="0" borderId="0" xfId="6" applyNumberFormat="1" applyProtection="1">
      <protection locked="0"/>
    </xf>
    <xf numFmtId="2" fontId="6" fillId="0" borderId="0" xfId="6" applyNumberFormat="1" applyProtection="1">
      <protection locked="0"/>
    </xf>
    <xf numFmtId="165" fontId="6" fillId="0" borderId="0" xfId="6" applyNumberFormat="1" applyProtection="1">
      <protection locked="0"/>
    </xf>
    <xf numFmtId="3" fontId="6" fillId="0" borderId="0" xfId="6" applyNumberFormat="1" applyAlignment="1" applyProtection="1">
      <alignment horizontal="center"/>
      <protection locked="0"/>
    </xf>
    <xf numFmtId="0" fontId="6" fillId="0" borderId="0" xfId="6" applyAlignment="1" applyProtection="1">
      <alignment horizontal="center" vertical="center"/>
      <protection locked="0"/>
    </xf>
    <xf numFmtId="2" fontId="14" fillId="0" borderId="0" xfId="6" applyNumberFormat="1" applyFont="1" applyProtection="1">
      <protection locked="0"/>
    </xf>
    <xf numFmtId="1" fontId="17" fillId="0" borderId="0" xfId="6" applyNumberFormat="1" applyFont="1" applyAlignment="1" applyProtection="1">
      <alignment horizontal="center"/>
      <protection locked="0"/>
    </xf>
    <xf numFmtId="164" fontId="11" fillId="0" borderId="0" xfId="6" applyNumberFormat="1" applyFont="1" applyProtection="1">
      <protection locked="0"/>
    </xf>
    <xf numFmtId="0" fontId="6" fillId="0" borderId="0" xfId="6" applyAlignment="1" applyProtection="1">
      <alignment horizontal="center"/>
      <protection locked="0"/>
    </xf>
    <xf numFmtId="166" fontId="6" fillId="0" borderId="0" xfId="6" applyNumberFormat="1" applyAlignment="1" applyProtection="1">
      <alignment horizontal="center"/>
      <protection locked="0"/>
    </xf>
    <xf numFmtId="164" fontId="6" fillId="0" borderId="0" xfId="6" applyNumberFormat="1" applyAlignment="1" applyProtection="1">
      <alignment horizontal="center"/>
      <protection locked="0"/>
    </xf>
    <xf numFmtId="1" fontId="6" fillId="0" borderId="0" xfId="6" applyNumberFormat="1" applyAlignment="1" applyProtection="1">
      <alignment horizontal="center"/>
      <protection locked="0"/>
    </xf>
    <xf numFmtId="0" fontId="22" fillId="0" borderId="0" xfId="6" applyFont="1" applyAlignment="1" applyProtection="1">
      <alignment horizontal="center"/>
      <protection locked="0"/>
    </xf>
    <xf numFmtId="165" fontId="20" fillId="0" borderId="0" xfId="6" applyNumberFormat="1" applyFont="1" applyProtection="1">
      <protection locked="0"/>
    </xf>
    <xf numFmtId="0" fontId="6" fillId="0" borderId="0" xfId="5" applyAlignment="1" applyProtection="1">
      <alignment horizontal="center"/>
      <protection locked="0"/>
    </xf>
    <xf numFmtId="0" fontId="10" fillId="0" borderId="0" xfId="6" applyFont="1" applyAlignment="1" applyProtection="1">
      <alignment horizontal="right"/>
      <protection locked="0"/>
    </xf>
    <xf numFmtId="0" fontId="21" fillId="0" borderId="0" xfId="6" applyFont="1" applyAlignment="1" applyProtection="1">
      <alignment horizontal="right"/>
      <protection locked="0"/>
    </xf>
    <xf numFmtId="0" fontId="9" fillId="0" borderId="0" xfId="6" applyFont="1" applyProtection="1">
      <protection locked="0"/>
    </xf>
    <xf numFmtId="0" fontId="9" fillId="0" borderId="0" xfId="6" applyFont="1" applyAlignment="1" applyProtection="1">
      <alignment horizontal="center"/>
      <protection locked="0"/>
    </xf>
    <xf numFmtId="166" fontId="6" fillId="0" borderId="0" xfId="5" applyNumberFormat="1" applyAlignment="1" applyProtection="1">
      <alignment horizontal="center"/>
      <protection locked="0"/>
    </xf>
    <xf numFmtId="0" fontId="20" fillId="0" borderId="0" xfId="6" applyFont="1" applyProtection="1">
      <protection locked="0"/>
    </xf>
    <xf numFmtId="0" fontId="13" fillId="0" borderId="0" xfId="6" applyFont="1" applyProtection="1">
      <protection locked="0"/>
    </xf>
    <xf numFmtId="164" fontId="13" fillId="0" borderId="0" xfId="6" applyNumberFormat="1" applyFont="1" applyAlignment="1" applyProtection="1">
      <alignment horizontal="center"/>
      <protection locked="0"/>
    </xf>
    <xf numFmtId="0" fontId="23" fillId="0" borderId="0" xfId="6" applyFont="1" applyAlignment="1" applyProtection="1">
      <alignment horizontal="left"/>
      <protection locked="0"/>
    </xf>
    <xf numFmtId="0" fontId="23" fillId="0" borderId="0" xfId="6" applyFont="1" applyProtection="1">
      <protection locked="0"/>
    </xf>
    <xf numFmtId="0" fontId="23" fillId="0" borderId="0" xfId="6" applyFont="1" applyAlignment="1" applyProtection="1">
      <alignment horizontal="center"/>
      <protection locked="0"/>
    </xf>
    <xf numFmtId="0" fontId="27" fillId="0" borderId="0" xfId="6" applyFont="1" applyAlignment="1" applyProtection="1">
      <alignment horizontal="center"/>
      <protection locked="0"/>
    </xf>
    <xf numFmtId="165" fontId="11" fillId="0" borderId="0" xfId="6" applyNumberFormat="1" applyFont="1" applyProtection="1">
      <protection locked="0"/>
    </xf>
    <xf numFmtId="165" fontId="21" fillId="0" borderId="0" xfId="6" applyNumberFormat="1" applyFont="1" applyProtection="1">
      <protection locked="0"/>
    </xf>
    <xf numFmtId="165" fontId="6" fillId="0" borderId="0" xfId="6" applyNumberFormat="1" applyAlignment="1" applyProtection="1">
      <alignment horizontal="center"/>
      <protection locked="0"/>
    </xf>
    <xf numFmtId="0" fontId="22" fillId="0" borderId="0" xfId="6" applyFont="1" applyAlignment="1" applyProtection="1">
      <alignment horizontal="center" vertical="center"/>
      <protection locked="0"/>
    </xf>
    <xf numFmtId="167" fontId="6" fillId="0" borderId="0" xfId="6" applyNumberFormat="1" applyAlignment="1" applyProtection="1">
      <alignment horizontal="center" vertical="center"/>
      <protection locked="0"/>
    </xf>
    <xf numFmtId="0" fontId="8" fillId="0" borderId="8" xfId="6" applyFont="1" applyBorder="1" applyAlignment="1">
      <alignment horizontal="center" vertical="center"/>
    </xf>
    <xf numFmtId="0" fontId="7" fillId="0" borderId="12" xfId="6" applyFont="1" applyBorder="1" applyAlignment="1">
      <alignment horizontal="left" vertical="center"/>
    </xf>
    <xf numFmtId="168" fontId="6" fillId="0" borderId="0" xfId="0" applyNumberFormat="1" applyFont="1" applyAlignment="1">
      <alignment horizontal="center"/>
    </xf>
    <xf numFmtId="168" fontId="0" fillId="0" borderId="0" xfId="0" applyNumberFormat="1" applyAlignment="1">
      <alignment horizontal="center"/>
    </xf>
    <xf numFmtId="0" fontId="6" fillId="0" borderId="0" xfId="0" applyFont="1"/>
    <xf numFmtId="0" fontId="4" fillId="0" borderId="0" xfId="83"/>
    <xf numFmtId="168" fontId="4" fillId="0" borderId="0" xfId="83" applyNumberFormat="1" applyAlignment="1">
      <alignment horizontal="center"/>
    </xf>
    <xf numFmtId="0" fontId="4" fillId="0" borderId="0" xfId="83" applyAlignment="1">
      <alignment horizontal="center"/>
    </xf>
    <xf numFmtId="0" fontId="7" fillId="0" borderId="0" xfId="6" applyFont="1" applyAlignment="1">
      <alignment horizontal="left" vertical="center"/>
    </xf>
    <xf numFmtId="0" fontId="47" fillId="39" borderId="0" xfId="63" applyFont="1" applyFill="1" applyAlignment="1">
      <alignment horizontal="left"/>
    </xf>
    <xf numFmtId="0" fontId="16" fillId="39" borderId="0" xfId="63" applyFont="1" applyFill="1" applyAlignment="1">
      <alignment horizontal="center"/>
    </xf>
    <xf numFmtId="0" fontId="16" fillId="0" borderId="0" xfId="63" applyFont="1" applyAlignment="1">
      <alignment horizontal="center"/>
    </xf>
    <xf numFmtId="3" fontId="16" fillId="0" borderId="0" xfId="63" applyNumberFormat="1" applyFont="1" applyAlignment="1">
      <alignment horizontal="center"/>
    </xf>
    <xf numFmtId="164" fontId="16" fillId="0" borderId="0" xfId="63" applyNumberFormat="1" applyFont="1" applyAlignment="1">
      <alignment horizontal="center"/>
    </xf>
    <xf numFmtId="168" fontId="16" fillId="0" borderId="0" xfId="63" applyNumberFormat="1" applyFont="1" applyAlignment="1">
      <alignment horizontal="center"/>
    </xf>
    <xf numFmtId="0" fontId="16" fillId="0" borderId="0" xfId="63" applyFont="1" applyAlignment="1">
      <alignment horizontal="center" vertical="center"/>
    </xf>
    <xf numFmtId="0" fontId="16" fillId="0" borderId="8" xfId="63" applyFont="1" applyBorder="1" applyAlignment="1">
      <alignment horizontal="left"/>
    </xf>
    <xf numFmtId="0" fontId="16" fillId="0" borderId="8" xfId="63" applyFont="1" applyBorder="1" applyAlignment="1">
      <alignment horizontal="center"/>
    </xf>
    <xf numFmtId="3" fontId="16" fillId="0" borderId="8" xfId="63" applyNumberFormat="1" applyFont="1" applyBorder="1" applyAlignment="1">
      <alignment horizontal="center"/>
    </xf>
    <xf numFmtId="167" fontId="16" fillId="0" borderId="8" xfId="63" applyNumberFormat="1" applyFont="1" applyBorder="1" applyAlignment="1">
      <alignment horizontal="center"/>
    </xf>
    <xf numFmtId="0" fontId="16" fillId="0" borderId="0" xfId="63" applyFont="1" applyAlignment="1">
      <alignment horizontal="left" vertical="center"/>
    </xf>
    <xf numFmtId="0" fontId="16" fillId="0" borderId="0" xfId="63" applyFont="1" applyAlignment="1">
      <alignment horizontal="left"/>
    </xf>
    <xf numFmtId="14" fontId="16" fillId="0" borderId="0" xfId="63" applyNumberFormat="1" applyFont="1" applyAlignment="1">
      <alignment horizontal="center"/>
    </xf>
    <xf numFmtId="166" fontId="16" fillId="0" borderId="0" xfId="63" applyNumberFormat="1" applyFont="1" applyAlignment="1">
      <alignment horizontal="center"/>
    </xf>
    <xf numFmtId="0" fontId="19" fillId="0" borderId="24" xfId="10" applyFill="1" applyBorder="1"/>
    <xf numFmtId="0" fontId="19" fillId="0" borderId="0" xfId="10" applyFill="1" applyBorder="1" applyAlignment="1">
      <alignment horizontal="left" indent="1"/>
    </xf>
    <xf numFmtId="0" fontId="19" fillId="0" borderId="0" xfId="10" applyFill="1" applyBorder="1" applyAlignment="1">
      <alignment horizontal="left" indent="2"/>
    </xf>
    <xf numFmtId="0" fontId="19" fillId="0" borderId="0" xfId="10" applyFill="1" applyBorder="1" applyAlignment="1">
      <alignment horizontal="left"/>
    </xf>
    <xf numFmtId="0" fontId="19" fillId="0" borderId="8" xfId="10" applyFill="1" applyBorder="1" applyAlignment="1">
      <alignment horizontal="left"/>
    </xf>
    <xf numFmtId="0" fontId="19" fillId="0" borderId="0" xfId="10" applyFill="1" applyBorder="1"/>
    <xf numFmtId="0" fontId="50" fillId="41" borderId="0" xfId="63" applyFont="1" applyFill="1" applyAlignment="1">
      <alignment vertical="center"/>
    </xf>
    <xf numFmtId="0" fontId="19" fillId="0" borderId="0" xfId="10" applyFill="1" applyBorder="1" applyAlignment="1">
      <alignment vertical="center"/>
    </xf>
    <xf numFmtId="14" fontId="16" fillId="41" borderId="9" xfId="63" applyNumberFormat="1" applyFont="1" applyFill="1" applyBorder="1" applyAlignment="1">
      <alignment horizontal="center"/>
    </xf>
    <xf numFmtId="49" fontId="16" fillId="41" borderId="9" xfId="63" applyNumberFormat="1" applyFont="1" applyFill="1" applyBorder="1" applyAlignment="1">
      <alignment horizontal="center"/>
    </xf>
    <xf numFmtId="0" fontId="16" fillId="41" borderId="9" xfId="63" applyFont="1" applyFill="1" applyBorder="1" applyAlignment="1">
      <alignment horizontal="center"/>
    </xf>
    <xf numFmtId="10" fontId="16" fillId="41" borderId="9" xfId="63" applyNumberFormat="1" applyFont="1" applyFill="1" applyBorder="1" applyAlignment="1">
      <alignment horizontal="center"/>
    </xf>
    <xf numFmtId="0" fontId="16" fillId="0" borderId="0" xfId="0" applyFont="1" applyAlignment="1">
      <alignment horizontal="center"/>
    </xf>
    <xf numFmtId="3" fontId="16" fillId="42" borderId="0" xfId="63" applyNumberFormat="1" applyFont="1" applyFill="1" applyAlignment="1">
      <alignment horizontal="center"/>
    </xf>
    <xf numFmtId="0" fontId="6" fillId="0" borderId="0" xfId="5" applyProtection="1"/>
    <xf numFmtId="0" fontId="16" fillId="42" borderId="0" xfId="63" applyFont="1" applyFill="1" applyAlignment="1">
      <alignment horizontal="center"/>
    </xf>
    <xf numFmtId="166" fontId="16" fillId="42" borderId="0" xfId="63" applyNumberFormat="1" applyFont="1" applyFill="1" applyAlignment="1">
      <alignment horizontal="center" vertical="center"/>
    </xf>
    <xf numFmtId="167" fontId="16" fillId="42" borderId="0" xfId="63" applyNumberFormat="1" applyFont="1" applyFill="1" applyAlignment="1">
      <alignment horizontal="center"/>
    </xf>
    <xf numFmtId="10" fontId="16" fillId="42" borderId="0" xfId="63" applyNumberFormat="1" applyFont="1" applyFill="1" applyAlignment="1">
      <alignment horizontal="center" vertical="center"/>
    </xf>
    <xf numFmtId="164" fontId="16" fillId="42" borderId="0" xfId="63" applyNumberFormat="1" applyFont="1" applyFill="1" applyAlignment="1">
      <alignment horizontal="center"/>
    </xf>
    <xf numFmtId="168" fontId="16" fillId="42" borderId="0" xfId="63" applyNumberFormat="1" applyFont="1" applyFill="1" applyAlignment="1">
      <alignment horizontal="center"/>
    </xf>
    <xf numFmtId="3" fontId="16" fillId="42" borderId="0" xfId="63" applyNumberFormat="1" applyFont="1" applyFill="1" applyAlignment="1">
      <alignment horizontal="center" vertical="center"/>
    </xf>
    <xf numFmtId="167" fontId="16" fillId="42" borderId="0" xfId="63" applyNumberFormat="1" applyFont="1" applyFill="1" applyAlignment="1">
      <alignment horizontal="center" vertical="center"/>
    </xf>
    <xf numFmtId="166" fontId="16" fillId="42" borderId="0" xfId="63" applyNumberFormat="1" applyFont="1" applyFill="1" applyAlignment="1">
      <alignment horizontal="center"/>
    </xf>
    <xf numFmtId="164" fontId="9" fillId="0" borderId="1" xfId="6" applyNumberFormat="1" applyFont="1" applyBorder="1" applyAlignment="1">
      <alignment horizontal="center" vertical="center" textRotation="90"/>
    </xf>
    <xf numFmtId="0" fontId="9" fillId="0" borderId="36" xfId="6" applyFont="1" applyBorder="1" applyAlignment="1">
      <alignment horizontal="center" vertical="center" textRotation="90"/>
    </xf>
    <xf numFmtId="0" fontId="6" fillId="0" borderId="0" xfId="6" applyAlignment="1">
      <alignment horizontal="center"/>
    </xf>
    <xf numFmtId="3" fontId="49" fillId="0" borderId="0" xfId="6" applyNumberFormat="1" applyFont="1" applyAlignment="1">
      <alignment horizontal="center"/>
    </xf>
    <xf numFmtId="164" fontId="49" fillId="0" borderId="0" xfId="6" applyNumberFormat="1" applyFont="1" applyAlignment="1">
      <alignment horizontal="center"/>
    </xf>
    <xf numFmtId="165" fontId="49" fillId="0" borderId="0" xfId="6" applyNumberFormat="1" applyFont="1" applyAlignment="1">
      <alignment horizontal="center"/>
    </xf>
    <xf numFmtId="168" fontId="6" fillId="0" borderId="0" xfId="6" applyNumberFormat="1" applyAlignment="1">
      <alignment horizontal="center"/>
    </xf>
    <xf numFmtId="168" fontId="9" fillId="0" borderId="2" xfId="6" applyNumberFormat="1" applyFont="1" applyBorder="1" applyAlignment="1">
      <alignment horizontal="center" vertical="center" textRotation="90"/>
    </xf>
    <xf numFmtId="168" fontId="9" fillId="0" borderId="1" xfId="6" applyNumberFormat="1" applyFont="1" applyBorder="1" applyAlignment="1">
      <alignment horizontal="center" vertical="center" textRotation="90"/>
    </xf>
    <xf numFmtId="168" fontId="6" fillId="0" borderId="0" xfId="6" applyNumberFormat="1" applyAlignment="1" applyProtection="1">
      <alignment horizontal="center"/>
      <protection locked="0"/>
    </xf>
    <xf numFmtId="168" fontId="8" fillId="0" borderId="8" xfId="6" applyNumberFormat="1" applyFont="1" applyBorder="1" applyAlignment="1">
      <alignment horizontal="center" vertical="center"/>
    </xf>
    <xf numFmtId="168" fontId="24" fillId="7" borderId="0" xfId="6" applyNumberFormat="1" applyFont="1" applyFill="1" applyAlignment="1">
      <alignment horizontal="left"/>
    </xf>
    <xf numFmtId="168" fontId="23" fillId="0" borderId="0" xfId="6" applyNumberFormat="1" applyFont="1" applyAlignment="1" applyProtection="1">
      <alignment horizontal="left"/>
      <protection locked="0"/>
    </xf>
    <xf numFmtId="3" fontId="8" fillId="0" borderId="8" xfId="6" applyNumberFormat="1" applyFont="1" applyBorder="1" applyAlignment="1">
      <alignment horizontal="center" vertical="center"/>
    </xf>
    <xf numFmtId="3" fontId="9" fillId="0" borderId="2" xfId="6" applyNumberFormat="1" applyFont="1" applyBorder="1" applyAlignment="1">
      <alignment horizontal="center" vertical="center" textRotation="90"/>
    </xf>
    <xf numFmtId="3" fontId="9" fillId="0" borderId="1" xfId="6" applyNumberFormat="1" applyFont="1" applyBorder="1" applyAlignment="1">
      <alignment horizontal="center" vertical="center" textRotation="90"/>
    </xf>
    <xf numFmtId="3" fontId="9" fillId="0" borderId="2" xfId="6" applyNumberFormat="1" applyFont="1" applyBorder="1" applyAlignment="1">
      <alignment horizontal="center" vertical="center" textRotation="90" wrapText="1"/>
    </xf>
    <xf numFmtId="3" fontId="6" fillId="0" borderId="0" xfId="6" applyNumberFormat="1" applyProtection="1">
      <protection locked="0"/>
    </xf>
    <xf numFmtId="3" fontId="22" fillId="0" borderId="0" xfId="6" applyNumberFormat="1" applyFont="1" applyAlignment="1" applyProtection="1">
      <alignment horizontal="center"/>
      <protection locked="0"/>
    </xf>
    <xf numFmtId="3" fontId="6" fillId="0" borderId="0" xfId="5" applyNumberFormat="1" applyAlignment="1" applyProtection="1">
      <alignment horizontal="center"/>
      <protection locked="0"/>
    </xf>
    <xf numFmtId="3" fontId="15" fillId="6" borderId="0" xfId="5" applyNumberFormat="1" applyFont="1" applyFill="1" applyAlignment="1" applyProtection="1">
      <alignment horizontal="center"/>
    </xf>
    <xf numFmtId="3" fontId="9" fillId="0" borderId="0" xfId="6" applyNumberFormat="1" applyFont="1" applyProtection="1">
      <protection locked="0"/>
    </xf>
    <xf numFmtId="3" fontId="9" fillId="0" borderId="0" xfId="6" applyNumberFormat="1" applyFont="1" applyAlignment="1" applyProtection="1">
      <alignment horizontal="center"/>
      <protection locked="0"/>
    </xf>
    <xf numFmtId="3" fontId="9" fillId="2" borderId="0" xfId="5" applyNumberFormat="1" applyFont="1" applyFill="1" applyAlignment="1" applyProtection="1">
      <alignment horizontal="center"/>
    </xf>
    <xf numFmtId="3" fontId="6" fillId="0" borderId="0" xfId="5" applyNumberFormat="1" applyAlignment="1" applyProtection="1">
      <alignment horizontal="left"/>
    </xf>
    <xf numFmtId="3" fontId="13" fillId="0" borderId="0" xfId="6" applyNumberFormat="1" applyFont="1" applyProtection="1">
      <protection locked="0"/>
    </xf>
    <xf numFmtId="3" fontId="24" fillId="7" borderId="0" xfId="6" applyNumberFormat="1" applyFont="1" applyFill="1"/>
    <xf numFmtId="3" fontId="24" fillId="7" borderId="0" xfId="6" applyNumberFormat="1" applyFont="1" applyFill="1" applyAlignment="1">
      <alignment horizontal="center"/>
    </xf>
    <xf numFmtId="3" fontId="25" fillId="7" borderId="0" xfId="6" applyNumberFormat="1" applyFont="1" applyFill="1" applyAlignment="1">
      <alignment horizontal="center"/>
    </xf>
    <xf numFmtId="3" fontId="26" fillId="7" borderId="0" xfId="6" applyNumberFormat="1" applyFont="1" applyFill="1"/>
    <xf numFmtId="3" fontId="23" fillId="0" borderId="0" xfId="6" applyNumberFormat="1" applyFont="1" applyProtection="1">
      <protection locked="0"/>
    </xf>
    <xf numFmtId="3" fontId="23" fillId="0" borderId="0" xfId="6" applyNumberFormat="1" applyFont="1" applyAlignment="1" applyProtection="1">
      <alignment horizontal="center"/>
      <protection locked="0"/>
    </xf>
    <xf numFmtId="3" fontId="27" fillId="0" borderId="0" xfId="6" applyNumberFormat="1" applyFont="1" applyAlignment="1" applyProtection="1">
      <alignment horizontal="center"/>
      <protection locked="0"/>
    </xf>
    <xf numFmtId="3" fontId="6" fillId="0" borderId="0" xfId="6" applyNumberFormat="1" applyAlignment="1" applyProtection="1">
      <alignment horizontal="center" vertical="center"/>
      <protection locked="0"/>
    </xf>
    <xf numFmtId="3" fontId="22" fillId="0" borderId="0" xfId="6" applyNumberFormat="1" applyFont="1" applyAlignment="1" applyProtection="1">
      <alignment horizontal="center" vertical="center"/>
      <protection locked="0"/>
    </xf>
    <xf numFmtId="3" fontId="6" fillId="7" borderId="0" xfId="6" applyNumberFormat="1" applyFill="1" applyAlignment="1">
      <alignment horizontal="center"/>
    </xf>
    <xf numFmtId="3" fontId="20" fillId="0" borderId="0" xfId="6" applyNumberFormat="1" applyFont="1" applyProtection="1">
      <protection locked="0"/>
    </xf>
    <xf numFmtId="3" fontId="21" fillId="0" borderId="0" xfId="6" applyNumberFormat="1" applyFont="1" applyAlignment="1" applyProtection="1">
      <alignment horizontal="right"/>
      <protection locked="0"/>
    </xf>
    <xf numFmtId="3" fontId="21" fillId="0" borderId="0" xfId="6" applyNumberFormat="1" applyFont="1" applyProtection="1">
      <protection locked="0"/>
    </xf>
    <xf numFmtId="167" fontId="6" fillId="0" borderId="0" xfId="6" applyNumberFormat="1" applyAlignment="1">
      <alignment horizontal="center"/>
    </xf>
    <xf numFmtId="167" fontId="6" fillId="0" borderId="0" xfId="6" applyNumberFormat="1" applyAlignment="1" applyProtection="1">
      <alignment horizontal="center"/>
      <protection locked="0"/>
    </xf>
    <xf numFmtId="0" fontId="51" fillId="43" borderId="0" xfId="6" applyFont="1" applyFill="1" applyAlignment="1">
      <alignment horizontal="left"/>
    </xf>
    <xf numFmtId="0" fontId="51" fillId="43" borderId="0" xfId="6" applyFont="1" applyFill="1"/>
    <xf numFmtId="0" fontId="51" fillId="43" borderId="0" xfId="6" applyFont="1" applyFill="1" applyAlignment="1">
      <alignment horizontal="center"/>
    </xf>
    <xf numFmtId="0" fontId="52" fillId="43" borderId="0" xfId="6" applyFont="1" applyFill="1" applyAlignment="1">
      <alignment horizontal="center"/>
    </xf>
    <xf numFmtId="0" fontId="52" fillId="43" borderId="0" xfId="6" applyFont="1" applyFill="1"/>
    <xf numFmtId="164" fontId="52" fillId="43" borderId="0" xfId="6" applyNumberFormat="1" applyFont="1" applyFill="1" applyAlignment="1">
      <alignment horizontal="center"/>
    </xf>
    <xf numFmtId="165" fontId="51" fillId="43" borderId="0" xfId="6" applyNumberFormat="1" applyFont="1" applyFill="1"/>
    <xf numFmtId="165" fontId="28" fillId="43" borderId="0" xfId="6" applyNumberFormat="1" applyFont="1" applyFill="1"/>
    <xf numFmtId="0" fontId="28" fillId="43" borderId="0" xfId="6" applyFont="1" applyFill="1" applyAlignment="1">
      <alignment horizontal="center"/>
    </xf>
    <xf numFmtId="164" fontId="6" fillId="7" borderId="0" xfId="6" applyNumberFormat="1" applyFill="1" applyProtection="1">
      <protection locked="0"/>
    </xf>
    <xf numFmtId="164" fontId="6" fillId="43" borderId="0" xfId="6" applyNumberFormat="1" applyFill="1" applyProtection="1">
      <protection locked="0"/>
    </xf>
    <xf numFmtId="170" fontId="9" fillId="2" borderId="0" xfId="5" applyNumberFormat="1" applyFont="1" applyFill="1" applyAlignment="1" applyProtection="1">
      <alignment horizontal="center"/>
    </xf>
    <xf numFmtId="0" fontId="6" fillId="0" borderId="0" xfId="5" applyAlignment="1" applyProtection="1">
      <alignment horizontal="left"/>
    </xf>
    <xf numFmtId="3" fontId="9" fillId="0" borderId="1" xfId="6" applyNumberFormat="1" applyFont="1" applyBorder="1" applyAlignment="1">
      <alignment horizontal="center" vertical="center" textRotation="90" wrapText="1"/>
    </xf>
    <xf numFmtId="0" fontId="16" fillId="0" borderId="9" xfId="63" applyFont="1" applyBorder="1" applyAlignment="1">
      <alignment horizontal="center"/>
    </xf>
    <xf numFmtId="0" fontId="16" fillId="0" borderId="2" xfId="63" applyFont="1" applyBorder="1" applyAlignment="1">
      <alignment horizontal="center"/>
    </xf>
    <xf numFmtId="166" fontId="16" fillId="0" borderId="2" xfId="63" applyNumberFormat="1" applyFont="1" applyBorder="1" applyAlignment="1">
      <alignment horizontal="center"/>
    </xf>
    <xf numFmtId="0" fontId="48" fillId="0" borderId="2" xfId="63" applyFont="1" applyBorder="1" applyAlignment="1">
      <alignment horizontal="center" wrapText="1"/>
    </xf>
    <xf numFmtId="169" fontId="16" fillId="0" borderId="2" xfId="63" applyNumberFormat="1" applyFont="1" applyBorder="1" applyAlignment="1">
      <alignment horizontal="center"/>
    </xf>
    <xf numFmtId="49" fontId="16" fillId="0" borderId="2" xfId="63" applyNumberFormat="1" applyFont="1" applyBorder="1" applyAlignment="1">
      <alignment horizontal="center"/>
    </xf>
    <xf numFmtId="0" fontId="48" fillId="0" borderId="2" xfId="63" applyFont="1" applyBorder="1" applyAlignment="1">
      <alignment horizontal="left"/>
    </xf>
    <xf numFmtId="0" fontId="48" fillId="0" borderId="9" xfId="0" applyFont="1" applyBorder="1" applyAlignment="1">
      <alignment horizontal="left"/>
    </xf>
    <xf numFmtId="10" fontId="16" fillId="0" borderId="0" xfId="0" applyNumberFormat="1" applyFont="1" applyAlignment="1">
      <alignment horizontal="center"/>
    </xf>
    <xf numFmtId="0" fontId="16" fillId="0" borderId="8" xfId="0" applyFont="1" applyBorder="1" applyAlignment="1">
      <alignment horizontal="center"/>
    </xf>
    <xf numFmtId="10" fontId="16" fillId="0" borderId="8" xfId="0" applyNumberFormat="1" applyFont="1" applyBorder="1" applyAlignment="1">
      <alignment horizontal="center"/>
    </xf>
    <xf numFmtId="0" fontId="2" fillId="0" borderId="0" xfId="194"/>
    <xf numFmtId="0" fontId="49" fillId="40" borderId="10" xfId="194" applyFont="1" applyFill="1" applyBorder="1"/>
    <xf numFmtId="0" fontId="49" fillId="0" borderId="0" xfId="194" applyFont="1"/>
    <xf numFmtId="0" fontId="49" fillId="40" borderId="0" xfId="194" applyFont="1" applyFill="1"/>
    <xf numFmtId="0" fontId="2" fillId="0" borderId="23" xfId="194" applyBorder="1"/>
    <xf numFmtId="0" fontId="2" fillId="0" borderId="24" xfId="194" applyBorder="1"/>
    <xf numFmtId="0" fontId="28" fillId="0" borderId="8" xfId="194" applyFont="1" applyBorder="1"/>
    <xf numFmtId="0" fontId="2" fillId="0" borderId="8" xfId="194" applyBorder="1"/>
    <xf numFmtId="0" fontId="2" fillId="0" borderId="26" xfId="194" applyBorder="1"/>
    <xf numFmtId="0" fontId="2" fillId="0" borderId="23" xfId="194" applyBorder="1" applyAlignment="1">
      <alignment vertical="center"/>
    </xf>
    <xf numFmtId="0" fontId="50" fillId="41" borderId="24" xfId="194" applyFont="1" applyFill="1" applyBorder="1" applyAlignment="1">
      <alignment horizontal="center" vertical="center"/>
    </xf>
    <xf numFmtId="0" fontId="50" fillId="41" borderId="24" xfId="194" applyFont="1" applyFill="1" applyBorder="1" applyAlignment="1">
      <alignment vertical="center"/>
    </xf>
    <xf numFmtId="0" fontId="2" fillId="0" borderId="0" xfId="194" applyAlignment="1">
      <alignment vertical="center"/>
    </xf>
    <xf numFmtId="0" fontId="9" fillId="0" borderId="1" xfId="6" applyFont="1" applyBorder="1" applyAlignment="1">
      <alignment horizontal="center" vertical="center" textRotation="90" wrapText="1"/>
    </xf>
    <xf numFmtId="168" fontId="9" fillId="0" borderId="2" xfId="6" applyNumberFormat="1" applyFont="1" applyBorder="1" applyAlignment="1">
      <alignment horizontal="center" vertical="center" textRotation="90" wrapText="1"/>
    </xf>
    <xf numFmtId="168" fontId="9" fillId="0" borderId="1" xfId="6" applyNumberFormat="1" applyFont="1" applyBorder="1" applyAlignment="1">
      <alignment horizontal="center" vertical="center" textRotation="90" wrapText="1"/>
    </xf>
    <xf numFmtId="164" fontId="9" fillId="0" borderId="1" xfId="6" applyNumberFormat="1" applyFont="1" applyBorder="1" applyAlignment="1">
      <alignment horizontal="center" vertical="center" textRotation="90" wrapText="1"/>
    </xf>
    <xf numFmtId="3" fontId="9" fillId="0" borderId="36" xfId="6" applyNumberFormat="1" applyFont="1" applyBorder="1" applyAlignment="1">
      <alignment horizontal="center" vertical="center" textRotation="90" wrapText="1"/>
    </xf>
    <xf numFmtId="0" fontId="1" fillId="43" borderId="5" xfId="6" applyFont="1" applyFill="1" applyBorder="1" applyAlignment="1">
      <alignment horizontal="center"/>
    </xf>
    <xf numFmtId="168" fontId="1" fillId="7" borderId="5" xfId="6" applyNumberFormat="1" applyFont="1" applyFill="1" applyBorder="1" applyAlignment="1" applyProtection="1">
      <alignment horizontal="center"/>
      <protection locked="0"/>
    </xf>
    <xf numFmtId="3" fontId="1" fillId="7" borderId="5" xfId="6" applyNumberFormat="1" applyFont="1" applyFill="1" applyBorder="1" applyAlignment="1" applyProtection="1">
      <alignment horizontal="center"/>
      <protection locked="0"/>
    </xf>
    <xf numFmtId="3" fontId="1" fillId="43" borderId="5" xfId="6" applyNumberFormat="1" applyFont="1" applyFill="1" applyBorder="1" applyAlignment="1" applyProtection="1">
      <alignment horizontal="center" vertical="center"/>
      <protection locked="0"/>
    </xf>
    <xf numFmtId="3" fontId="1" fillId="43" borderId="4" xfId="6" applyNumberFormat="1" applyFont="1" applyFill="1" applyBorder="1" applyAlignment="1">
      <alignment horizontal="center"/>
    </xf>
    <xf numFmtId="165" fontId="1" fillId="43" borderId="5" xfId="6" applyNumberFormat="1" applyFont="1" applyFill="1" applyBorder="1" applyAlignment="1">
      <alignment horizontal="center"/>
    </xf>
    <xf numFmtId="3" fontId="1" fillId="43" borderId="5" xfId="6" applyNumberFormat="1" applyFont="1" applyFill="1" applyBorder="1" applyAlignment="1">
      <alignment horizontal="center"/>
    </xf>
    <xf numFmtId="164" fontId="1" fillId="43" borderId="5" xfId="6" applyNumberFormat="1" applyFont="1" applyFill="1" applyBorder="1" applyAlignment="1">
      <alignment horizontal="center"/>
    </xf>
    <xf numFmtId="2" fontId="1" fillId="7" borderId="5" xfId="6" applyNumberFormat="1" applyFont="1" applyFill="1" applyBorder="1" applyAlignment="1">
      <alignment horizontal="center"/>
    </xf>
    <xf numFmtId="0" fontId="1" fillId="43" borderId="4" xfId="6" applyFont="1" applyFill="1" applyBorder="1" applyAlignment="1">
      <alignment horizontal="center"/>
    </xf>
    <xf numFmtId="168" fontId="1" fillId="7" borderId="4" xfId="6" applyNumberFormat="1" applyFont="1" applyFill="1" applyBorder="1" applyAlignment="1" applyProtection="1">
      <alignment horizontal="center"/>
      <protection locked="0"/>
    </xf>
    <xf numFmtId="3" fontId="1" fillId="7" borderId="4" xfId="6" applyNumberFormat="1" applyFont="1" applyFill="1" applyBorder="1" applyAlignment="1" applyProtection="1">
      <alignment horizontal="center"/>
      <protection locked="0"/>
    </xf>
    <xf numFmtId="3" fontId="1" fillId="43" borderId="4" xfId="6" applyNumberFormat="1" applyFont="1" applyFill="1" applyBorder="1" applyAlignment="1" applyProtection="1">
      <alignment horizontal="center" vertical="center"/>
      <protection locked="0"/>
    </xf>
    <xf numFmtId="165" fontId="1" fillId="43" borderId="4" xfId="6" applyNumberFormat="1" applyFont="1" applyFill="1" applyBorder="1" applyAlignment="1">
      <alignment horizontal="center"/>
    </xf>
    <xf numFmtId="164" fontId="1" fillId="43" borderId="4" xfId="6" applyNumberFormat="1" applyFont="1" applyFill="1" applyBorder="1" applyAlignment="1">
      <alignment horizontal="center"/>
    </xf>
    <xf numFmtId="2" fontId="1" fillId="7" borderId="4" xfId="6" applyNumberFormat="1" applyFont="1" applyFill="1" applyBorder="1" applyAlignment="1">
      <alignment horizontal="center"/>
    </xf>
    <xf numFmtId="0" fontId="1" fillId="7" borderId="4" xfId="6" applyFont="1" applyFill="1" applyBorder="1" applyAlignment="1" applyProtection="1">
      <alignment horizontal="center"/>
      <protection locked="0"/>
    </xf>
    <xf numFmtId="3" fontId="1" fillId="43" borderId="4" xfId="6" applyNumberFormat="1" applyFont="1" applyFill="1" applyBorder="1" applyAlignment="1" applyProtection="1">
      <alignment horizontal="center"/>
      <protection locked="0"/>
    </xf>
    <xf numFmtId="0" fontId="1" fillId="43" borderId="7" xfId="6" applyFont="1" applyFill="1" applyBorder="1" applyAlignment="1">
      <alignment horizontal="center"/>
    </xf>
    <xf numFmtId="168" fontId="1" fillId="7" borderId="7" xfId="6" applyNumberFormat="1" applyFont="1" applyFill="1" applyBorder="1" applyAlignment="1" applyProtection="1">
      <alignment horizontal="center"/>
      <protection locked="0"/>
    </xf>
    <xf numFmtId="0" fontId="1" fillId="7" borderId="7" xfId="6" applyFont="1" applyFill="1" applyBorder="1" applyAlignment="1" applyProtection="1">
      <alignment horizontal="center"/>
      <protection locked="0"/>
    </xf>
    <xf numFmtId="3" fontId="1" fillId="43" borderId="7" xfId="6" applyNumberFormat="1" applyFont="1" applyFill="1" applyBorder="1" applyAlignment="1" applyProtection="1">
      <alignment horizontal="center"/>
      <protection locked="0"/>
    </xf>
    <xf numFmtId="3" fontId="1" fillId="43" borderId="7" xfId="6" applyNumberFormat="1" applyFont="1" applyFill="1" applyBorder="1" applyAlignment="1">
      <alignment horizontal="center"/>
    </xf>
    <xf numFmtId="165" fontId="1" fillId="43" borderId="7" xfId="6" applyNumberFormat="1" applyFont="1" applyFill="1" applyBorder="1" applyAlignment="1">
      <alignment horizontal="center"/>
    </xf>
    <xf numFmtId="164" fontId="1" fillId="43" borderId="7" xfId="6" applyNumberFormat="1" applyFont="1" applyFill="1" applyBorder="1" applyAlignment="1">
      <alignment horizontal="center"/>
    </xf>
    <xf numFmtId="2" fontId="1" fillId="7" borderId="7" xfId="6" applyNumberFormat="1" applyFont="1" applyFill="1" applyBorder="1" applyAlignment="1">
      <alignment horizontal="center"/>
    </xf>
    <xf numFmtId="0" fontId="8" fillId="0" borderId="0" xfId="6" applyFont="1" applyAlignment="1">
      <alignment horizontal="center" vertical="center"/>
    </xf>
    <xf numFmtId="0" fontId="9" fillId="0" borderId="0" xfId="6" applyFont="1" applyAlignment="1">
      <alignment horizontal="center" vertical="center" textRotation="90" wrapText="1"/>
    </xf>
    <xf numFmtId="0" fontId="8" fillId="43" borderId="8" xfId="6" applyFont="1" applyFill="1" applyBorder="1" applyAlignment="1">
      <alignment horizontal="center" vertical="center"/>
    </xf>
    <xf numFmtId="3" fontId="8" fillId="43" borderId="8" xfId="6" applyNumberFormat="1" applyFont="1" applyFill="1" applyBorder="1" applyAlignment="1">
      <alignment horizontal="center" vertical="center"/>
    </xf>
    <xf numFmtId="0" fontId="9" fillId="0" borderId="36" xfId="6" applyFont="1" applyBorder="1" applyAlignment="1">
      <alignment horizontal="center" vertical="center" textRotation="90" wrapText="1"/>
    </xf>
    <xf numFmtId="1" fontId="9" fillId="0" borderId="1" xfId="6" applyNumberFormat="1" applyFont="1" applyBorder="1" applyAlignment="1">
      <alignment horizontal="center" vertical="center" textRotation="90" wrapText="1"/>
    </xf>
    <xf numFmtId="0" fontId="9" fillId="0" borderId="0" xfId="6" applyFont="1"/>
    <xf numFmtId="2" fontId="6" fillId="0" borderId="0" xfId="6" applyNumberFormat="1"/>
    <xf numFmtId="165" fontId="6" fillId="0" borderId="0" xfId="6" applyNumberFormat="1"/>
    <xf numFmtId="1" fontId="6" fillId="0" borderId="0" xfId="6" applyNumberFormat="1" applyAlignment="1">
      <alignment horizontal="center"/>
    </xf>
    <xf numFmtId="165" fontId="6" fillId="5" borderId="3" xfId="6" applyNumberFormat="1" applyFill="1" applyBorder="1"/>
    <xf numFmtId="168" fontId="6" fillId="7" borderId="5" xfId="6" applyNumberFormat="1" applyFill="1" applyBorder="1" applyAlignment="1" applyProtection="1">
      <alignment horizontal="center"/>
      <protection locked="0"/>
    </xf>
    <xf numFmtId="3" fontId="6" fillId="7" borderId="5" xfId="6" applyNumberFormat="1" applyFill="1" applyBorder="1" applyAlignment="1" applyProtection="1">
      <alignment horizontal="center"/>
      <protection locked="0"/>
    </xf>
    <xf numFmtId="3" fontId="6" fillId="7" borderId="9" xfId="6" applyNumberFormat="1" applyFill="1" applyBorder="1" applyAlignment="1" applyProtection="1">
      <alignment horizontal="center"/>
      <protection locked="0"/>
    </xf>
    <xf numFmtId="167" fontId="6" fillId="5" borderId="5" xfId="6" applyNumberFormat="1" applyFill="1" applyBorder="1" applyAlignment="1">
      <alignment horizontal="center"/>
    </xf>
    <xf numFmtId="164" fontId="6" fillId="5" borderId="5" xfId="6" applyNumberFormat="1" applyFill="1" applyBorder="1" applyAlignment="1">
      <alignment horizontal="center"/>
    </xf>
    <xf numFmtId="3" fontId="6" fillId="5" borderId="5" xfId="6" applyNumberFormat="1" applyFill="1" applyBorder="1" applyAlignment="1">
      <alignment horizontal="center"/>
    </xf>
    <xf numFmtId="165" fontId="6" fillId="5" borderId="5" xfId="6" applyNumberFormat="1" applyFill="1" applyBorder="1" applyAlignment="1">
      <alignment horizontal="center"/>
    </xf>
    <xf numFmtId="165" fontId="6" fillId="44" borderId="6" xfId="6" applyNumberFormat="1" applyFill="1" applyBorder="1"/>
    <xf numFmtId="168" fontId="6" fillId="7" borderId="4" xfId="6" applyNumberFormat="1" applyFill="1" applyBorder="1" applyAlignment="1" applyProtection="1">
      <alignment horizontal="center"/>
      <protection locked="0"/>
    </xf>
    <xf numFmtId="3" fontId="6" fillId="7" borderId="4" xfId="6" applyNumberFormat="1" applyFill="1" applyBorder="1" applyAlignment="1" applyProtection="1">
      <alignment horizontal="center"/>
      <protection locked="0"/>
    </xf>
    <xf numFmtId="3" fontId="6" fillId="7" borderId="0" xfId="6" applyNumberFormat="1" applyFill="1" applyAlignment="1" applyProtection="1">
      <alignment horizontal="center"/>
      <protection locked="0"/>
    </xf>
    <xf numFmtId="167" fontId="6" fillId="44" borderId="10" xfId="6" applyNumberFormat="1" applyFill="1" applyBorder="1" applyAlignment="1">
      <alignment horizontal="center"/>
    </xf>
    <xf numFmtId="164" fontId="6" fillId="44" borderId="4" xfId="6" applyNumberFormat="1" applyFill="1" applyBorder="1" applyAlignment="1">
      <alignment horizontal="center"/>
    </xf>
    <xf numFmtId="3" fontId="6" fillId="44" borderId="4" xfId="6" applyNumberFormat="1" applyFill="1" applyBorder="1" applyAlignment="1">
      <alignment horizontal="center"/>
    </xf>
    <xf numFmtId="165" fontId="6" fillId="44" borderId="4" xfId="6" applyNumberFormat="1" applyFill="1" applyBorder="1" applyAlignment="1">
      <alignment horizontal="center"/>
    </xf>
    <xf numFmtId="165" fontId="6" fillId="3" borderId="12" xfId="6" applyNumberFormat="1" applyFill="1" applyBorder="1"/>
    <xf numFmtId="168" fontId="6" fillId="7" borderId="7" xfId="6" applyNumberFormat="1" applyFill="1" applyBorder="1" applyAlignment="1" applyProtection="1">
      <alignment horizontal="center"/>
      <protection locked="0"/>
    </xf>
    <xf numFmtId="3" fontId="6" fillId="7" borderId="7" xfId="6" applyNumberFormat="1" applyFill="1" applyBorder="1" applyAlignment="1" applyProtection="1">
      <alignment horizontal="center"/>
      <protection locked="0"/>
    </xf>
    <xf numFmtId="3" fontId="6" fillId="7" borderId="8" xfId="6" applyNumberFormat="1" applyFill="1" applyBorder="1" applyAlignment="1" applyProtection="1">
      <alignment horizontal="center"/>
      <protection locked="0"/>
    </xf>
    <xf numFmtId="167" fontId="6" fillId="3" borderId="7" xfId="6" applyNumberFormat="1" applyFill="1" applyBorder="1" applyAlignment="1">
      <alignment horizontal="center"/>
    </xf>
    <xf numFmtId="164" fontId="6" fillId="3" borderId="7" xfId="6" applyNumberFormat="1" applyFill="1" applyBorder="1" applyAlignment="1">
      <alignment horizontal="center"/>
    </xf>
    <xf numFmtId="3" fontId="6" fillId="3" borderId="7" xfId="6" applyNumberFormat="1" applyFill="1" applyBorder="1" applyAlignment="1">
      <alignment horizontal="center"/>
    </xf>
    <xf numFmtId="165" fontId="6" fillId="3" borderId="7" xfId="6" applyNumberFormat="1" applyFill="1" applyBorder="1" applyAlignment="1">
      <alignment horizontal="center"/>
    </xf>
    <xf numFmtId="3" fontId="15" fillId="4" borderId="0" xfId="6" applyNumberFormat="1" applyFont="1" applyFill="1" applyAlignment="1">
      <alignment horizontal="center"/>
    </xf>
    <xf numFmtId="164" fontId="15" fillId="0" borderId="0" xfId="6" applyNumberFormat="1" applyFont="1" applyAlignment="1">
      <alignment horizontal="center"/>
    </xf>
    <xf numFmtId="164" fontId="15" fillId="4" borderId="0" xfId="6" applyNumberFormat="1" applyFont="1" applyFill="1" applyAlignment="1">
      <alignment horizontal="center"/>
    </xf>
    <xf numFmtId="0" fontId="1" fillId="40" borderId="3" xfId="194" applyFont="1" applyFill="1" applyBorder="1"/>
    <xf numFmtId="0" fontId="1" fillId="40" borderId="9" xfId="194" applyFont="1" applyFill="1" applyBorder="1"/>
    <xf numFmtId="0" fontId="1" fillId="40" borderId="22" xfId="194" applyFont="1" applyFill="1" applyBorder="1"/>
    <xf numFmtId="0" fontId="1" fillId="0" borderId="0" xfId="194" applyFont="1"/>
    <xf numFmtId="0" fontId="1" fillId="40" borderId="6" xfId="194" applyFont="1" applyFill="1" applyBorder="1"/>
    <xf numFmtId="0" fontId="1" fillId="40" borderId="0" xfId="194" applyFont="1" applyFill="1"/>
    <xf numFmtId="0" fontId="1" fillId="40" borderId="10" xfId="194" applyFont="1" applyFill="1" applyBorder="1"/>
    <xf numFmtId="0" fontId="1" fillId="40" borderId="12" xfId="194" applyFont="1" applyFill="1" applyBorder="1"/>
    <xf numFmtId="0" fontId="1" fillId="40" borderId="8" xfId="194" applyFont="1" applyFill="1" applyBorder="1"/>
    <xf numFmtId="0" fontId="1" fillId="40" borderId="11" xfId="194" applyFont="1" applyFill="1" applyBorder="1"/>
    <xf numFmtId="0" fontId="1" fillId="0" borderId="24" xfId="194" applyFont="1" applyBorder="1"/>
    <xf numFmtId="0" fontId="1" fillId="0" borderId="8" xfId="194" applyFont="1" applyBorder="1"/>
    <xf numFmtId="0" fontId="1" fillId="0" borderId="23" xfId="194" applyFont="1" applyBorder="1" applyAlignment="1">
      <alignment horizontal="left" vertical="center"/>
    </xf>
    <xf numFmtId="0" fontId="1" fillId="0" borderId="25" xfId="194" applyFont="1" applyBorder="1" applyAlignment="1">
      <alignment horizontal="left" vertical="center"/>
    </xf>
    <xf numFmtId="0" fontId="1" fillId="0" borderId="24" xfId="194" applyFont="1" applyBorder="1" applyAlignment="1">
      <alignment vertical="top"/>
    </xf>
    <xf numFmtId="0" fontId="1" fillId="0" borderId="0" xfId="194" applyFont="1" applyAlignment="1">
      <alignment horizontal="left" vertical="center"/>
    </xf>
    <xf numFmtId="0" fontId="1" fillId="0" borderId="8" xfId="194" applyFont="1" applyBorder="1" applyAlignment="1">
      <alignment horizontal="left" vertical="center"/>
    </xf>
    <xf numFmtId="0" fontId="1" fillId="0" borderId="8" xfId="194" applyFont="1" applyBorder="1" applyAlignment="1">
      <alignment vertical="center"/>
    </xf>
    <xf numFmtId="0" fontId="1" fillId="0" borderId="0" xfId="194" applyFont="1" applyAlignment="1">
      <alignment horizontal="center" vertical="center" wrapText="1"/>
    </xf>
    <xf numFmtId="0" fontId="1" fillId="43" borderId="27" xfId="6" applyFont="1" applyFill="1" applyBorder="1" applyAlignment="1">
      <alignment horizontal="center"/>
    </xf>
    <xf numFmtId="168" fontId="1" fillId="7" borderId="28" xfId="6" applyNumberFormat="1" applyFont="1" applyFill="1" applyBorder="1" applyAlignment="1" applyProtection="1">
      <alignment horizontal="center"/>
      <protection locked="0"/>
    </xf>
    <xf numFmtId="3" fontId="1" fillId="7" borderId="28" xfId="6" applyNumberFormat="1" applyFont="1" applyFill="1" applyBorder="1" applyAlignment="1" applyProtection="1">
      <alignment horizontal="center"/>
      <protection locked="0"/>
    </xf>
    <xf numFmtId="0" fontId="1" fillId="7" borderId="28" xfId="6" applyFont="1" applyFill="1" applyBorder="1" applyAlignment="1" applyProtection="1">
      <alignment horizontal="center" vertical="center"/>
      <protection locked="0"/>
    </xf>
    <xf numFmtId="165" fontId="1" fillId="43" borderId="28" xfId="6" applyNumberFormat="1" applyFont="1" applyFill="1" applyBorder="1" applyAlignment="1">
      <alignment horizontal="center"/>
    </xf>
    <xf numFmtId="164" fontId="1" fillId="43" borderId="28" xfId="6" applyNumberFormat="1" applyFont="1" applyFill="1" applyBorder="1" applyAlignment="1">
      <alignment horizontal="center"/>
    </xf>
    <xf numFmtId="3" fontId="1" fillId="43" borderId="28" xfId="6" applyNumberFormat="1" applyFont="1" applyFill="1" applyBorder="1" applyAlignment="1">
      <alignment horizontal="center"/>
    </xf>
    <xf numFmtId="164" fontId="1" fillId="43" borderId="29" xfId="6" applyNumberFormat="1" applyFont="1" applyFill="1" applyBorder="1" applyAlignment="1">
      <alignment horizontal="center"/>
    </xf>
    <xf numFmtId="0" fontId="1" fillId="43" borderId="30" xfId="6" applyFont="1" applyFill="1" applyBorder="1" applyAlignment="1">
      <alignment horizontal="center"/>
    </xf>
    <xf numFmtId="168" fontId="1" fillId="7" borderId="31" xfId="6" applyNumberFormat="1" applyFont="1" applyFill="1" applyBorder="1" applyAlignment="1" applyProtection="1">
      <alignment horizontal="center"/>
      <protection locked="0"/>
    </xf>
    <xf numFmtId="3" fontId="1" fillId="7" borderId="31" xfId="6" applyNumberFormat="1" applyFont="1" applyFill="1" applyBorder="1" applyAlignment="1" applyProtection="1">
      <alignment horizontal="center"/>
      <protection locked="0"/>
    </xf>
    <xf numFmtId="0" fontId="1" fillId="7" borderId="31" xfId="6" applyFont="1" applyFill="1" applyBorder="1" applyAlignment="1" applyProtection="1">
      <alignment horizontal="center" vertical="center"/>
      <protection locked="0"/>
    </xf>
    <xf numFmtId="165" fontId="1" fillId="43" borderId="31" xfId="6" applyNumberFormat="1" applyFont="1" applyFill="1" applyBorder="1" applyAlignment="1">
      <alignment horizontal="center"/>
    </xf>
    <xf numFmtId="164" fontId="1" fillId="43" borderId="31" xfId="6" applyNumberFormat="1" applyFont="1" applyFill="1" applyBorder="1" applyAlignment="1">
      <alignment horizontal="center"/>
    </xf>
    <xf numFmtId="3" fontId="1" fillId="43" borderId="31" xfId="6" applyNumberFormat="1" applyFont="1" applyFill="1" applyBorder="1" applyAlignment="1">
      <alignment horizontal="center"/>
    </xf>
    <xf numFmtId="164" fontId="1" fillId="43" borderId="32" xfId="6" applyNumberFormat="1" applyFont="1" applyFill="1" applyBorder="1" applyAlignment="1">
      <alignment horizontal="center"/>
    </xf>
    <xf numFmtId="0" fontId="1" fillId="7" borderId="31" xfId="6" applyFont="1" applyFill="1" applyBorder="1" applyAlignment="1" applyProtection="1">
      <alignment horizontal="center"/>
      <protection locked="0"/>
    </xf>
    <xf numFmtId="0" fontId="1" fillId="43" borderId="33" xfId="6" applyFont="1" applyFill="1" applyBorder="1" applyAlignment="1">
      <alignment horizontal="center"/>
    </xf>
    <xf numFmtId="168" fontId="1" fillId="7" borderId="34" xfId="6" applyNumberFormat="1" applyFont="1" applyFill="1" applyBorder="1" applyAlignment="1" applyProtection="1">
      <alignment horizontal="center"/>
      <protection locked="0"/>
    </xf>
    <xf numFmtId="3" fontId="1" fillId="7" borderId="34" xfId="6" applyNumberFormat="1" applyFont="1" applyFill="1" applyBorder="1" applyAlignment="1" applyProtection="1">
      <alignment horizontal="center"/>
      <protection locked="0"/>
    </xf>
    <xf numFmtId="0" fontId="1" fillId="7" borderId="34" xfId="6" applyFont="1" applyFill="1" applyBorder="1" applyAlignment="1" applyProtection="1">
      <alignment horizontal="center"/>
      <protection locked="0"/>
    </xf>
    <xf numFmtId="165" fontId="1" fillId="43" borderId="34" xfId="6" applyNumberFormat="1" applyFont="1" applyFill="1" applyBorder="1" applyAlignment="1">
      <alignment horizontal="center"/>
    </xf>
    <xf numFmtId="164" fontId="1" fillId="43" borderId="34" xfId="6" applyNumberFormat="1" applyFont="1" applyFill="1" applyBorder="1" applyAlignment="1">
      <alignment horizontal="center"/>
    </xf>
    <xf numFmtId="3" fontId="1" fillId="43" borderId="34" xfId="6" applyNumberFormat="1" applyFont="1" applyFill="1" applyBorder="1" applyAlignment="1">
      <alignment horizontal="center"/>
    </xf>
    <xf numFmtId="164" fontId="1" fillId="43" borderId="35" xfId="6" applyNumberFormat="1" applyFont="1" applyFill="1" applyBorder="1" applyAlignment="1">
      <alignment horizontal="center"/>
    </xf>
    <xf numFmtId="0" fontId="1" fillId="0" borderId="0" xfId="6" applyFont="1" applyAlignment="1" applyProtection="1">
      <alignment horizontal="center"/>
      <protection locked="0"/>
    </xf>
    <xf numFmtId="168" fontId="1" fillId="0" borderId="0" xfId="6" applyNumberFormat="1" applyFont="1" applyAlignment="1" applyProtection="1">
      <alignment horizontal="center"/>
      <protection locked="0"/>
    </xf>
    <xf numFmtId="3" fontId="1" fillId="0" borderId="0" xfId="6" applyNumberFormat="1" applyFont="1" applyAlignment="1" applyProtection="1">
      <alignment horizontal="center"/>
      <protection locked="0"/>
    </xf>
    <xf numFmtId="165" fontId="1" fillId="43" borderId="6" xfId="6" applyNumberFormat="1" applyFont="1" applyFill="1" applyBorder="1" applyAlignment="1">
      <alignment horizontal="center"/>
    </xf>
    <xf numFmtId="164" fontId="1" fillId="43" borderId="10" xfId="6" applyNumberFormat="1" applyFont="1" applyFill="1" applyBorder="1" applyAlignment="1">
      <alignment horizontal="center"/>
    </xf>
    <xf numFmtId="3" fontId="1" fillId="43" borderId="37" xfId="6" applyNumberFormat="1" applyFont="1" applyFill="1" applyBorder="1" applyAlignment="1">
      <alignment horizontal="center"/>
    </xf>
    <xf numFmtId="168" fontId="1" fillId="7" borderId="39" xfId="6" applyNumberFormat="1" applyFont="1" applyFill="1" applyBorder="1" applyAlignment="1" applyProtection="1">
      <alignment horizontal="center"/>
      <protection locked="0"/>
    </xf>
    <xf numFmtId="0" fontId="1" fillId="7" borderId="39" xfId="6" applyFont="1" applyFill="1" applyBorder="1" applyAlignment="1" applyProtection="1">
      <alignment horizontal="center"/>
      <protection locked="0"/>
    </xf>
    <xf numFmtId="0" fontId="6" fillId="0" borderId="38" xfId="6" applyBorder="1" applyProtection="1">
      <protection locked="0"/>
    </xf>
    <xf numFmtId="164" fontId="11" fillId="0" borderId="38" xfId="6" applyNumberFormat="1" applyFont="1" applyBorder="1" applyProtection="1">
      <protection locked="0"/>
    </xf>
    <xf numFmtId="1" fontId="6" fillId="0" borderId="38" xfId="6" applyNumberFormat="1" applyBorder="1" applyProtection="1">
      <protection locked="0"/>
    </xf>
    <xf numFmtId="168" fontId="0" fillId="7" borderId="4" xfId="6" applyNumberFormat="1" applyFont="1" applyFill="1" applyBorder="1" applyAlignment="1" applyProtection="1">
      <alignment horizontal="center"/>
      <protection locked="0"/>
    </xf>
    <xf numFmtId="165" fontId="6" fillId="0" borderId="0" xfId="6" applyNumberFormat="1" applyAlignment="1">
      <alignment horizontal="center"/>
    </xf>
    <xf numFmtId="3" fontId="15" fillId="0" borderId="0" xfId="6" applyNumberFormat="1" applyFont="1" applyAlignment="1">
      <alignment horizontal="center"/>
    </xf>
    <xf numFmtId="164" fontId="1" fillId="43" borderId="6" xfId="6" applyNumberFormat="1" applyFont="1" applyFill="1" applyBorder="1" applyAlignment="1">
      <alignment horizontal="center"/>
    </xf>
    <xf numFmtId="2" fontId="1" fillId="7" borderId="10" xfId="6" applyNumberFormat="1" applyFont="1" applyFill="1" applyBorder="1" applyAlignment="1">
      <alignment horizontal="center"/>
    </xf>
    <xf numFmtId="2" fontId="1" fillId="7" borderId="40" xfId="6" applyNumberFormat="1" applyFont="1" applyFill="1" applyBorder="1" applyAlignment="1">
      <alignment horizontal="center"/>
    </xf>
    <xf numFmtId="2" fontId="1" fillId="7" borderId="37" xfId="6" applyNumberFormat="1" applyFont="1" applyFill="1" applyBorder="1" applyAlignment="1">
      <alignment horizontal="center"/>
    </xf>
    <xf numFmtId="2" fontId="1" fillId="7" borderId="41" xfId="6" applyNumberFormat="1" applyFont="1" applyFill="1" applyBorder="1" applyAlignment="1">
      <alignment horizontal="center"/>
    </xf>
    <xf numFmtId="164" fontId="1" fillId="43" borderId="3" xfId="6" applyNumberFormat="1" applyFont="1" applyFill="1" applyBorder="1" applyAlignment="1">
      <alignment horizontal="center"/>
    </xf>
    <xf numFmtId="164" fontId="1" fillId="43" borderId="12" xfId="6" applyNumberFormat="1" applyFont="1" applyFill="1" applyBorder="1" applyAlignment="1">
      <alignment horizontal="center"/>
    </xf>
    <xf numFmtId="2" fontId="1" fillId="7" borderId="22" xfId="6" applyNumberFormat="1" applyFont="1" applyFill="1" applyBorder="1" applyAlignment="1">
      <alignment horizontal="center"/>
    </xf>
    <xf numFmtId="2" fontId="1" fillId="7" borderId="11" xfId="6" applyNumberFormat="1" applyFont="1" applyFill="1" applyBorder="1" applyAlignment="1">
      <alignment horizontal="center"/>
    </xf>
    <xf numFmtId="0" fontId="9" fillId="0" borderId="5" xfId="6" applyFont="1" applyBorder="1" applyAlignment="1">
      <alignment horizontal="center" vertical="center" textRotation="90" wrapText="1"/>
    </xf>
    <xf numFmtId="0" fontId="1" fillId="0" borderId="0" xfId="6" applyFont="1" applyAlignment="1">
      <alignment horizontal="center"/>
    </xf>
    <xf numFmtId="3" fontId="1" fillId="43" borderId="22" xfId="6" applyNumberFormat="1" applyFont="1" applyFill="1" applyBorder="1" applyAlignment="1" applyProtection="1">
      <alignment horizontal="center" vertical="center"/>
      <protection locked="0"/>
    </xf>
    <xf numFmtId="3" fontId="1" fillId="43" borderId="10" xfId="6" applyNumberFormat="1" applyFont="1" applyFill="1" applyBorder="1" applyAlignment="1" applyProtection="1">
      <alignment horizontal="center" vertical="center"/>
      <protection locked="0"/>
    </xf>
    <xf numFmtId="3" fontId="1" fillId="43" borderId="10" xfId="6" applyNumberFormat="1" applyFont="1" applyFill="1" applyBorder="1" applyAlignment="1">
      <alignment horizontal="center"/>
    </xf>
    <xf numFmtId="3" fontId="1" fillId="43" borderId="10" xfId="6" applyNumberFormat="1" applyFont="1" applyFill="1" applyBorder="1" applyAlignment="1" applyProtection="1">
      <alignment horizontal="center"/>
      <protection locked="0"/>
    </xf>
    <xf numFmtId="3" fontId="1" fillId="43" borderId="11" xfId="6" applyNumberFormat="1" applyFont="1" applyFill="1" applyBorder="1" applyAlignment="1" applyProtection="1">
      <alignment horizontal="center"/>
      <protection locked="0"/>
    </xf>
    <xf numFmtId="168" fontId="9" fillId="0" borderId="9" xfId="6" applyNumberFormat="1" applyFont="1" applyBorder="1" applyAlignment="1">
      <alignment horizontal="center" vertical="center" textRotation="90" wrapText="1"/>
    </xf>
    <xf numFmtId="168" fontId="9" fillId="0" borderId="5" xfId="6" applyNumberFormat="1" applyFont="1" applyBorder="1" applyAlignment="1">
      <alignment horizontal="center" vertical="center" textRotation="90" wrapText="1"/>
    </xf>
    <xf numFmtId="3" fontId="9" fillId="0" borderId="9" xfId="6" applyNumberFormat="1" applyFont="1" applyBorder="1" applyAlignment="1">
      <alignment horizontal="center" vertical="center" textRotation="90" wrapText="1"/>
    </xf>
    <xf numFmtId="0" fontId="1" fillId="43" borderId="50" xfId="6" applyFont="1" applyFill="1" applyBorder="1" applyAlignment="1">
      <alignment horizontal="center"/>
    </xf>
    <xf numFmtId="0" fontId="1" fillId="43" borderId="51" xfId="6" applyFont="1" applyFill="1" applyBorder="1" applyAlignment="1">
      <alignment horizontal="center"/>
    </xf>
    <xf numFmtId="0" fontId="1" fillId="43" borderId="52" xfId="6" applyFont="1" applyFill="1" applyBorder="1" applyAlignment="1">
      <alignment horizontal="center"/>
    </xf>
    <xf numFmtId="3" fontId="1" fillId="7" borderId="53" xfId="6" applyNumberFormat="1" applyFont="1" applyFill="1" applyBorder="1" applyAlignment="1" applyProtection="1">
      <alignment horizontal="center"/>
      <protection locked="0"/>
    </xf>
    <xf numFmtId="3" fontId="1" fillId="7" borderId="54" xfId="6" applyNumberFormat="1" applyFont="1" applyFill="1" applyBorder="1" applyAlignment="1" applyProtection="1">
      <alignment horizontal="center"/>
      <protection locked="0"/>
    </xf>
    <xf numFmtId="0" fontId="1" fillId="7" borderId="54" xfId="6" applyFont="1" applyFill="1" applyBorder="1" applyAlignment="1" applyProtection="1">
      <alignment horizontal="center"/>
      <protection locked="0"/>
    </xf>
    <xf numFmtId="0" fontId="1" fillId="7" borderId="55" xfId="6" applyFont="1" applyFill="1" applyBorder="1" applyAlignment="1" applyProtection="1">
      <alignment horizontal="center"/>
      <protection locked="0"/>
    </xf>
    <xf numFmtId="168" fontId="1" fillId="7" borderId="56" xfId="6" applyNumberFormat="1" applyFont="1" applyFill="1" applyBorder="1" applyAlignment="1" applyProtection="1">
      <alignment horizontal="center"/>
      <protection locked="0"/>
    </xf>
    <xf numFmtId="168" fontId="1" fillId="7" borderId="57" xfId="6" applyNumberFormat="1" applyFont="1" applyFill="1" applyBorder="1" applyAlignment="1" applyProtection="1">
      <alignment horizontal="center"/>
      <protection locked="0"/>
    </xf>
    <xf numFmtId="168" fontId="1" fillId="7" borderId="58" xfId="6" applyNumberFormat="1" applyFont="1" applyFill="1" applyBorder="1" applyAlignment="1" applyProtection="1">
      <alignment horizontal="center"/>
      <protection locked="0"/>
    </xf>
    <xf numFmtId="168" fontId="1" fillId="7" borderId="50" xfId="6" applyNumberFormat="1" applyFont="1" applyFill="1" applyBorder="1" applyAlignment="1" applyProtection="1">
      <alignment horizontal="center"/>
      <protection locked="0"/>
    </xf>
    <xf numFmtId="168" fontId="1" fillId="7" borderId="51" xfId="6" applyNumberFormat="1" applyFont="1" applyFill="1" applyBorder="1" applyAlignment="1" applyProtection="1">
      <alignment horizontal="center"/>
      <protection locked="0"/>
    </xf>
    <xf numFmtId="168" fontId="1" fillId="7" borderId="52" xfId="6" applyNumberFormat="1" applyFont="1" applyFill="1" applyBorder="1" applyAlignment="1" applyProtection="1">
      <alignment horizontal="center"/>
      <protection locked="0"/>
    </xf>
    <xf numFmtId="3" fontId="1" fillId="43" borderId="42" xfId="6" applyNumberFormat="1" applyFont="1" applyFill="1" applyBorder="1" applyAlignment="1" applyProtection="1">
      <alignment horizontal="center" vertical="center"/>
      <protection locked="0"/>
    </xf>
    <xf numFmtId="3" fontId="1" fillId="43" borderId="43" xfId="6" applyNumberFormat="1" applyFont="1" applyFill="1" applyBorder="1" applyAlignment="1" applyProtection="1">
      <alignment horizontal="center" vertical="center"/>
      <protection locked="0"/>
    </xf>
    <xf numFmtId="3" fontId="1" fillId="43" borderId="44" xfId="6" applyNumberFormat="1" applyFont="1" applyFill="1" applyBorder="1" applyAlignment="1" applyProtection="1">
      <alignment horizontal="center" vertical="center"/>
      <protection locked="0"/>
    </xf>
    <xf numFmtId="3" fontId="1" fillId="43" borderId="45" xfId="6" applyNumberFormat="1" applyFont="1" applyFill="1" applyBorder="1" applyAlignment="1" applyProtection="1">
      <alignment horizontal="center" vertical="center"/>
      <protection locked="0"/>
    </xf>
    <xf numFmtId="3" fontId="1" fillId="43" borderId="46" xfId="6" applyNumberFormat="1" applyFont="1" applyFill="1" applyBorder="1" applyAlignment="1" applyProtection="1">
      <alignment horizontal="center" vertical="center"/>
      <protection locked="0"/>
    </xf>
    <xf numFmtId="3" fontId="1" fillId="43" borderId="45" xfId="6" applyNumberFormat="1" applyFont="1" applyFill="1" applyBorder="1" applyAlignment="1">
      <alignment horizontal="center"/>
    </xf>
    <xf numFmtId="3" fontId="1" fillId="43" borderId="46" xfId="6" applyNumberFormat="1" applyFont="1" applyFill="1" applyBorder="1" applyAlignment="1">
      <alignment horizontal="center"/>
    </xf>
    <xf numFmtId="3" fontId="1" fillId="43" borderId="45" xfId="6" applyNumberFormat="1" applyFont="1" applyFill="1" applyBorder="1" applyAlignment="1" applyProtection="1">
      <alignment horizontal="center"/>
      <protection locked="0"/>
    </xf>
    <xf numFmtId="3" fontId="1" fillId="43" borderId="46" xfId="6" applyNumberFormat="1" applyFont="1" applyFill="1" applyBorder="1" applyAlignment="1" applyProtection="1">
      <alignment horizontal="center"/>
      <protection locked="0"/>
    </xf>
    <xf numFmtId="3" fontId="1" fillId="43" borderId="47" xfId="6" applyNumberFormat="1" applyFont="1" applyFill="1" applyBorder="1" applyAlignment="1" applyProtection="1">
      <alignment horizontal="center"/>
      <protection locked="0"/>
    </xf>
    <xf numFmtId="3" fontId="1" fillId="43" borderId="48" xfId="6" applyNumberFormat="1" applyFont="1" applyFill="1" applyBorder="1" applyAlignment="1" applyProtection="1">
      <alignment horizontal="center"/>
      <protection locked="0"/>
    </xf>
    <xf numFmtId="3" fontId="1" fillId="43" borderId="49" xfId="6" applyNumberFormat="1" applyFont="1" applyFill="1" applyBorder="1" applyAlignment="1" applyProtection="1">
      <alignment horizontal="center"/>
      <protection locked="0"/>
    </xf>
    <xf numFmtId="3" fontId="1" fillId="43" borderId="9" xfId="6" applyNumberFormat="1" applyFont="1" applyFill="1" applyBorder="1" applyAlignment="1" applyProtection="1">
      <alignment horizontal="center" vertical="center"/>
      <protection locked="0"/>
    </xf>
    <xf numFmtId="3" fontId="1" fillId="43" borderId="0" xfId="6" applyNumberFormat="1" applyFont="1" applyFill="1" applyAlignment="1" applyProtection="1">
      <alignment horizontal="center" vertical="center"/>
      <protection locked="0"/>
    </xf>
    <xf numFmtId="3" fontId="1" fillId="43" borderId="0" xfId="6" applyNumberFormat="1" applyFont="1" applyFill="1" applyAlignment="1" applyProtection="1">
      <alignment horizontal="center"/>
      <protection locked="0"/>
    </xf>
    <xf numFmtId="3" fontId="1" fillId="43" borderId="8" xfId="6" applyNumberFormat="1" applyFont="1" applyFill="1" applyBorder="1" applyAlignment="1" applyProtection="1">
      <alignment horizontal="center"/>
      <protection locked="0"/>
    </xf>
    <xf numFmtId="3" fontId="9" fillId="0" borderId="5" xfId="6" applyNumberFormat="1" applyFont="1" applyBorder="1" applyAlignment="1">
      <alignment horizontal="center" vertical="center" textRotation="90" wrapText="1"/>
    </xf>
    <xf numFmtId="168" fontId="6" fillId="7" borderId="43" xfId="6" applyNumberFormat="1" applyFill="1" applyBorder="1" applyAlignment="1" applyProtection="1">
      <alignment horizontal="center"/>
      <protection locked="0"/>
    </xf>
    <xf numFmtId="3" fontId="6" fillId="7" borderId="43" xfId="6" applyNumberFormat="1" applyFill="1" applyBorder="1" applyAlignment="1" applyProtection="1">
      <alignment horizontal="center"/>
      <protection locked="0"/>
    </xf>
    <xf numFmtId="3" fontId="1" fillId="43" borderId="0" xfId="6" applyNumberFormat="1" applyFont="1" applyFill="1" applyAlignment="1">
      <alignment horizontal="center"/>
    </xf>
    <xf numFmtId="164" fontId="1" fillId="43" borderId="0" xfId="6" applyNumberFormat="1" applyFont="1" applyFill="1" applyAlignment="1">
      <alignment horizontal="center"/>
    </xf>
    <xf numFmtId="0" fontId="1" fillId="43" borderId="59" xfId="6" applyFont="1" applyFill="1" applyBorder="1" applyAlignment="1">
      <alignment horizontal="center"/>
    </xf>
    <xf numFmtId="0" fontId="1" fillId="43" borderId="60" xfId="6" applyFont="1" applyFill="1" applyBorder="1" applyAlignment="1">
      <alignment horizontal="center"/>
    </xf>
    <xf numFmtId="0" fontId="1" fillId="43" borderId="61" xfId="6" applyFont="1" applyFill="1" applyBorder="1" applyAlignment="1">
      <alignment horizontal="center"/>
    </xf>
    <xf numFmtId="168" fontId="1" fillId="7" borderId="60" xfId="6" applyNumberFormat="1" applyFont="1" applyFill="1" applyBorder="1" applyAlignment="1" applyProtection="1">
      <alignment horizontal="center"/>
      <protection locked="0"/>
    </xf>
    <xf numFmtId="168" fontId="1" fillId="7" borderId="59" xfId="6" applyNumberFormat="1" applyFont="1" applyFill="1" applyBorder="1" applyAlignment="1" applyProtection="1">
      <alignment horizontal="center"/>
      <protection locked="0"/>
    </xf>
    <xf numFmtId="168" fontId="1" fillId="7" borderId="61" xfId="6" applyNumberFormat="1" applyFont="1" applyFill="1" applyBorder="1" applyAlignment="1" applyProtection="1">
      <alignment horizontal="center"/>
      <protection locked="0"/>
    </xf>
    <xf numFmtId="3" fontId="1" fillId="7" borderId="60" xfId="6" applyNumberFormat="1" applyFont="1" applyFill="1" applyBorder="1" applyAlignment="1" applyProtection="1">
      <alignment horizontal="center"/>
      <protection locked="0"/>
    </xf>
    <xf numFmtId="3" fontId="1" fillId="7" borderId="59" xfId="6" applyNumberFormat="1" applyFont="1" applyFill="1" applyBorder="1" applyAlignment="1" applyProtection="1">
      <alignment horizontal="center"/>
      <protection locked="0"/>
    </xf>
    <xf numFmtId="0" fontId="1" fillId="7" borderId="59" xfId="6" applyFont="1" applyFill="1" applyBorder="1" applyAlignment="1" applyProtection="1">
      <alignment horizontal="center"/>
      <protection locked="0"/>
    </xf>
    <xf numFmtId="0" fontId="1" fillId="7" borderId="61" xfId="6" applyFont="1" applyFill="1" applyBorder="1" applyAlignment="1" applyProtection="1">
      <alignment horizontal="center"/>
      <protection locked="0"/>
    </xf>
    <xf numFmtId="3" fontId="1" fillId="43" borderId="60" xfId="6" applyNumberFormat="1" applyFont="1" applyFill="1" applyBorder="1" applyAlignment="1" applyProtection="1">
      <alignment horizontal="center" vertical="center"/>
      <protection locked="0"/>
    </xf>
    <xf numFmtId="3" fontId="1" fillId="43" borderId="59" xfId="6" applyNumberFormat="1" applyFont="1" applyFill="1" applyBorder="1" applyAlignment="1" applyProtection="1">
      <alignment horizontal="center" vertical="center"/>
      <protection locked="0"/>
    </xf>
    <xf numFmtId="3" fontId="1" fillId="43" borderId="59" xfId="6" applyNumberFormat="1" applyFont="1" applyFill="1" applyBorder="1" applyAlignment="1" applyProtection="1">
      <alignment horizontal="center"/>
      <protection locked="0"/>
    </xf>
    <xf numFmtId="3" fontId="1" fillId="43" borderId="59" xfId="6" applyNumberFormat="1" applyFont="1" applyFill="1" applyBorder="1" applyAlignment="1">
      <alignment horizontal="center"/>
    </xf>
    <xf numFmtId="3" fontId="1" fillId="43" borderId="40" xfId="6" applyNumberFormat="1" applyFont="1" applyFill="1" applyBorder="1" applyAlignment="1">
      <alignment horizontal="center"/>
    </xf>
    <xf numFmtId="165" fontId="1" fillId="43" borderId="60" xfId="6" applyNumberFormat="1" applyFont="1" applyFill="1" applyBorder="1" applyAlignment="1">
      <alignment horizontal="center"/>
    </xf>
    <xf numFmtId="165" fontId="1" fillId="43" borderId="59" xfId="6" applyNumberFormat="1" applyFont="1" applyFill="1" applyBorder="1" applyAlignment="1">
      <alignment horizontal="center"/>
    </xf>
    <xf numFmtId="165" fontId="1" fillId="43" borderId="61" xfId="6" applyNumberFormat="1" applyFont="1" applyFill="1" applyBorder="1" applyAlignment="1">
      <alignment horizontal="center"/>
    </xf>
    <xf numFmtId="3" fontId="1" fillId="43" borderId="60" xfId="6" applyNumberFormat="1" applyFont="1" applyFill="1" applyBorder="1" applyAlignment="1">
      <alignment horizontal="center"/>
    </xf>
    <xf numFmtId="3" fontId="9" fillId="0" borderId="3" xfId="6" applyNumberFormat="1" applyFont="1" applyBorder="1" applyAlignment="1">
      <alignment horizontal="center" vertical="center" textRotation="90" wrapText="1"/>
    </xf>
    <xf numFmtId="2" fontId="1" fillId="7" borderId="60" xfId="6" applyNumberFormat="1" applyFont="1" applyFill="1" applyBorder="1" applyAlignment="1">
      <alignment horizontal="center"/>
    </xf>
    <xf numFmtId="2" fontId="1" fillId="7" borderId="59" xfId="6" applyNumberFormat="1" applyFont="1" applyFill="1" applyBorder="1" applyAlignment="1">
      <alignment horizontal="center"/>
    </xf>
    <xf numFmtId="2" fontId="1" fillId="7" borderId="61" xfId="6" applyNumberFormat="1" applyFont="1" applyFill="1" applyBorder="1" applyAlignment="1">
      <alignment horizontal="center"/>
    </xf>
    <xf numFmtId="3" fontId="1" fillId="43" borderId="62" xfId="6" applyNumberFormat="1" applyFont="1" applyFill="1" applyBorder="1" applyAlignment="1">
      <alignment horizontal="center"/>
    </xf>
    <xf numFmtId="3" fontId="1" fillId="43" borderId="38" xfId="6" applyNumberFormat="1" applyFont="1" applyFill="1" applyBorder="1" applyAlignment="1">
      <alignment horizontal="center"/>
    </xf>
    <xf numFmtId="164" fontId="9" fillId="0" borderId="5" xfId="6" applyNumberFormat="1" applyFont="1" applyBorder="1" applyAlignment="1">
      <alignment horizontal="center" vertical="center" textRotation="90" wrapText="1"/>
    </xf>
    <xf numFmtId="164" fontId="1" fillId="43" borderId="62" xfId="6" applyNumberFormat="1" applyFont="1" applyFill="1" applyBorder="1" applyAlignment="1">
      <alignment horizontal="center"/>
    </xf>
    <xf numFmtId="164" fontId="1" fillId="43" borderId="38" xfId="6" applyNumberFormat="1" applyFont="1" applyFill="1" applyBorder="1" applyAlignment="1">
      <alignment horizontal="center"/>
    </xf>
    <xf numFmtId="3" fontId="1" fillId="43" borderId="61" xfId="6" applyNumberFormat="1" applyFont="1" applyFill="1" applyBorder="1" applyAlignment="1" applyProtection="1">
      <alignment horizontal="center" vertical="center"/>
      <protection locked="0"/>
    </xf>
    <xf numFmtId="3" fontId="1" fillId="43" borderId="41" xfId="6" applyNumberFormat="1" applyFont="1" applyFill="1" applyBorder="1" applyAlignment="1">
      <alignment horizontal="center"/>
    </xf>
    <xf numFmtId="3" fontId="1" fillId="43" borderId="61" xfId="6" applyNumberFormat="1" applyFont="1" applyFill="1" applyBorder="1" applyAlignment="1">
      <alignment horizontal="center"/>
    </xf>
    <xf numFmtId="3" fontId="1" fillId="43" borderId="40" xfId="6" applyNumberFormat="1" applyFont="1" applyFill="1" applyBorder="1" applyAlignment="1" applyProtection="1">
      <alignment horizontal="center" vertical="center"/>
      <protection locked="0"/>
    </xf>
    <xf numFmtId="3" fontId="1" fillId="43" borderId="37" xfId="6" applyNumberFormat="1" applyFont="1" applyFill="1" applyBorder="1" applyAlignment="1" applyProtection="1">
      <alignment horizontal="center" vertical="center"/>
      <protection locked="0"/>
    </xf>
    <xf numFmtId="3" fontId="1" fillId="43" borderId="37" xfId="6" applyNumberFormat="1" applyFont="1" applyFill="1" applyBorder="1" applyAlignment="1" applyProtection="1">
      <alignment horizontal="center"/>
      <protection locked="0"/>
    </xf>
    <xf numFmtId="3" fontId="1" fillId="43" borderId="41" xfId="6" applyNumberFormat="1" applyFont="1" applyFill="1" applyBorder="1" applyAlignment="1" applyProtection="1">
      <alignment horizontal="center" vertical="center"/>
      <protection locked="0"/>
    </xf>
    <xf numFmtId="0" fontId="49" fillId="0" borderId="23" xfId="194" applyFont="1" applyBorder="1"/>
    <xf numFmtId="0" fontId="1" fillId="0" borderId="23" xfId="194" applyFont="1" applyBorder="1"/>
    <xf numFmtId="164" fontId="6" fillId="44" borderId="6" xfId="6" applyNumberFormat="1" applyFill="1" applyBorder="1" applyAlignment="1">
      <alignment horizontal="center"/>
    </xf>
    <xf numFmtId="165" fontId="6" fillId="44" borderId="10" xfId="6" applyNumberFormat="1" applyFill="1" applyBorder="1" applyAlignment="1">
      <alignment horizontal="center"/>
    </xf>
    <xf numFmtId="165" fontId="6" fillId="5" borderId="40" xfId="6" applyNumberFormat="1" applyFill="1" applyBorder="1" applyAlignment="1">
      <alignment horizontal="center"/>
    </xf>
    <xf numFmtId="165" fontId="6" fillId="3" borderId="41" xfId="6" applyNumberFormat="1" applyFill="1" applyBorder="1" applyAlignment="1">
      <alignment horizontal="center"/>
    </xf>
    <xf numFmtId="164" fontId="6" fillId="5" borderId="3" xfId="6" applyNumberFormat="1" applyFill="1" applyBorder="1" applyAlignment="1">
      <alignment horizontal="center"/>
    </xf>
    <xf numFmtId="164" fontId="6" fillId="3" borderId="12" xfId="6" applyNumberFormat="1" applyFill="1" applyBorder="1" applyAlignment="1">
      <alignment horizontal="center"/>
    </xf>
    <xf numFmtId="165" fontId="6" fillId="5" borderId="22" xfId="6" applyNumberFormat="1" applyFill="1" applyBorder="1" applyAlignment="1">
      <alignment horizontal="center"/>
    </xf>
    <xf numFmtId="165" fontId="6" fillId="3" borderId="11" xfId="6" applyNumberFormat="1" applyFill="1" applyBorder="1" applyAlignment="1">
      <alignment horizontal="center"/>
    </xf>
    <xf numFmtId="165" fontId="6" fillId="44" borderId="37" xfId="6" applyNumberFormat="1" applyFill="1" applyBorder="1" applyAlignment="1">
      <alignment horizontal="center"/>
    </xf>
    <xf numFmtId="168" fontId="6" fillId="7" borderId="40" xfId="6" applyNumberFormat="1" applyFill="1" applyBorder="1" applyAlignment="1" applyProtection="1">
      <alignment horizontal="center"/>
      <protection locked="0"/>
    </xf>
    <xf numFmtId="168" fontId="6" fillId="7" borderId="37" xfId="6" applyNumberFormat="1" applyFill="1" applyBorder="1" applyAlignment="1" applyProtection="1">
      <alignment horizontal="center"/>
      <protection locked="0"/>
    </xf>
    <xf numFmtId="168" fontId="0" fillId="7" borderId="41" xfId="6" applyNumberFormat="1" applyFont="1" applyFill="1" applyBorder="1" applyAlignment="1" applyProtection="1">
      <alignment horizontal="center"/>
      <protection locked="0"/>
    </xf>
    <xf numFmtId="168" fontId="6" fillId="7" borderId="60" xfId="6" applyNumberFormat="1" applyFill="1" applyBorder="1" applyAlignment="1" applyProtection="1">
      <alignment horizontal="center"/>
      <protection locked="0"/>
    </xf>
    <xf numFmtId="168" fontId="6" fillId="7" borderId="59" xfId="6" applyNumberFormat="1" applyFill="1" applyBorder="1" applyAlignment="1" applyProtection="1">
      <alignment horizontal="center"/>
      <protection locked="0"/>
    </xf>
    <xf numFmtId="168" fontId="0" fillId="7" borderId="61" xfId="6" applyNumberFormat="1" applyFont="1" applyFill="1" applyBorder="1" applyAlignment="1" applyProtection="1">
      <alignment horizontal="center"/>
      <protection locked="0"/>
    </xf>
    <xf numFmtId="3" fontId="6" fillId="7" borderId="22" xfId="6" applyNumberFormat="1" applyFill="1" applyBorder="1" applyAlignment="1" applyProtection="1">
      <alignment horizontal="center"/>
      <protection locked="0"/>
    </xf>
    <xf numFmtId="3" fontId="6" fillId="7" borderId="10" xfId="6" applyNumberFormat="1" applyFill="1" applyBorder="1" applyAlignment="1" applyProtection="1">
      <alignment horizontal="center"/>
      <protection locked="0"/>
    </xf>
    <xf numFmtId="3" fontId="6" fillId="7" borderId="11" xfId="6" applyNumberFormat="1" applyFill="1" applyBorder="1" applyAlignment="1" applyProtection="1">
      <alignment horizontal="center"/>
      <protection locked="0"/>
    </xf>
    <xf numFmtId="168" fontId="6" fillId="7" borderId="41" xfId="6" applyNumberFormat="1" applyFill="1" applyBorder="1" applyAlignment="1" applyProtection="1">
      <alignment horizontal="center"/>
      <protection locked="0"/>
    </xf>
    <xf numFmtId="168" fontId="6" fillId="7" borderId="3" xfId="6" applyNumberFormat="1" applyFill="1" applyBorder="1" applyAlignment="1" applyProtection="1">
      <alignment horizontal="center"/>
      <protection locked="0"/>
    </xf>
    <xf numFmtId="168" fontId="6" fillId="7" borderId="6" xfId="6" applyNumberFormat="1" applyFill="1" applyBorder="1" applyAlignment="1" applyProtection="1">
      <alignment horizontal="center"/>
      <protection locked="0"/>
    </xf>
    <xf numFmtId="168" fontId="6" fillId="7" borderId="63" xfId="6" applyNumberFormat="1" applyFill="1" applyBorder="1" applyAlignment="1" applyProtection="1">
      <alignment horizontal="center"/>
      <protection locked="0"/>
    </xf>
    <xf numFmtId="168" fontId="6" fillId="7" borderId="64" xfId="6" applyNumberFormat="1" applyFill="1" applyBorder="1" applyAlignment="1" applyProtection="1">
      <alignment horizontal="center"/>
      <protection locked="0"/>
    </xf>
    <xf numFmtId="168" fontId="6" fillId="7" borderId="65" xfId="6" applyNumberFormat="1" applyFill="1" applyBorder="1" applyAlignment="1" applyProtection="1">
      <alignment horizontal="center"/>
      <protection locked="0"/>
    </xf>
    <xf numFmtId="168" fontId="6" fillId="7" borderId="12" xfId="6" applyNumberFormat="1" applyFill="1" applyBorder="1" applyAlignment="1" applyProtection="1">
      <alignment horizontal="center"/>
      <protection locked="0"/>
    </xf>
    <xf numFmtId="168" fontId="6" fillId="7" borderId="61" xfId="6" applyNumberFormat="1" applyFill="1" applyBorder="1" applyAlignment="1" applyProtection="1">
      <alignment horizontal="center"/>
      <protection locked="0"/>
    </xf>
    <xf numFmtId="0" fontId="49" fillId="0" borderId="23" xfId="194" applyFont="1" applyBorder="1" applyAlignment="1">
      <alignment vertical="center"/>
    </xf>
    <xf numFmtId="0" fontId="1" fillId="0" borderId="23" xfId="194" applyFont="1" applyBorder="1" applyAlignment="1">
      <alignment vertical="center"/>
    </xf>
    <xf numFmtId="0" fontId="1" fillId="0" borderId="0" xfId="194" applyFont="1" applyAlignment="1">
      <alignment vertical="center" wrapText="1"/>
    </xf>
    <xf numFmtId="0" fontId="50" fillId="41" borderId="0" xfId="194" applyFont="1" applyFill="1" applyAlignment="1">
      <alignment vertical="center"/>
    </xf>
    <xf numFmtId="0" fontId="1" fillId="0" borderId="0" xfId="194" applyFont="1" applyAlignment="1">
      <alignment vertical="center"/>
    </xf>
    <xf numFmtId="0" fontId="49" fillId="0" borderId="23" xfId="194" applyFont="1" applyBorder="1" applyAlignment="1">
      <alignment vertical="center"/>
    </xf>
    <xf numFmtId="0" fontId="1" fillId="0" borderId="23" xfId="194" applyFont="1" applyBorder="1" applyAlignment="1">
      <alignment vertical="center"/>
    </xf>
    <xf numFmtId="0" fontId="1" fillId="0" borderId="23" xfId="194" applyFont="1" applyBorder="1" applyAlignment="1">
      <alignment vertical="center" wrapText="1"/>
    </xf>
    <xf numFmtId="0" fontId="2" fillId="0" borderId="25" xfId="194" applyBorder="1" applyAlignment="1">
      <alignment vertical="center" wrapText="1"/>
    </xf>
    <xf numFmtId="0" fontId="2" fillId="0" borderId="24" xfId="194" applyBorder="1" applyAlignment="1">
      <alignment vertical="center" wrapText="1"/>
    </xf>
    <xf numFmtId="0" fontId="2" fillId="0" borderId="0" xfId="194" applyAlignment="1">
      <alignment vertical="center" wrapText="1"/>
    </xf>
    <xf numFmtId="0" fontId="2" fillId="0" borderId="8" xfId="194" applyBorder="1" applyAlignment="1">
      <alignment vertical="center" wrapText="1"/>
    </xf>
    <xf numFmtId="0" fontId="49" fillId="0" borderId="23" xfId="194" applyFont="1" applyBorder="1"/>
    <xf numFmtId="0" fontId="1" fillId="0" borderId="23" xfId="194" applyFont="1" applyBorder="1"/>
    <xf numFmtId="0" fontId="1" fillId="0" borderId="0" xfId="194" applyFont="1" applyAlignment="1">
      <alignment vertical="center" wrapText="1"/>
    </xf>
    <xf numFmtId="0" fontId="1" fillId="0" borderId="8" xfId="194" applyFont="1" applyBorder="1" applyAlignment="1">
      <alignment vertical="center" wrapText="1"/>
    </xf>
    <xf numFmtId="0" fontId="6" fillId="0" borderId="0" xfId="63" applyAlignment="1">
      <alignment vertical="center" wrapText="1"/>
    </xf>
    <xf numFmtId="0" fontId="50" fillId="41" borderId="0" xfId="194" applyFont="1" applyFill="1" applyAlignment="1">
      <alignment vertical="center"/>
    </xf>
    <xf numFmtId="0" fontId="1" fillId="0" borderId="0" xfId="194" applyFont="1" applyAlignment="1">
      <alignment vertical="center"/>
    </xf>
    <xf numFmtId="164" fontId="16" fillId="42" borderId="0" xfId="63" applyNumberFormat="1" applyFont="1" applyFill="1" applyAlignment="1">
      <alignment horizontal="center" vertical="center"/>
    </xf>
    <xf numFmtId="164" fontId="16" fillId="0" borderId="8" xfId="63" applyNumberFormat="1" applyFont="1" applyBorder="1" applyAlignment="1">
      <alignment horizontal="center"/>
    </xf>
  </cellXfs>
  <cellStyles count="195">
    <cellStyle name="20% - Accent1" xfId="34" builtinId="30" customBuiltin="1"/>
    <cellStyle name="20% - Accent1 2" xfId="69" xr:uid="{00000000-0005-0000-0000-000001000000}"/>
    <cellStyle name="20% - Accent1 2 2" xfId="148" xr:uid="{00000000-0005-0000-0000-000002000000}"/>
    <cellStyle name="20% - Accent1 3" xfId="85" xr:uid="{00000000-0005-0000-0000-000003000000}"/>
    <cellStyle name="20% - Accent2" xfId="38" builtinId="34" customBuiltin="1"/>
    <cellStyle name="20% - Accent2 2" xfId="71" xr:uid="{00000000-0005-0000-0000-000005000000}"/>
    <cellStyle name="20% - Accent2 2 2" xfId="150" xr:uid="{00000000-0005-0000-0000-000006000000}"/>
    <cellStyle name="20% - Accent2 3" xfId="87" xr:uid="{00000000-0005-0000-0000-000007000000}"/>
    <cellStyle name="20% - Accent3" xfId="42" builtinId="38" customBuiltin="1"/>
    <cellStyle name="20% - Accent3 2" xfId="73" xr:uid="{00000000-0005-0000-0000-000009000000}"/>
    <cellStyle name="20% - Accent3 2 2" xfId="152" xr:uid="{00000000-0005-0000-0000-00000A000000}"/>
    <cellStyle name="20% - Accent3 3" xfId="89" xr:uid="{00000000-0005-0000-0000-00000B000000}"/>
    <cellStyle name="20% - Accent4" xfId="46" builtinId="42" customBuiltin="1"/>
    <cellStyle name="20% - Accent4 2" xfId="75" xr:uid="{00000000-0005-0000-0000-00000D000000}"/>
    <cellStyle name="20% - Accent4 2 2" xfId="154" xr:uid="{00000000-0005-0000-0000-00000E000000}"/>
    <cellStyle name="20% - Accent4 3" xfId="91" xr:uid="{00000000-0005-0000-0000-00000F000000}"/>
    <cellStyle name="20% - Accent5" xfId="50" builtinId="46" customBuiltin="1"/>
    <cellStyle name="20% - Accent5 2" xfId="77" xr:uid="{00000000-0005-0000-0000-000011000000}"/>
    <cellStyle name="20% - Accent5 2 2" xfId="156" xr:uid="{00000000-0005-0000-0000-000012000000}"/>
    <cellStyle name="20% - Accent5 3" xfId="93" xr:uid="{00000000-0005-0000-0000-000013000000}"/>
    <cellStyle name="20% - Accent6" xfId="54" builtinId="50" customBuiltin="1"/>
    <cellStyle name="20% - Accent6 2" xfId="79" xr:uid="{00000000-0005-0000-0000-000015000000}"/>
    <cellStyle name="20% - Accent6 2 2" xfId="158" xr:uid="{00000000-0005-0000-0000-000016000000}"/>
    <cellStyle name="20% - Accent6 3" xfId="95" xr:uid="{00000000-0005-0000-0000-000017000000}"/>
    <cellStyle name="40% - Accent1" xfId="35" builtinId="31" customBuiltin="1"/>
    <cellStyle name="40% - Accent1 2" xfId="70" xr:uid="{00000000-0005-0000-0000-000019000000}"/>
    <cellStyle name="40% - Accent1 2 2" xfId="149" xr:uid="{00000000-0005-0000-0000-00001A000000}"/>
    <cellStyle name="40% - Accent1 3" xfId="86" xr:uid="{00000000-0005-0000-0000-00001B000000}"/>
    <cellStyle name="40% - Accent2" xfId="39" builtinId="35" customBuiltin="1"/>
    <cellStyle name="40% - Accent2 2" xfId="72" xr:uid="{00000000-0005-0000-0000-00001D000000}"/>
    <cellStyle name="40% - Accent2 2 2" xfId="151" xr:uid="{00000000-0005-0000-0000-00001E000000}"/>
    <cellStyle name="40% - Accent2 3" xfId="88" xr:uid="{00000000-0005-0000-0000-00001F000000}"/>
    <cellStyle name="40% - Accent3" xfId="43" builtinId="39" customBuiltin="1"/>
    <cellStyle name="40% - Accent3 2" xfId="74" xr:uid="{00000000-0005-0000-0000-000021000000}"/>
    <cellStyle name="40% - Accent3 2 2" xfId="153" xr:uid="{00000000-0005-0000-0000-000022000000}"/>
    <cellStyle name="40% - Accent3 3" xfId="90" xr:uid="{00000000-0005-0000-0000-000023000000}"/>
    <cellStyle name="40% - Accent4" xfId="47" builtinId="43" customBuiltin="1"/>
    <cellStyle name="40% - Accent4 2" xfId="76" xr:uid="{00000000-0005-0000-0000-000025000000}"/>
    <cellStyle name="40% - Accent4 2 2" xfId="155" xr:uid="{00000000-0005-0000-0000-000026000000}"/>
    <cellStyle name="40% - Accent4 3" xfId="92" xr:uid="{00000000-0005-0000-0000-000027000000}"/>
    <cellStyle name="40% - Accent5" xfId="51" builtinId="47" customBuiltin="1"/>
    <cellStyle name="40% - Accent5 2" xfId="78" xr:uid="{00000000-0005-0000-0000-000029000000}"/>
    <cellStyle name="40% - Accent5 2 2" xfId="157" xr:uid="{00000000-0005-0000-0000-00002A000000}"/>
    <cellStyle name="40% - Accent5 3" xfId="94" xr:uid="{00000000-0005-0000-0000-00002B000000}"/>
    <cellStyle name="40% - Accent6" xfId="55" builtinId="51" customBuiltin="1"/>
    <cellStyle name="40% - Accent6 2" xfId="80" xr:uid="{00000000-0005-0000-0000-00002D000000}"/>
    <cellStyle name="40% - Accent6 2 2" xfId="159" xr:uid="{00000000-0005-0000-0000-00002E000000}"/>
    <cellStyle name="40% - Accent6 3" xfId="96" xr:uid="{00000000-0005-0000-0000-00002F000000}"/>
    <cellStyle name="60% - Accent1" xfId="36" builtinId="32" customBuiltin="1"/>
    <cellStyle name="60% - Accent2" xfId="40" builtinId="36" customBuiltin="1"/>
    <cellStyle name="60% - Accent3" xfId="44" builtinId="40" customBuiltin="1"/>
    <cellStyle name="60% - Accent4" xfId="48" builtinId="44" customBuiltin="1"/>
    <cellStyle name="60% - Accent5" xfId="52" builtinId="48" customBuiltin="1"/>
    <cellStyle name="60% - Accent6" xfId="56" builtinId="52" customBuiltin="1"/>
    <cellStyle name="Accent1" xfId="33" builtinId="29" customBuiltin="1"/>
    <cellStyle name="Accent2" xfId="37" builtinId="33" customBuiltin="1"/>
    <cellStyle name="Accent3" xfId="41" builtinId="37" customBuiltin="1"/>
    <cellStyle name="Accent4" xfId="45" builtinId="41" customBuiltin="1"/>
    <cellStyle name="Accent5" xfId="49" builtinId="45" customBuiltin="1"/>
    <cellStyle name="Accent6" xfId="53" builtinId="49" customBuiltin="1"/>
    <cellStyle name="Bad" xfId="23" builtinId="27" customBuiltin="1"/>
    <cellStyle name="Calculation" xfId="27" builtinId="22" customBuiltin="1"/>
    <cellStyle name="Check Cell" xfId="29" builtinId="23" customBuiltin="1"/>
    <cellStyle name="Comma 2" xfId="4" xr:uid="{00000000-0005-0000-0000-00003F000000}"/>
    <cellStyle name="Comma 2 2" xfId="107" xr:uid="{00000000-0005-0000-0000-000040000000}"/>
    <cellStyle name="Comma 2 3" xfId="121" xr:uid="{00000000-0005-0000-0000-000041000000}"/>
    <cellStyle name="Comma 3" xfId="3" xr:uid="{00000000-0005-0000-0000-000042000000}"/>
    <cellStyle name="Comma 4" xfId="100" xr:uid="{00000000-0005-0000-0000-000043000000}"/>
    <cellStyle name="Explanatory Text" xfId="31" builtinId="53" customBuiltin="1"/>
    <cellStyle name="Good" xfId="22" builtinId="26" customBuiltin="1"/>
    <cellStyle name="Heading 1" xfId="18" builtinId="16" customBuiltin="1"/>
    <cellStyle name="Heading 2" xfId="19" builtinId="17" customBuiltin="1"/>
    <cellStyle name="Heading 3" xfId="20" builtinId="18" customBuiltin="1"/>
    <cellStyle name="Heading 4" xfId="21" builtinId="19" customBuiltin="1"/>
    <cellStyle name="Hyperlink" xfId="10" builtinId="8"/>
    <cellStyle name="Hyperlink 2" xfId="59" xr:uid="{00000000-0005-0000-0000-00004B000000}"/>
    <cellStyle name="Input" xfId="25" builtinId="20" customBuiltin="1"/>
    <cellStyle name="Linked Cell" xfId="28" builtinId="24" customBuiltin="1"/>
    <cellStyle name="Neutral" xfId="24" builtinId="28" customBuiltin="1"/>
    <cellStyle name="Normal" xfId="0" builtinId="0"/>
    <cellStyle name="Normal 10" xfId="116" xr:uid="{00000000-0005-0000-0000-000050000000}"/>
    <cellStyle name="Normal 10 2" xfId="131" xr:uid="{00000000-0005-0000-0000-000051000000}"/>
    <cellStyle name="Normal 11" xfId="120" xr:uid="{00000000-0005-0000-0000-000052000000}"/>
    <cellStyle name="Normal 11 2" xfId="140" xr:uid="{00000000-0005-0000-0000-000053000000}"/>
    <cellStyle name="Normal 12" xfId="99" xr:uid="{00000000-0005-0000-0000-000054000000}"/>
    <cellStyle name="Normal 12 2" xfId="146" xr:uid="{00000000-0005-0000-0000-000055000000}"/>
    <cellStyle name="Normal 13" xfId="171" xr:uid="{00000000-0005-0000-0000-000056000000}"/>
    <cellStyle name="Normal 14" xfId="172" xr:uid="{00000000-0005-0000-0000-000057000000}"/>
    <cellStyle name="Normal 15" xfId="83" xr:uid="{00000000-0005-0000-0000-000058000000}"/>
    <cellStyle name="Normal 16 2" xfId="193" xr:uid="{00000000-0005-0000-0000-000059000000}"/>
    <cellStyle name="Normal 16 2 2" xfId="194" xr:uid="{00000000-0005-0000-0000-00005A000000}"/>
    <cellStyle name="Normal 2" xfId="1" xr:uid="{00000000-0005-0000-0000-00005B000000}"/>
    <cellStyle name="Normal 2 2" xfId="5" xr:uid="{00000000-0005-0000-0000-00005C000000}"/>
    <cellStyle name="Normal 2 2 2" xfId="62" xr:uid="{00000000-0005-0000-0000-00005D000000}"/>
    <cellStyle name="Normal 2 2 2 2" xfId="143" xr:uid="{00000000-0005-0000-0000-00005E000000}"/>
    <cellStyle name="Normal 2 2 2 3" xfId="188" xr:uid="{00000000-0005-0000-0000-00005F000000}"/>
    <cellStyle name="Normal 2 2 2 4" xfId="129" xr:uid="{00000000-0005-0000-0000-000060000000}"/>
    <cellStyle name="Normal 2 2 3" xfId="81" xr:uid="{00000000-0005-0000-0000-000061000000}"/>
    <cellStyle name="Normal 2 2 3 2" xfId="173" xr:uid="{00000000-0005-0000-0000-000062000000}"/>
    <cellStyle name="Normal 2 2 3 3" xfId="186" xr:uid="{00000000-0005-0000-0000-000063000000}"/>
    <cellStyle name="Normal 2 2 3 4" xfId="119" xr:uid="{00000000-0005-0000-0000-000064000000}"/>
    <cellStyle name="Normal 2 2 4" xfId="108" xr:uid="{00000000-0005-0000-0000-000065000000}"/>
    <cellStyle name="Normal 2 2 5" xfId="163" xr:uid="{00000000-0005-0000-0000-000066000000}"/>
    <cellStyle name="Normal 2 2 6" xfId="161" xr:uid="{00000000-0005-0000-0000-000067000000}"/>
    <cellStyle name="Normal 2 2 7" xfId="97" xr:uid="{00000000-0005-0000-0000-000068000000}"/>
    <cellStyle name="Normal 2 3" xfId="63" xr:uid="{00000000-0005-0000-0000-000069000000}"/>
    <cellStyle name="Normal 2 3 2" xfId="134" xr:uid="{00000000-0005-0000-0000-00006A000000}"/>
    <cellStyle name="Normal 2 3 3" xfId="164" xr:uid="{00000000-0005-0000-0000-00006B000000}"/>
    <cellStyle name="Normal 2 3 4" xfId="160" xr:uid="{00000000-0005-0000-0000-00006C000000}"/>
    <cellStyle name="Normal 2 4" xfId="61" xr:uid="{00000000-0005-0000-0000-00006D000000}"/>
    <cellStyle name="Normal 2 5" xfId="58" xr:uid="{00000000-0005-0000-0000-00006E000000}"/>
    <cellStyle name="Normal 2 5 2" xfId="141" xr:uid="{00000000-0005-0000-0000-00006F000000}"/>
    <cellStyle name="Normal 2 5 3" xfId="179" xr:uid="{00000000-0005-0000-0000-000070000000}"/>
    <cellStyle name="Normal 2 5 4" xfId="183" xr:uid="{00000000-0005-0000-0000-000071000000}"/>
    <cellStyle name="Normal 2 5 5" xfId="122" xr:uid="{00000000-0005-0000-0000-000072000000}"/>
    <cellStyle name="Normal 2 6" xfId="101" xr:uid="{00000000-0005-0000-0000-000073000000}"/>
    <cellStyle name="Normal 2 7" xfId="162" xr:uid="{00000000-0005-0000-0000-000074000000}"/>
    <cellStyle name="Normal 2 8" xfId="177" xr:uid="{00000000-0005-0000-0000-000075000000}"/>
    <cellStyle name="Normal 2_Dec11" xfId="64" xr:uid="{00000000-0005-0000-0000-000076000000}"/>
    <cellStyle name="Normal 3" xfId="6" xr:uid="{00000000-0005-0000-0000-000077000000}"/>
    <cellStyle name="Normal 3 2" xfId="65" xr:uid="{00000000-0005-0000-0000-000078000000}"/>
    <cellStyle name="Normal 3 2 2" xfId="174" xr:uid="{00000000-0005-0000-0000-000079000000}"/>
    <cellStyle name="Normal 3 2 3" xfId="182" xr:uid="{00000000-0005-0000-0000-00007A000000}"/>
    <cellStyle name="Normal 3 2 4" xfId="109" xr:uid="{00000000-0005-0000-0000-00007B000000}"/>
    <cellStyle name="Normal 3 3" xfId="82" xr:uid="{00000000-0005-0000-0000-00007C000000}"/>
    <cellStyle name="Normal 3 3 2" xfId="137" xr:uid="{00000000-0005-0000-0000-00007D000000}"/>
    <cellStyle name="Normal 3 3 3" xfId="170" xr:uid="{00000000-0005-0000-0000-00007E000000}"/>
    <cellStyle name="Normal 3 3 4" xfId="123" xr:uid="{00000000-0005-0000-0000-00007F000000}"/>
    <cellStyle name="Normal 3 4" xfId="133" xr:uid="{00000000-0005-0000-0000-000080000000}"/>
    <cellStyle name="Normal 3 5" xfId="178" xr:uid="{00000000-0005-0000-0000-000081000000}"/>
    <cellStyle name="Normal 3 6" xfId="102" xr:uid="{00000000-0005-0000-0000-000082000000}"/>
    <cellStyle name="Normal 3 7" xfId="98" xr:uid="{00000000-0005-0000-0000-000083000000}"/>
    <cellStyle name="Normal 4" xfId="7" xr:uid="{00000000-0005-0000-0000-000084000000}"/>
    <cellStyle name="Normal 4 2" xfId="110" xr:uid="{00000000-0005-0000-0000-000085000000}"/>
    <cellStyle name="Normal 4 3" xfId="124" xr:uid="{00000000-0005-0000-0000-000086000000}"/>
    <cellStyle name="Normal 4 4" xfId="190" xr:uid="{00000000-0005-0000-0000-000087000000}"/>
    <cellStyle name="Normal 5" xfId="2" xr:uid="{00000000-0005-0000-0000-000088000000}"/>
    <cellStyle name="Normal 5 2" xfId="11" xr:uid="{00000000-0005-0000-0000-000089000000}"/>
    <cellStyle name="Normal 5 2 2" xfId="138" xr:uid="{00000000-0005-0000-0000-00008A000000}"/>
    <cellStyle name="Normal 5 2 3" xfId="168" xr:uid="{00000000-0005-0000-0000-00008B000000}"/>
    <cellStyle name="Normal 5 2 4" xfId="113" xr:uid="{00000000-0005-0000-0000-00008C000000}"/>
    <cellStyle name="Normal 5 3" xfId="13" xr:uid="{00000000-0005-0000-0000-00008D000000}"/>
    <cellStyle name="Normal 5 3 2" xfId="144" xr:uid="{00000000-0005-0000-0000-00008E000000}"/>
    <cellStyle name="Normal 5 3 3" xfId="187" xr:uid="{00000000-0005-0000-0000-00008F000000}"/>
    <cellStyle name="Normal 5 3 4" xfId="126" xr:uid="{00000000-0005-0000-0000-000090000000}"/>
    <cellStyle name="Normal 5 4" xfId="15" xr:uid="{00000000-0005-0000-0000-000091000000}"/>
    <cellStyle name="Normal 5 4 2" xfId="175" xr:uid="{00000000-0005-0000-0000-000092000000}"/>
    <cellStyle name="Normal 5 4 3" xfId="185" xr:uid="{00000000-0005-0000-0000-000093000000}"/>
    <cellStyle name="Normal 5 4 4" xfId="118" xr:uid="{00000000-0005-0000-0000-000094000000}"/>
    <cellStyle name="Normal 5 5" xfId="66" xr:uid="{00000000-0005-0000-0000-000095000000}"/>
    <cellStyle name="Normal 5 5 2" xfId="176" xr:uid="{00000000-0005-0000-0000-000096000000}"/>
    <cellStyle name="Normal 5 5 3" xfId="189" xr:uid="{00000000-0005-0000-0000-000097000000}"/>
    <cellStyle name="Normal 5 5 4" xfId="135" xr:uid="{00000000-0005-0000-0000-000098000000}"/>
    <cellStyle name="Normal 5 6" xfId="165" xr:uid="{00000000-0005-0000-0000-000099000000}"/>
    <cellStyle name="Normal 5 6 2" xfId="180" xr:uid="{00000000-0005-0000-0000-00009A000000}"/>
    <cellStyle name="Normal 5 6 3" xfId="191" xr:uid="{00000000-0005-0000-0000-00009B000000}"/>
    <cellStyle name="Normal 6" xfId="9" xr:uid="{00000000-0005-0000-0000-00009C000000}"/>
    <cellStyle name="Normal 6 2" xfId="12" xr:uid="{00000000-0005-0000-0000-00009D000000}"/>
    <cellStyle name="Normal 6 2 2" xfId="139" xr:uid="{00000000-0005-0000-0000-00009E000000}"/>
    <cellStyle name="Normal 6 2 3" xfId="169" xr:uid="{00000000-0005-0000-0000-00009F000000}"/>
    <cellStyle name="Normal 6 2 4" xfId="114" xr:uid="{00000000-0005-0000-0000-0000A0000000}"/>
    <cellStyle name="Normal 6 3" xfId="14" xr:uid="{00000000-0005-0000-0000-0000A1000000}"/>
    <cellStyle name="Normal 6 4" xfId="16" xr:uid="{00000000-0005-0000-0000-0000A2000000}"/>
    <cellStyle name="Normal 6 4 2" xfId="181" xr:uid="{00000000-0005-0000-0000-0000A3000000}"/>
    <cellStyle name="Normal 6 4 3" xfId="192" xr:uid="{00000000-0005-0000-0000-0000A4000000}"/>
    <cellStyle name="Normal 6 4 4" xfId="166" xr:uid="{00000000-0005-0000-0000-0000A5000000}"/>
    <cellStyle name="Normal 6 5" xfId="184" xr:uid="{00000000-0005-0000-0000-0000A6000000}"/>
    <cellStyle name="Normal 6 6" xfId="104" xr:uid="{00000000-0005-0000-0000-0000A7000000}"/>
    <cellStyle name="Normal 7" xfId="57" xr:uid="{00000000-0005-0000-0000-0000A8000000}"/>
    <cellStyle name="Normal 7 2" xfId="128" xr:uid="{00000000-0005-0000-0000-0000A9000000}"/>
    <cellStyle name="Normal 7 2 2" xfId="145" xr:uid="{00000000-0005-0000-0000-0000AA000000}"/>
    <cellStyle name="Normal 7 3" xfId="136" xr:uid="{00000000-0005-0000-0000-0000AB000000}"/>
    <cellStyle name="Normal 7 4" xfId="167" xr:uid="{00000000-0005-0000-0000-0000AC000000}"/>
    <cellStyle name="Normal 7 5" xfId="106" xr:uid="{00000000-0005-0000-0000-0000AD000000}"/>
    <cellStyle name="Normal 8" xfId="67" xr:uid="{00000000-0005-0000-0000-0000AE000000}"/>
    <cellStyle name="Normal 8 2" xfId="130" xr:uid="{00000000-0005-0000-0000-0000AF000000}"/>
    <cellStyle name="Normal 8 3" xfId="115" xr:uid="{00000000-0005-0000-0000-0000B0000000}"/>
    <cellStyle name="Normal 9" xfId="105" xr:uid="{00000000-0005-0000-0000-0000B1000000}"/>
    <cellStyle name="Normal 9 2" xfId="127" xr:uid="{00000000-0005-0000-0000-0000B2000000}"/>
    <cellStyle name="Note 2" xfId="60" xr:uid="{00000000-0005-0000-0000-0000B3000000}"/>
    <cellStyle name="Note 2 2" xfId="142" xr:uid="{00000000-0005-0000-0000-0000B4000000}"/>
    <cellStyle name="Note 3" xfId="68" xr:uid="{00000000-0005-0000-0000-0000B5000000}"/>
    <cellStyle name="Note 3 2" xfId="147" xr:uid="{00000000-0005-0000-0000-0000B6000000}"/>
    <cellStyle name="Note 4" xfId="84" xr:uid="{00000000-0005-0000-0000-0000B7000000}"/>
    <cellStyle name="Output" xfId="26" builtinId="21" customBuiltin="1"/>
    <cellStyle name="Percent 2" xfId="8" xr:uid="{00000000-0005-0000-0000-0000BA000000}"/>
    <cellStyle name="Percent 2 2" xfId="112" xr:uid="{00000000-0005-0000-0000-0000BB000000}"/>
    <cellStyle name="Percent 2 3" xfId="125" xr:uid="{00000000-0005-0000-0000-0000BC000000}"/>
    <cellStyle name="Percent 3" xfId="111" xr:uid="{00000000-0005-0000-0000-0000BD000000}"/>
    <cellStyle name="Percent 4" xfId="117" xr:uid="{00000000-0005-0000-0000-0000BE000000}"/>
    <cellStyle name="Percent 4 2" xfId="132" xr:uid="{00000000-0005-0000-0000-0000BF000000}"/>
    <cellStyle name="Percent 5" xfId="103" xr:uid="{00000000-0005-0000-0000-0000C0000000}"/>
    <cellStyle name="Title" xfId="17" builtinId="15" customBuiltin="1"/>
    <cellStyle name="Total" xfId="32" builtinId="25" customBuiltin="1"/>
    <cellStyle name="Warning Text" xfId="30" builtinId="11" customBuiltin="1"/>
  </cellStyles>
  <dxfs count="0"/>
  <tableStyles count="0" defaultTableStyle="TableStyleMedium9" defaultPivotStyle="PivotStyleLight16"/>
  <colors>
    <mruColors>
      <color rgb="FFFF00FF"/>
      <color rgb="FF00FFFF"/>
      <color rgb="FF99FF66"/>
      <color rgb="FFFF6600"/>
      <color rgb="FFFF5050"/>
      <color rgb="FFCCFFCC"/>
      <color rgb="FF800080"/>
      <color rgb="FFFF4B6D"/>
      <color rgb="FF5BAD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Upper Battle Creek Chinook Salmon Efficiency Trials 2025-2026</a:t>
            </a:r>
          </a:p>
        </c:rich>
      </c:tx>
      <c:layout>
        <c:manualLayout>
          <c:xMode val="edge"/>
          <c:yMode val="edge"/>
          <c:x val="0.16330334150201839"/>
          <c:y val="2.1595326284212756E-2"/>
        </c:manualLayout>
      </c:layout>
      <c:overlay val="0"/>
    </c:title>
    <c:autoTitleDeleted val="0"/>
    <c:plotArea>
      <c:layout>
        <c:manualLayout>
          <c:layoutTarget val="inner"/>
          <c:xMode val="edge"/>
          <c:yMode val="edge"/>
          <c:x val="0.10387540782869614"/>
          <c:y val="2.6417504870839277E-2"/>
          <c:w val="0.88643739905929775"/>
          <c:h val="0.81620556690971569"/>
        </c:manualLayout>
      </c:layout>
      <c:lineChart>
        <c:grouping val="standard"/>
        <c:varyColors val="0"/>
        <c:ser>
          <c:idx val="1"/>
          <c:order val="0"/>
          <c:tx>
            <c:strRef>
              <c:f>'UBC CHN 25-26'!$AC$1</c:f>
              <c:strCache>
                <c:ptCount val="1"/>
                <c:pt idx="0">
                  <c:v>Upper Battle Creek Chinook Salmon</c:v>
                </c:pt>
              </c:strCache>
            </c:strRef>
          </c:tx>
          <c:spPr>
            <a:ln w="12700">
              <a:solidFill>
                <a:schemeClr val="tx1"/>
              </a:solidFill>
            </a:ln>
          </c:spPr>
          <c:marker>
            <c:symbol val="square"/>
            <c:size val="6"/>
            <c:spPr>
              <a:noFill/>
              <a:ln w="0">
                <a:solidFill>
                  <a:schemeClr val="tx1"/>
                </a:solidFill>
              </a:ln>
            </c:spPr>
          </c:marker>
          <c:cat>
            <c:numRef>
              <c:f>'UBC CHN 25-26'!$C$3:$C$6</c:f>
              <c:numCache>
                <c:formatCode>mm/dd/yy;@</c:formatCode>
                <c:ptCount val="4"/>
                <c:pt idx="0">
                  <c:v>45980</c:v>
                </c:pt>
                <c:pt idx="1">
                  <c:v>45995</c:v>
                </c:pt>
                <c:pt idx="2">
                  <c:v>46001</c:v>
                </c:pt>
                <c:pt idx="3">
                  <c:v>46037</c:v>
                </c:pt>
              </c:numCache>
            </c:numRef>
          </c:cat>
          <c:val>
            <c:numRef>
              <c:f>'UBC CHN 25-26'!$Y$3:$Y$6</c:f>
              <c:numCache>
                <c:formatCode>0.00</c:formatCode>
                <c:ptCount val="4"/>
                <c:pt idx="0">
                  <c:v>0</c:v>
                </c:pt>
                <c:pt idx="1">
                  <c:v>0</c:v>
                </c:pt>
                <c:pt idx="2">
                  <c:v>0</c:v>
                </c:pt>
                <c:pt idx="3">
                  <c:v>0</c:v>
                </c:pt>
              </c:numCache>
            </c:numRef>
          </c:val>
          <c:smooth val="0"/>
          <c:extLst>
            <c:ext xmlns:c16="http://schemas.microsoft.com/office/drawing/2014/chart" uri="{C3380CC4-5D6E-409C-BE32-E72D297353CC}">
              <c16:uniqueId val="{00000000-DFEE-40A7-A0E6-78897FAD0126}"/>
            </c:ext>
          </c:extLst>
        </c:ser>
        <c:dLbls>
          <c:showLegendKey val="0"/>
          <c:showVal val="0"/>
          <c:showCatName val="0"/>
          <c:showSerName val="0"/>
          <c:showPercent val="0"/>
          <c:showBubbleSize val="0"/>
        </c:dLbls>
        <c:marker val="1"/>
        <c:smooth val="0"/>
        <c:axId val="129028864"/>
        <c:axId val="129030400"/>
      </c:lineChart>
      <c:dateAx>
        <c:axId val="129028864"/>
        <c:scaling>
          <c:orientation val="minMax"/>
        </c:scaling>
        <c:delete val="0"/>
        <c:axPos val="b"/>
        <c:title>
          <c:tx>
            <c:rich>
              <a:bodyPr/>
              <a:lstStyle/>
              <a:p>
                <a:pPr>
                  <a:defRPr b="0"/>
                </a:pPr>
                <a:r>
                  <a:rPr lang="en-US" b="0"/>
                  <a:t>Date</a:t>
                </a:r>
              </a:p>
            </c:rich>
          </c:tx>
          <c:layout>
            <c:manualLayout>
              <c:xMode val="edge"/>
              <c:yMode val="edge"/>
              <c:x val="0.51455195535159604"/>
              <c:y val="0.96140794129676599"/>
            </c:manualLayout>
          </c:layout>
          <c:overlay val="0"/>
        </c:title>
        <c:numFmt formatCode="[$-409]d\-mmm\-yy;@" sourceLinked="0"/>
        <c:majorTickMark val="out"/>
        <c:minorTickMark val="none"/>
        <c:tickLblPos val="nextTo"/>
        <c:txPr>
          <a:bodyPr rot="-4320000" vert="horz"/>
          <a:lstStyle/>
          <a:p>
            <a:pPr>
              <a:defRPr/>
            </a:pPr>
            <a:endParaRPr lang="en-US"/>
          </a:p>
        </c:txPr>
        <c:crossAx val="129030400"/>
        <c:crosses val="autoZero"/>
        <c:auto val="1"/>
        <c:lblOffset val="100"/>
        <c:baseTimeUnit val="days"/>
        <c:majorUnit val="1"/>
        <c:majorTimeUnit val="days"/>
        <c:minorUnit val="1"/>
        <c:minorTimeUnit val="days"/>
      </c:dateAx>
      <c:valAx>
        <c:axId val="129030400"/>
        <c:scaling>
          <c:orientation val="minMax"/>
          <c:max val="0.2"/>
        </c:scaling>
        <c:delete val="0"/>
        <c:axPos val="l"/>
        <c:title>
          <c:tx>
            <c:rich>
              <a:bodyPr rot="-5400000" vert="horz"/>
              <a:lstStyle/>
              <a:p>
                <a:pPr>
                  <a:defRPr b="0"/>
                </a:pPr>
                <a:r>
                  <a:rPr lang="en-US" b="0"/>
                  <a:t>Efficiency</a:t>
                </a:r>
              </a:p>
            </c:rich>
          </c:tx>
          <c:layout>
            <c:manualLayout>
              <c:xMode val="edge"/>
              <c:yMode val="edge"/>
              <c:x val="6.9598765538899559E-4"/>
              <c:y val="0.39750644197515317"/>
            </c:manualLayout>
          </c:layout>
          <c:overlay val="0"/>
        </c:title>
        <c:numFmt formatCode="0.000" sourceLinked="0"/>
        <c:majorTickMark val="out"/>
        <c:minorTickMark val="none"/>
        <c:tickLblPos val="nextTo"/>
        <c:txPr>
          <a:bodyPr rot="0" vert="horz"/>
          <a:lstStyle/>
          <a:p>
            <a:pPr>
              <a:defRPr/>
            </a:pPr>
            <a:endParaRPr lang="en-US"/>
          </a:p>
        </c:txPr>
        <c:crossAx val="129028864"/>
        <c:crossesAt val="40909"/>
        <c:crossBetween val="between"/>
      </c:valAx>
      <c:spPr>
        <a:ln>
          <a:noFill/>
        </a:ln>
      </c:spPr>
    </c:plotArea>
    <c:legend>
      <c:legendPos val="r"/>
      <c:layout>
        <c:manualLayout>
          <c:xMode val="edge"/>
          <c:yMode val="edge"/>
          <c:x val="0.11673814554469857"/>
          <c:y val="0.79137398695130323"/>
          <c:w val="0.2842952703982401"/>
          <c:h val="3.8706872479106112E-2"/>
        </c:manualLayout>
      </c:layout>
      <c:overlay val="0"/>
      <c:spPr>
        <a:ln>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Upper Battle Creek Chinook Salmon Efficiency Trials 2025-2026</a:t>
            </a:r>
          </a:p>
        </c:rich>
      </c:tx>
      <c:layout>
        <c:manualLayout>
          <c:xMode val="edge"/>
          <c:yMode val="edge"/>
          <c:x val="0.16330334150201839"/>
          <c:y val="2.1595326284212756E-2"/>
        </c:manualLayout>
      </c:layout>
      <c:overlay val="0"/>
    </c:title>
    <c:autoTitleDeleted val="0"/>
    <c:plotArea>
      <c:layout>
        <c:manualLayout>
          <c:layoutTarget val="inner"/>
          <c:xMode val="edge"/>
          <c:yMode val="edge"/>
          <c:x val="0.10387540782869614"/>
          <c:y val="2.6417504870839277E-2"/>
          <c:w val="0.88643739905929775"/>
          <c:h val="0.81620556690971569"/>
        </c:manualLayout>
      </c:layout>
      <c:lineChart>
        <c:grouping val="standard"/>
        <c:varyColors val="0"/>
        <c:ser>
          <c:idx val="1"/>
          <c:order val="0"/>
          <c:tx>
            <c:strRef>
              <c:f>'UBC CHN 25-26 PG (2)'!$AC$1</c:f>
              <c:strCache>
                <c:ptCount val="1"/>
                <c:pt idx="0">
                  <c:v>Upper Battle Creek Chinook Salmon</c:v>
                </c:pt>
              </c:strCache>
            </c:strRef>
          </c:tx>
          <c:spPr>
            <a:ln w="12700">
              <a:solidFill>
                <a:schemeClr val="tx1"/>
              </a:solidFill>
            </a:ln>
          </c:spPr>
          <c:marker>
            <c:symbol val="square"/>
            <c:size val="6"/>
            <c:spPr>
              <a:noFill/>
              <a:ln w="0">
                <a:solidFill>
                  <a:schemeClr val="tx1"/>
                </a:solidFill>
              </a:ln>
            </c:spPr>
          </c:marker>
          <c:cat>
            <c:numRef>
              <c:f>'UBC CHN 25-26 PG (2)'!$C$3:$C$6</c:f>
              <c:numCache>
                <c:formatCode>mm/dd/yy;@</c:formatCode>
                <c:ptCount val="4"/>
                <c:pt idx="0">
                  <c:v>46065</c:v>
                </c:pt>
                <c:pt idx="1">
                  <c:v>46086</c:v>
                </c:pt>
                <c:pt idx="2">
                  <c:v>46086</c:v>
                </c:pt>
                <c:pt idx="3">
                  <c:v>46091</c:v>
                </c:pt>
              </c:numCache>
            </c:numRef>
          </c:cat>
          <c:val>
            <c:numRef>
              <c:f>'UBC CHN 25-26 PG (2)'!$Y$3:$Y$6</c:f>
              <c:numCache>
                <c:formatCode>0.00</c:formatCode>
                <c:ptCount val="4"/>
                <c:pt idx="0">
                  <c:v>0</c:v>
                </c:pt>
                <c:pt idx="1">
                  <c:v>0</c:v>
                </c:pt>
                <c:pt idx="2">
                  <c:v>0</c:v>
                </c:pt>
                <c:pt idx="3">
                  <c:v>0</c:v>
                </c:pt>
              </c:numCache>
            </c:numRef>
          </c:val>
          <c:smooth val="0"/>
          <c:extLst>
            <c:ext xmlns:c16="http://schemas.microsoft.com/office/drawing/2014/chart" uri="{C3380CC4-5D6E-409C-BE32-E72D297353CC}">
              <c16:uniqueId val="{00000000-E7C2-4B4C-862D-D185CE4AD3BD}"/>
            </c:ext>
          </c:extLst>
        </c:ser>
        <c:dLbls>
          <c:showLegendKey val="0"/>
          <c:showVal val="0"/>
          <c:showCatName val="0"/>
          <c:showSerName val="0"/>
          <c:showPercent val="0"/>
          <c:showBubbleSize val="0"/>
        </c:dLbls>
        <c:marker val="1"/>
        <c:smooth val="0"/>
        <c:axId val="129028864"/>
        <c:axId val="129030400"/>
      </c:lineChart>
      <c:dateAx>
        <c:axId val="129028864"/>
        <c:scaling>
          <c:orientation val="minMax"/>
        </c:scaling>
        <c:delete val="0"/>
        <c:axPos val="b"/>
        <c:title>
          <c:tx>
            <c:rich>
              <a:bodyPr/>
              <a:lstStyle/>
              <a:p>
                <a:pPr>
                  <a:defRPr b="0"/>
                </a:pPr>
                <a:r>
                  <a:rPr lang="en-US" b="0"/>
                  <a:t>Date</a:t>
                </a:r>
              </a:p>
            </c:rich>
          </c:tx>
          <c:layout>
            <c:manualLayout>
              <c:xMode val="edge"/>
              <c:yMode val="edge"/>
              <c:x val="0.51455195535159604"/>
              <c:y val="0.96140794129676599"/>
            </c:manualLayout>
          </c:layout>
          <c:overlay val="0"/>
        </c:title>
        <c:numFmt formatCode="[$-409]d\-mmm\-yy;@" sourceLinked="0"/>
        <c:majorTickMark val="out"/>
        <c:minorTickMark val="none"/>
        <c:tickLblPos val="nextTo"/>
        <c:txPr>
          <a:bodyPr rot="-4320000" vert="horz"/>
          <a:lstStyle/>
          <a:p>
            <a:pPr>
              <a:defRPr/>
            </a:pPr>
            <a:endParaRPr lang="en-US"/>
          </a:p>
        </c:txPr>
        <c:crossAx val="129030400"/>
        <c:crosses val="autoZero"/>
        <c:auto val="1"/>
        <c:lblOffset val="100"/>
        <c:baseTimeUnit val="days"/>
        <c:majorUnit val="1"/>
        <c:majorTimeUnit val="days"/>
        <c:minorUnit val="1"/>
        <c:minorTimeUnit val="days"/>
      </c:dateAx>
      <c:valAx>
        <c:axId val="129030400"/>
        <c:scaling>
          <c:orientation val="minMax"/>
          <c:max val="0.2"/>
        </c:scaling>
        <c:delete val="0"/>
        <c:axPos val="l"/>
        <c:title>
          <c:tx>
            <c:rich>
              <a:bodyPr rot="-5400000" vert="horz"/>
              <a:lstStyle/>
              <a:p>
                <a:pPr>
                  <a:defRPr b="0"/>
                </a:pPr>
                <a:r>
                  <a:rPr lang="en-US" b="0"/>
                  <a:t>Efficiency</a:t>
                </a:r>
              </a:p>
            </c:rich>
          </c:tx>
          <c:layout>
            <c:manualLayout>
              <c:xMode val="edge"/>
              <c:yMode val="edge"/>
              <c:x val="6.9598765538899559E-4"/>
              <c:y val="0.39750644197515317"/>
            </c:manualLayout>
          </c:layout>
          <c:overlay val="0"/>
        </c:title>
        <c:numFmt formatCode="0.000" sourceLinked="0"/>
        <c:majorTickMark val="out"/>
        <c:minorTickMark val="none"/>
        <c:tickLblPos val="nextTo"/>
        <c:txPr>
          <a:bodyPr rot="0" vert="horz"/>
          <a:lstStyle/>
          <a:p>
            <a:pPr>
              <a:defRPr/>
            </a:pPr>
            <a:endParaRPr lang="en-US"/>
          </a:p>
        </c:txPr>
        <c:crossAx val="129028864"/>
        <c:crossesAt val="40909"/>
        <c:crossBetween val="between"/>
      </c:valAx>
      <c:spPr>
        <a:ln>
          <a:noFill/>
        </a:ln>
      </c:spPr>
    </c:plotArea>
    <c:legend>
      <c:legendPos val="r"/>
      <c:layout>
        <c:manualLayout>
          <c:xMode val="edge"/>
          <c:yMode val="edge"/>
          <c:x val="0.11673814554469857"/>
          <c:y val="0.79137398695130323"/>
          <c:w val="0.2842952703982401"/>
          <c:h val="3.8706872479106112E-2"/>
        </c:manualLayout>
      </c:layout>
      <c:overlay val="0"/>
      <c:spPr>
        <a:ln>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Upper Battle Creek Chinook Salmon Efficiency Trials 2025-2026</a:t>
            </a:r>
          </a:p>
        </c:rich>
      </c:tx>
      <c:layout>
        <c:manualLayout>
          <c:xMode val="edge"/>
          <c:yMode val="edge"/>
          <c:x val="0.16330334150201839"/>
          <c:y val="2.1595326284212756E-2"/>
        </c:manualLayout>
      </c:layout>
      <c:overlay val="0"/>
    </c:title>
    <c:autoTitleDeleted val="0"/>
    <c:plotArea>
      <c:layout>
        <c:manualLayout>
          <c:layoutTarget val="inner"/>
          <c:xMode val="edge"/>
          <c:yMode val="edge"/>
          <c:x val="0.10387540782869614"/>
          <c:y val="2.6417504870839277E-2"/>
          <c:w val="0.88643739905929775"/>
          <c:h val="0.81620556690971569"/>
        </c:manualLayout>
      </c:layout>
      <c:lineChart>
        <c:grouping val="standard"/>
        <c:varyColors val="0"/>
        <c:ser>
          <c:idx val="1"/>
          <c:order val="0"/>
          <c:tx>
            <c:strRef>
              <c:f>'UBC CHN 25-26 PG (3)'!$AC$1</c:f>
              <c:strCache>
                <c:ptCount val="1"/>
                <c:pt idx="0">
                  <c:v>Upper Battle Creek Chinook Salmon</c:v>
                </c:pt>
              </c:strCache>
            </c:strRef>
          </c:tx>
          <c:spPr>
            <a:ln w="12700">
              <a:solidFill>
                <a:schemeClr val="tx1"/>
              </a:solidFill>
            </a:ln>
          </c:spPr>
          <c:marker>
            <c:symbol val="square"/>
            <c:size val="6"/>
            <c:spPr>
              <a:noFill/>
              <a:ln w="0">
                <a:solidFill>
                  <a:schemeClr val="tx1"/>
                </a:solidFill>
              </a:ln>
            </c:spPr>
          </c:marker>
          <c:cat>
            <c:numRef>
              <c:f>'UBC CHN 25-26 PG (3)'!$C$3:$C$6</c:f>
              <c:numCache>
                <c:formatCode>mm/dd/yy;@</c:formatCode>
                <c:ptCount val="4"/>
                <c:pt idx="0">
                  <c:v>46169</c:v>
                </c:pt>
              </c:numCache>
            </c:numRef>
          </c:cat>
          <c:val>
            <c:numRef>
              <c:f>'UBC CHN 25-26 PG (3)'!$Y$3:$Y$6</c:f>
              <c:numCache>
                <c:formatCode>0.00</c:formatCode>
                <c:ptCount val="4"/>
                <c:pt idx="0">
                  <c:v>0</c:v>
                </c:pt>
              </c:numCache>
            </c:numRef>
          </c:val>
          <c:smooth val="0"/>
          <c:extLst>
            <c:ext xmlns:c16="http://schemas.microsoft.com/office/drawing/2014/chart" uri="{C3380CC4-5D6E-409C-BE32-E72D297353CC}">
              <c16:uniqueId val="{00000000-5EB5-4D0E-9F17-9D36596A9F65}"/>
            </c:ext>
          </c:extLst>
        </c:ser>
        <c:dLbls>
          <c:showLegendKey val="0"/>
          <c:showVal val="0"/>
          <c:showCatName val="0"/>
          <c:showSerName val="0"/>
          <c:showPercent val="0"/>
          <c:showBubbleSize val="0"/>
        </c:dLbls>
        <c:marker val="1"/>
        <c:smooth val="0"/>
        <c:axId val="129028864"/>
        <c:axId val="129030400"/>
      </c:lineChart>
      <c:dateAx>
        <c:axId val="129028864"/>
        <c:scaling>
          <c:orientation val="minMax"/>
        </c:scaling>
        <c:delete val="0"/>
        <c:axPos val="b"/>
        <c:title>
          <c:tx>
            <c:rich>
              <a:bodyPr/>
              <a:lstStyle/>
              <a:p>
                <a:pPr>
                  <a:defRPr b="0"/>
                </a:pPr>
                <a:r>
                  <a:rPr lang="en-US" b="0"/>
                  <a:t>Date</a:t>
                </a:r>
              </a:p>
            </c:rich>
          </c:tx>
          <c:layout>
            <c:manualLayout>
              <c:xMode val="edge"/>
              <c:yMode val="edge"/>
              <c:x val="0.51455195535159604"/>
              <c:y val="0.96140794129676599"/>
            </c:manualLayout>
          </c:layout>
          <c:overlay val="0"/>
        </c:title>
        <c:numFmt formatCode="[$-409]d\-mmm\-yy;@" sourceLinked="0"/>
        <c:majorTickMark val="out"/>
        <c:minorTickMark val="none"/>
        <c:tickLblPos val="nextTo"/>
        <c:txPr>
          <a:bodyPr rot="-4320000" vert="horz"/>
          <a:lstStyle/>
          <a:p>
            <a:pPr>
              <a:defRPr/>
            </a:pPr>
            <a:endParaRPr lang="en-US"/>
          </a:p>
        </c:txPr>
        <c:crossAx val="129030400"/>
        <c:crosses val="autoZero"/>
        <c:auto val="1"/>
        <c:lblOffset val="100"/>
        <c:baseTimeUnit val="days"/>
        <c:majorUnit val="1"/>
        <c:majorTimeUnit val="days"/>
        <c:minorUnit val="1"/>
        <c:minorTimeUnit val="days"/>
      </c:dateAx>
      <c:valAx>
        <c:axId val="129030400"/>
        <c:scaling>
          <c:orientation val="minMax"/>
          <c:max val="0.2"/>
        </c:scaling>
        <c:delete val="0"/>
        <c:axPos val="l"/>
        <c:title>
          <c:tx>
            <c:rich>
              <a:bodyPr rot="-5400000" vert="horz"/>
              <a:lstStyle/>
              <a:p>
                <a:pPr>
                  <a:defRPr b="0"/>
                </a:pPr>
                <a:r>
                  <a:rPr lang="en-US" b="0"/>
                  <a:t>Efficiency</a:t>
                </a:r>
              </a:p>
            </c:rich>
          </c:tx>
          <c:layout>
            <c:manualLayout>
              <c:xMode val="edge"/>
              <c:yMode val="edge"/>
              <c:x val="6.9598765538899559E-4"/>
              <c:y val="0.39750644197515317"/>
            </c:manualLayout>
          </c:layout>
          <c:overlay val="0"/>
        </c:title>
        <c:numFmt formatCode="0.000" sourceLinked="0"/>
        <c:majorTickMark val="out"/>
        <c:minorTickMark val="none"/>
        <c:tickLblPos val="nextTo"/>
        <c:txPr>
          <a:bodyPr rot="0" vert="horz"/>
          <a:lstStyle/>
          <a:p>
            <a:pPr>
              <a:defRPr/>
            </a:pPr>
            <a:endParaRPr lang="en-US"/>
          </a:p>
        </c:txPr>
        <c:crossAx val="129028864"/>
        <c:crossesAt val="40909"/>
        <c:crossBetween val="between"/>
      </c:valAx>
      <c:spPr>
        <a:ln>
          <a:noFill/>
        </a:ln>
      </c:spPr>
    </c:plotArea>
    <c:legend>
      <c:legendPos val="r"/>
      <c:layout>
        <c:manualLayout>
          <c:xMode val="edge"/>
          <c:yMode val="edge"/>
          <c:x val="0.11673814554469857"/>
          <c:y val="0.79137398695130323"/>
          <c:w val="0.2842952703982401"/>
          <c:h val="3.8706872479106112E-2"/>
        </c:manualLayout>
      </c:layout>
      <c:overlay val="0"/>
      <c:spPr>
        <a:ln>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Upper Battle Creek winter-run</a:t>
            </a:r>
            <a:r>
              <a:rPr lang="en-US" baseline="0"/>
              <a:t> Chinook </a:t>
            </a:r>
            <a:r>
              <a:rPr lang="en-US"/>
              <a:t>Chinook Salmon Efficiency Trials 2025-2026</a:t>
            </a:r>
          </a:p>
        </c:rich>
      </c:tx>
      <c:layout>
        <c:manualLayout>
          <c:xMode val="edge"/>
          <c:yMode val="edge"/>
          <c:x val="2.5605286645641698E-2"/>
          <c:y val="1.7556171288159679E-2"/>
        </c:manualLayout>
      </c:layout>
      <c:overlay val="0"/>
    </c:title>
    <c:autoTitleDeleted val="0"/>
    <c:plotArea>
      <c:layout>
        <c:manualLayout>
          <c:layoutTarget val="inner"/>
          <c:xMode val="edge"/>
          <c:yMode val="edge"/>
          <c:x val="0.10387540782869614"/>
          <c:y val="2.6417504870839277E-2"/>
          <c:w val="0.88643739905929775"/>
          <c:h val="0.81620556690971569"/>
        </c:manualLayout>
      </c:layout>
      <c:lineChart>
        <c:grouping val="standard"/>
        <c:varyColors val="0"/>
        <c:ser>
          <c:idx val="1"/>
          <c:order val="0"/>
          <c:tx>
            <c:strRef>
              <c:f>'UBC WCS 25-26'!$AC$1</c:f>
              <c:strCache>
                <c:ptCount val="1"/>
                <c:pt idx="0">
                  <c:v>Upper Battle Creek winter-run Chinook Salmon</c:v>
                </c:pt>
              </c:strCache>
            </c:strRef>
          </c:tx>
          <c:spPr>
            <a:ln w="12700">
              <a:solidFill>
                <a:schemeClr val="tx1"/>
              </a:solidFill>
            </a:ln>
          </c:spPr>
          <c:marker>
            <c:symbol val="square"/>
            <c:size val="6"/>
            <c:spPr>
              <a:noFill/>
              <a:ln w="0">
                <a:solidFill>
                  <a:schemeClr val="tx1"/>
                </a:solidFill>
              </a:ln>
            </c:spPr>
          </c:marker>
          <c:cat>
            <c:numRef>
              <c:f>'UBC WCS 25-26'!$C$3:$C$6</c:f>
              <c:numCache>
                <c:formatCode>mm/dd/yy;@</c:formatCode>
                <c:ptCount val="4"/>
                <c:pt idx="0">
                  <c:v>45984</c:v>
                </c:pt>
                <c:pt idx="1">
                  <c:v>45984</c:v>
                </c:pt>
                <c:pt idx="2">
                  <c:v>45988</c:v>
                </c:pt>
                <c:pt idx="3">
                  <c:v>45988</c:v>
                </c:pt>
              </c:numCache>
            </c:numRef>
          </c:cat>
          <c:val>
            <c:numRef>
              <c:f>'UBC WCS 25-26'!$Y$3:$Y$6</c:f>
              <c:numCache>
                <c:formatCode>0.00</c:formatCode>
                <c:ptCount val="4"/>
                <c:pt idx="0">
                  <c:v>0</c:v>
                </c:pt>
                <c:pt idx="1">
                  <c:v>0</c:v>
                </c:pt>
                <c:pt idx="2">
                  <c:v>0</c:v>
                </c:pt>
                <c:pt idx="3">
                  <c:v>0</c:v>
                </c:pt>
              </c:numCache>
            </c:numRef>
          </c:val>
          <c:smooth val="0"/>
          <c:extLst>
            <c:ext xmlns:c16="http://schemas.microsoft.com/office/drawing/2014/chart" uri="{C3380CC4-5D6E-409C-BE32-E72D297353CC}">
              <c16:uniqueId val="{00000000-3BBD-4FD8-BD52-5A527F9EC583}"/>
            </c:ext>
          </c:extLst>
        </c:ser>
        <c:dLbls>
          <c:showLegendKey val="0"/>
          <c:showVal val="0"/>
          <c:showCatName val="0"/>
          <c:showSerName val="0"/>
          <c:showPercent val="0"/>
          <c:showBubbleSize val="0"/>
        </c:dLbls>
        <c:marker val="1"/>
        <c:smooth val="0"/>
        <c:axId val="129028864"/>
        <c:axId val="129030400"/>
      </c:lineChart>
      <c:dateAx>
        <c:axId val="129028864"/>
        <c:scaling>
          <c:orientation val="minMax"/>
        </c:scaling>
        <c:delete val="0"/>
        <c:axPos val="b"/>
        <c:title>
          <c:tx>
            <c:rich>
              <a:bodyPr/>
              <a:lstStyle/>
              <a:p>
                <a:pPr>
                  <a:defRPr b="0"/>
                </a:pPr>
                <a:r>
                  <a:rPr lang="en-US" b="0"/>
                  <a:t>Date</a:t>
                </a:r>
              </a:p>
            </c:rich>
          </c:tx>
          <c:layout>
            <c:manualLayout>
              <c:xMode val="edge"/>
              <c:yMode val="edge"/>
              <c:x val="0.51455195535159604"/>
              <c:y val="0.96140794129676599"/>
            </c:manualLayout>
          </c:layout>
          <c:overlay val="0"/>
        </c:title>
        <c:numFmt formatCode="[$-409]d\-mmm\-yy;@" sourceLinked="0"/>
        <c:majorTickMark val="out"/>
        <c:minorTickMark val="none"/>
        <c:tickLblPos val="nextTo"/>
        <c:txPr>
          <a:bodyPr rot="-4320000" vert="horz"/>
          <a:lstStyle/>
          <a:p>
            <a:pPr>
              <a:defRPr/>
            </a:pPr>
            <a:endParaRPr lang="en-US"/>
          </a:p>
        </c:txPr>
        <c:crossAx val="129030400"/>
        <c:crosses val="autoZero"/>
        <c:auto val="1"/>
        <c:lblOffset val="100"/>
        <c:baseTimeUnit val="days"/>
        <c:majorUnit val="1"/>
        <c:majorTimeUnit val="days"/>
        <c:minorUnit val="1"/>
        <c:minorTimeUnit val="days"/>
      </c:dateAx>
      <c:valAx>
        <c:axId val="129030400"/>
        <c:scaling>
          <c:orientation val="minMax"/>
          <c:max val="0.2"/>
        </c:scaling>
        <c:delete val="0"/>
        <c:axPos val="l"/>
        <c:title>
          <c:tx>
            <c:rich>
              <a:bodyPr rot="-5400000" vert="horz"/>
              <a:lstStyle/>
              <a:p>
                <a:pPr>
                  <a:defRPr b="0"/>
                </a:pPr>
                <a:r>
                  <a:rPr lang="en-US" b="0"/>
                  <a:t>Efficiency</a:t>
                </a:r>
              </a:p>
            </c:rich>
          </c:tx>
          <c:layout>
            <c:manualLayout>
              <c:xMode val="edge"/>
              <c:yMode val="edge"/>
              <c:x val="6.9598765538899559E-4"/>
              <c:y val="0.39750644197515317"/>
            </c:manualLayout>
          </c:layout>
          <c:overlay val="0"/>
        </c:title>
        <c:numFmt formatCode="0.000" sourceLinked="0"/>
        <c:majorTickMark val="out"/>
        <c:minorTickMark val="none"/>
        <c:tickLblPos val="nextTo"/>
        <c:txPr>
          <a:bodyPr rot="0" vert="horz"/>
          <a:lstStyle/>
          <a:p>
            <a:pPr>
              <a:defRPr/>
            </a:pPr>
            <a:endParaRPr lang="en-US"/>
          </a:p>
        </c:txPr>
        <c:crossAx val="129028864"/>
        <c:crossesAt val="40909"/>
        <c:crossBetween val="between"/>
      </c:valAx>
      <c:spPr>
        <a:ln>
          <a:noFill/>
        </a:ln>
      </c:spPr>
    </c:plotArea>
    <c:legend>
      <c:legendPos val="r"/>
      <c:layout>
        <c:manualLayout>
          <c:xMode val="edge"/>
          <c:yMode val="edge"/>
          <c:x val="0.11673814554469857"/>
          <c:y val="0.79137398695130323"/>
          <c:w val="0.2842952703982401"/>
          <c:h val="3.8706872479106112E-2"/>
        </c:manualLayout>
      </c:layout>
      <c:overlay val="0"/>
      <c:spPr>
        <a:ln>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Upper Battle Creek Rainbow Trout/steelhead Efficiency Trials 2025-2026</a:t>
            </a:r>
          </a:p>
        </c:rich>
      </c:tx>
      <c:layout>
        <c:manualLayout>
          <c:xMode val="edge"/>
          <c:yMode val="edge"/>
          <c:x val="8.2735330681797989E-2"/>
          <c:y val="1.399551303947369E-3"/>
        </c:manualLayout>
      </c:layout>
      <c:overlay val="0"/>
    </c:title>
    <c:autoTitleDeleted val="0"/>
    <c:plotArea>
      <c:layout>
        <c:manualLayout>
          <c:layoutTarget val="inner"/>
          <c:xMode val="edge"/>
          <c:yMode val="edge"/>
          <c:x val="0.10094566198068813"/>
          <c:y val="7.8926519819529292E-2"/>
          <c:w val="0.84835070303519355"/>
          <c:h val="0.72532457949852136"/>
        </c:manualLayout>
      </c:layout>
      <c:lineChart>
        <c:grouping val="standard"/>
        <c:varyColors val="0"/>
        <c:ser>
          <c:idx val="1"/>
          <c:order val="0"/>
          <c:tx>
            <c:strRef>
              <c:f>'UBC RBT 25-26'!$AC$1</c:f>
              <c:strCache>
                <c:ptCount val="1"/>
              </c:strCache>
            </c:strRef>
          </c:tx>
          <c:spPr>
            <a:ln w="12700">
              <a:solidFill>
                <a:schemeClr val="tx1"/>
              </a:solidFill>
              <a:prstDash val="lgDash"/>
            </a:ln>
          </c:spPr>
          <c:marker>
            <c:symbol val="triangle"/>
            <c:size val="6"/>
            <c:spPr>
              <a:solidFill>
                <a:schemeClr val="bg1"/>
              </a:solidFill>
              <a:ln w="0">
                <a:solidFill>
                  <a:schemeClr val="tx1"/>
                </a:solidFill>
              </a:ln>
            </c:spPr>
          </c:marker>
          <c:cat>
            <c:numRef>
              <c:f>'UBC RBT 25-26'!$C$3:$C$9</c:f>
              <c:numCache>
                <c:formatCode>mm/dd/yy;@</c:formatCode>
                <c:ptCount val="7"/>
              </c:numCache>
            </c:numRef>
          </c:cat>
          <c:val>
            <c:numRef>
              <c:f>'UBC RBT 25-26'!$AA$3:$AA$9</c:f>
              <c:numCache>
                <c:formatCode>#,##0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A14A-467D-A339-2218EAE2AED9}"/>
            </c:ext>
          </c:extLst>
        </c:ser>
        <c:dLbls>
          <c:showLegendKey val="0"/>
          <c:showVal val="0"/>
          <c:showCatName val="0"/>
          <c:showSerName val="0"/>
          <c:showPercent val="0"/>
          <c:showBubbleSize val="0"/>
        </c:dLbls>
        <c:marker val="1"/>
        <c:smooth val="0"/>
        <c:axId val="129260544"/>
        <c:axId val="129295488"/>
      </c:lineChart>
      <c:dateAx>
        <c:axId val="129260544"/>
        <c:scaling>
          <c:orientation val="minMax"/>
        </c:scaling>
        <c:delete val="0"/>
        <c:axPos val="b"/>
        <c:title>
          <c:tx>
            <c:rich>
              <a:bodyPr/>
              <a:lstStyle/>
              <a:p>
                <a:pPr>
                  <a:defRPr b="0"/>
                </a:pPr>
                <a:r>
                  <a:rPr lang="en-US" b="0"/>
                  <a:t>Date</a:t>
                </a:r>
              </a:p>
            </c:rich>
          </c:tx>
          <c:layout>
            <c:manualLayout>
              <c:xMode val="edge"/>
              <c:yMode val="edge"/>
              <c:x val="0.50063566257355796"/>
              <c:y val="0.96138615530328331"/>
            </c:manualLayout>
          </c:layout>
          <c:overlay val="0"/>
        </c:title>
        <c:numFmt formatCode="[$-409]d\-mmm\-yy;@" sourceLinked="0"/>
        <c:majorTickMark val="out"/>
        <c:minorTickMark val="none"/>
        <c:tickLblPos val="nextTo"/>
        <c:txPr>
          <a:bodyPr rot="-4320000" vert="horz"/>
          <a:lstStyle/>
          <a:p>
            <a:pPr>
              <a:defRPr/>
            </a:pPr>
            <a:endParaRPr lang="en-US"/>
          </a:p>
        </c:txPr>
        <c:crossAx val="129295488"/>
        <c:crosses val="autoZero"/>
        <c:auto val="1"/>
        <c:lblOffset val="100"/>
        <c:baseTimeUnit val="days"/>
        <c:minorUnit val="1"/>
        <c:minorTimeUnit val="days"/>
      </c:dateAx>
      <c:valAx>
        <c:axId val="129295488"/>
        <c:scaling>
          <c:orientation val="minMax"/>
        </c:scaling>
        <c:delete val="0"/>
        <c:axPos val="l"/>
        <c:title>
          <c:tx>
            <c:rich>
              <a:bodyPr rot="-5400000" vert="horz"/>
              <a:lstStyle/>
              <a:p>
                <a:pPr>
                  <a:defRPr b="0"/>
                </a:pPr>
                <a:r>
                  <a:rPr lang="en-US" b="0"/>
                  <a:t>Efficiency</a:t>
                </a:r>
              </a:p>
            </c:rich>
          </c:tx>
          <c:layout>
            <c:manualLayout>
              <c:xMode val="edge"/>
              <c:yMode val="edge"/>
              <c:x val="6.9598765538899049E-4"/>
              <c:y val="0.38740855448502048"/>
            </c:manualLayout>
          </c:layout>
          <c:overlay val="0"/>
        </c:title>
        <c:numFmt formatCode="0.000" sourceLinked="0"/>
        <c:majorTickMark val="out"/>
        <c:minorTickMark val="none"/>
        <c:tickLblPos val="nextTo"/>
        <c:txPr>
          <a:bodyPr rot="0" vert="horz"/>
          <a:lstStyle/>
          <a:p>
            <a:pPr>
              <a:defRPr/>
            </a:pPr>
            <a:endParaRPr lang="en-US"/>
          </a:p>
        </c:txPr>
        <c:crossAx val="129260544"/>
        <c:crossesAt val="40909"/>
        <c:crossBetween val="between"/>
      </c:valAx>
      <c:spPr>
        <a:ln>
          <a:noFill/>
        </a:ln>
      </c:spPr>
    </c:plotArea>
    <c:legend>
      <c:legendPos val="r"/>
      <c:layout>
        <c:manualLayout>
          <c:xMode val="edge"/>
          <c:yMode val="edge"/>
          <c:x val="0.10794890800067455"/>
          <c:y val="0.7550215919868255"/>
          <c:w val="0.37365251876248456"/>
          <c:h val="3.8706872479106112E-2"/>
        </c:manualLayout>
      </c:layout>
      <c:overlay val="0"/>
      <c:spPr>
        <a:ln>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Upper Battle Creek 2024-2025 Efficiency Trials
</a:t>
            </a:r>
          </a:p>
        </c:rich>
      </c:tx>
      <c:overlay val="0"/>
    </c:title>
    <c:autoTitleDeleted val="0"/>
    <c:plotArea>
      <c:layout>
        <c:manualLayout>
          <c:layoutTarget val="inner"/>
          <c:xMode val="edge"/>
          <c:yMode val="edge"/>
          <c:x val="7.6581925818350521E-2"/>
          <c:y val="7.57274425836304E-2"/>
          <c:w val="0.85112860892388453"/>
          <c:h val="0.69573503850925578"/>
        </c:manualLayout>
      </c:layout>
      <c:scatterChart>
        <c:scatterStyle val="lineMarker"/>
        <c:varyColors val="0"/>
        <c:ser>
          <c:idx val="0"/>
          <c:order val="0"/>
          <c:tx>
            <c:strRef>
              <c:f>'UBC Tables &amp; Figures '!$AD$1</c:f>
              <c:strCache>
                <c:ptCount val="1"/>
                <c:pt idx="0">
                  <c:v>Lower clip</c:v>
                </c:pt>
              </c:strCache>
            </c:strRef>
          </c:tx>
          <c:spPr>
            <a:ln>
              <a:noFill/>
            </a:ln>
          </c:spPr>
          <c:marker>
            <c:symbol val="triangle"/>
            <c:size val="6"/>
            <c:spPr>
              <a:solidFill>
                <a:schemeClr val="bg1"/>
              </a:solidFill>
              <a:ln w="0">
                <a:solidFill>
                  <a:schemeClr val="tx1"/>
                </a:solidFill>
              </a:ln>
            </c:spPr>
          </c:marker>
          <c:xVal>
            <c:numRef>
              <c:f>'UBC Tables &amp; Figures '!$AB$2:$AB$5</c:f>
              <c:numCache>
                <c:formatCode>mm/dd/yy;@</c:formatCode>
                <c:ptCount val="4"/>
                <c:pt idx="0">
                  <c:v>45980</c:v>
                </c:pt>
                <c:pt idx="1">
                  <c:v>45995</c:v>
                </c:pt>
                <c:pt idx="2">
                  <c:v>46001</c:v>
                </c:pt>
                <c:pt idx="3">
                  <c:v>46037</c:v>
                </c:pt>
              </c:numCache>
            </c:numRef>
          </c:xVal>
          <c:yVal>
            <c:numRef>
              <c:f>'UBC Tables &amp; Figures '!$AD$2:$AD$5</c:f>
              <c:numCache>
                <c:formatCode>General</c:formatCode>
                <c:ptCount val="4"/>
              </c:numCache>
            </c:numRef>
          </c:yVal>
          <c:smooth val="0"/>
          <c:extLst>
            <c:ext xmlns:c16="http://schemas.microsoft.com/office/drawing/2014/chart" uri="{C3380CC4-5D6E-409C-BE32-E72D297353CC}">
              <c16:uniqueId val="{00000000-FCEB-4283-9438-F2BB7521FA8C}"/>
            </c:ext>
          </c:extLst>
        </c:ser>
        <c:ser>
          <c:idx val="1"/>
          <c:order val="1"/>
          <c:tx>
            <c:strRef>
              <c:f>'UBC Tables &amp; Figures '!$AC$1</c:f>
              <c:strCache>
                <c:ptCount val="1"/>
                <c:pt idx="0">
                  <c:v>Upper clip</c:v>
                </c:pt>
              </c:strCache>
            </c:strRef>
          </c:tx>
          <c:spPr>
            <a:ln w="19050">
              <a:noFill/>
            </a:ln>
          </c:spPr>
          <c:marker>
            <c:symbol val="square"/>
            <c:size val="6"/>
            <c:spPr>
              <a:solidFill>
                <a:schemeClr val="bg1"/>
              </a:solidFill>
              <a:ln w="0">
                <a:solidFill>
                  <a:schemeClr val="tx1"/>
                </a:solidFill>
              </a:ln>
            </c:spPr>
          </c:marker>
          <c:xVal>
            <c:numRef>
              <c:f>'UBC Tables &amp; Figures '!$AB$2:$AB$5</c:f>
              <c:numCache>
                <c:formatCode>mm/dd/yy;@</c:formatCode>
                <c:ptCount val="4"/>
                <c:pt idx="0">
                  <c:v>45980</c:v>
                </c:pt>
                <c:pt idx="1">
                  <c:v>45995</c:v>
                </c:pt>
                <c:pt idx="2">
                  <c:v>46001</c:v>
                </c:pt>
                <c:pt idx="3">
                  <c:v>46037</c:v>
                </c:pt>
              </c:numCache>
            </c:numRef>
          </c:xVal>
          <c:yVal>
            <c:numRef>
              <c:f>'UBC Tables &amp; Figures '!$AC$1:$AC$5</c:f>
              <c:numCache>
                <c:formatCode>General</c:formatCode>
                <c:ptCount val="5"/>
                <c:pt idx="0">
                  <c:v>0</c:v>
                </c:pt>
              </c:numCache>
            </c:numRef>
          </c:yVal>
          <c:smooth val="0"/>
          <c:extLst>
            <c:ext xmlns:c16="http://schemas.microsoft.com/office/drawing/2014/chart" uri="{C3380CC4-5D6E-409C-BE32-E72D297353CC}">
              <c16:uniqueId val="{00000001-FCEB-4283-9438-F2BB7521FA8C}"/>
            </c:ext>
          </c:extLst>
        </c:ser>
        <c:ser>
          <c:idx val="6"/>
          <c:order val="2"/>
          <c:tx>
            <c:strRef>
              <c:f>'UBC Tables &amp; Figures '!$AE$1</c:f>
              <c:strCache>
                <c:ptCount val="1"/>
                <c:pt idx="0">
                  <c:v>No clip</c:v>
                </c:pt>
              </c:strCache>
            </c:strRef>
          </c:tx>
          <c:spPr>
            <a:ln w="19050">
              <a:noFill/>
            </a:ln>
          </c:spPr>
          <c:marker>
            <c:symbol val="diamond"/>
            <c:size val="6"/>
            <c:spPr>
              <a:solidFill>
                <a:schemeClr val="bg1"/>
              </a:solidFill>
              <a:ln w="0">
                <a:solidFill>
                  <a:schemeClr val="tx1"/>
                </a:solidFill>
              </a:ln>
            </c:spPr>
          </c:marker>
          <c:xVal>
            <c:numRef>
              <c:f>'UBC Tables &amp; Figures '!$AB$2:$AB$5</c:f>
              <c:numCache>
                <c:formatCode>mm/dd/yy;@</c:formatCode>
                <c:ptCount val="4"/>
                <c:pt idx="0">
                  <c:v>45980</c:v>
                </c:pt>
                <c:pt idx="1">
                  <c:v>45995</c:v>
                </c:pt>
                <c:pt idx="2">
                  <c:v>46001</c:v>
                </c:pt>
                <c:pt idx="3">
                  <c:v>46037</c:v>
                </c:pt>
              </c:numCache>
            </c:numRef>
          </c:xVal>
          <c:yVal>
            <c:numRef>
              <c:f>'UBC Tables &amp; Figures '!$AE$2:$AE$5</c:f>
              <c:numCache>
                <c:formatCode>0.0000</c:formatCode>
                <c:ptCount val="4"/>
              </c:numCache>
            </c:numRef>
          </c:yVal>
          <c:smooth val="0"/>
          <c:extLst>
            <c:ext xmlns:c16="http://schemas.microsoft.com/office/drawing/2014/chart" uri="{C3380CC4-5D6E-409C-BE32-E72D297353CC}">
              <c16:uniqueId val="{00000002-FCEB-4283-9438-F2BB7521FA8C}"/>
            </c:ext>
          </c:extLst>
        </c:ser>
        <c:ser>
          <c:idx val="2"/>
          <c:order val="3"/>
          <c:tx>
            <c:strRef>
              <c:f>'UBC Tables &amp; Figures '!$AF$1</c:f>
              <c:strCache>
                <c:ptCount val="1"/>
                <c:pt idx="0">
                  <c:v>Trial efficiency</c:v>
                </c:pt>
              </c:strCache>
            </c:strRef>
          </c:tx>
          <c:spPr>
            <a:ln w="25400">
              <a:noFill/>
            </a:ln>
          </c:spPr>
          <c:marker>
            <c:spPr>
              <a:solidFill>
                <a:srgbClr val="FF00FF"/>
              </a:solidFill>
            </c:spPr>
          </c:marker>
          <c:xVal>
            <c:numRef>
              <c:f>'UBC Tables &amp; Figures '!$W$2:$W$57</c:f>
              <c:numCache>
                <c:formatCode>mm/dd/yy;@</c:formatCode>
                <c:ptCount val="56"/>
                <c:pt idx="0">
                  <c:v>45980</c:v>
                </c:pt>
                <c:pt idx="1">
                  <c:v>45995</c:v>
                </c:pt>
                <c:pt idx="2">
                  <c:v>46001</c:v>
                </c:pt>
                <c:pt idx="3">
                  <c:v>46037</c:v>
                </c:pt>
                <c:pt idx="4">
                  <c:v>46037</c:v>
                </c:pt>
                <c:pt idx="5">
                  <c:v>46041</c:v>
                </c:pt>
                <c:pt idx="6">
                  <c:v>46041</c:v>
                </c:pt>
                <c:pt idx="7">
                  <c:v>46044</c:v>
                </c:pt>
                <c:pt idx="8">
                  <c:v>46044</c:v>
                </c:pt>
                <c:pt idx="9">
                  <c:v>46048</c:v>
                </c:pt>
                <c:pt idx="10">
                  <c:v>46048</c:v>
                </c:pt>
                <c:pt idx="11">
                  <c:v>46051</c:v>
                </c:pt>
                <c:pt idx="12">
                  <c:v>46051</c:v>
                </c:pt>
                <c:pt idx="13">
                  <c:v>46055</c:v>
                </c:pt>
                <c:pt idx="14">
                  <c:v>46055</c:v>
                </c:pt>
                <c:pt idx="15">
                  <c:v>46058</c:v>
                </c:pt>
                <c:pt idx="16">
                  <c:v>46058</c:v>
                </c:pt>
                <c:pt idx="17">
                  <c:v>46062</c:v>
                </c:pt>
                <c:pt idx="18">
                  <c:v>46062</c:v>
                </c:pt>
                <c:pt idx="19">
                  <c:v>46065</c:v>
                </c:pt>
                <c:pt idx="20">
                  <c:v>46065</c:v>
                </c:pt>
                <c:pt idx="21">
                  <c:v>46086</c:v>
                </c:pt>
                <c:pt idx="22">
                  <c:v>46086</c:v>
                </c:pt>
                <c:pt idx="23">
                  <c:v>46091</c:v>
                </c:pt>
                <c:pt idx="24">
                  <c:v>46091</c:v>
                </c:pt>
                <c:pt idx="25">
                  <c:v>46094</c:v>
                </c:pt>
                <c:pt idx="26">
                  <c:v>46094</c:v>
                </c:pt>
                <c:pt idx="27">
                  <c:v>46098</c:v>
                </c:pt>
                <c:pt idx="28">
                  <c:v>46098</c:v>
                </c:pt>
                <c:pt idx="29">
                  <c:v>46101</c:v>
                </c:pt>
                <c:pt idx="30">
                  <c:v>46101</c:v>
                </c:pt>
                <c:pt idx="31">
                  <c:v>46108</c:v>
                </c:pt>
                <c:pt idx="32">
                  <c:v>46108</c:v>
                </c:pt>
                <c:pt idx="33">
                  <c:v>46112</c:v>
                </c:pt>
                <c:pt idx="34">
                  <c:v>46112</c:v>
                </c:pt>
                <c:pt idx="35">
                  <c:v>46115</c:v>
                </c:pt>
                <c:pt idx="36">
                  <c:v>46115</c:v>
                </c:pt>
                <c:pt idx="37">
                  <c:v>46119</c:v>
                </c:pt>
                <c:pt idx="38">
                  <c:v>46133</c:v>
                </c:pt>
                <c:pt idx="39">
                  <c:v>46169</c:v>
                </c:pt>
                <c:pt idx="40">
                  <c:v>46169</c:v>
                </c:pt>
                <c:pt idx="41">
                  <c:v>46177</c:v>
                </c:pt>
                <c:pt idx="42">
                  <c:v>46177</c:v>
                </c:pt>
              </c:numCache>
            </c:numRef>
          </c:xVal>
          <c:yVal>
            <c:numRef>
              <c:f>'UBC Tables &amp; Figures '!$AF$2:$AF$45</c:f>
              <c:numCache>
                <c:formatCode>0.0000</c:formatCode>
                <c:ptCount val="44"/>
                <c:pt idx="0">
                  <c:v>2.8469750889679714E-2</c:v>
                </c:pt>
                <c:pt idx="1">
                  <c:v>7.7821011673151752E-3</c:v>
                </c:pt>
                <c:pt idx="2">
                  <c:v>1.9607843137254902E-2</c:v>
                </c:pt>
                <c:pt idx="3">
                  <c:v>4.1666666666666664E-2</c:v>
                </c:pt>
                <c:pt idx="4">
                  <c:v>4.3137254901960784E-2</c:v>
                </c:pt>
                <c:pt idx="5">
                  <c:v>5.5555555555555552E-2</c:v>
                </c:pt>
                <c:pt idx="6">
                  <c:v>7.3643410852713184E-2</c:v>
                </c:pt>
                <c:pt idx="7">
                  <c:v>9.7378277153558054E-2</c:v>
                </c:pt>
                <c:pt idx="8">
                  <c:v>0.10460251046025104</c:v>
                </c:pt>
                <c:pt idx="9">
                  <c:v>8.461538461538462E-2</c:v>
                </c:pt>
                <c:pt idx="10">
                  <c:v>7.9497907949790794E-2</c:v>
                </c:pt>
                <c:pt idx="11">
                  <c:v>8.4870848708487087E-2</c:v>
                </c:pt>
                <c:pt idx="12">
                  <c:v>6.4625850340136057E-2</c:v>
                </c:pt>
                <c:pt idx="13">
                  <c:v>0.10612244897959183</c:v>
                </c:pt>
                <c:pt idx="14">
                  <c:v>9.4117647058823528E-2</c:v>
                </c:pt>
                <c:pt idx="15">
                  <c:v>3.2258064516129031E-2</c:v>
                </c:pt>
                <c:pt idx="16">
                  <c:v>2.9850746268656716E-2</c:v>
                </c:pt>
                <c:pt idx="17">
                  <c:v>6.3241106719367585E-2</c:v>
                </c:pt>
                <c:pt idx="18">
                  <c:v>5.5776892430278883E-2</c:v>
                </c:pt>
                <c:pt idx="19">
                  <c:v>4.2338709677419352E-2</c:v>
                </c:pt>
                <c:pt idx="20">
                  <c:v>3.5714285714285712E-2</c:v>
                </c:pt>
                <c:pt idx="21">
                  <c:v>0.10714285714285714</c:v>
                </c:pt>
                <c:pt idx="22">
                  <c:v>7.874015748031496E-2</c:v>
                </c:pt>
                <c:pt idx="23">
                  <c:v>0.10566037735849057</c:v>
                </c:pt>
                <c:pt idx="24">
                  <c:v>0.10714285714285714</c:v>
                </c:pt>
                <c:pt idx="25">
                  <c:v>6.8965517241379309E-2</c:v>
                </c:pt>
                <c:pt idx="26">
                  <c:v>0.15126050420168066</c:v>
                </c:pt>
                <c:pt idx="27">
                  <c:v>0.21455938697318008</c:v>
                </c:pt>
                <c:pt idx="28">
                  <c:v>0.12449799196787148</c:v>
                </c:pt>
                <c:pt idx="29">
                  <c:v>0.124</c:v>
                </c:pt>
                <c:pt idx="30">
                  <c:v>0.11666666666666667</c:v>
                </c:pt>
                <c:pt idx="31">
                  <c:v>0.11462450592885376</c:v>
                </c:pt>
                <c:pt idx="32">
                  <c:v>0.10358565737051793</c:v>
                </c:pt>
                <c:pt idx="33">
                  <c:v>0.13821138211382114</c:v>
                </c:pt>
                <c:pt idx="34">
                  <c:v>0.11627906976744186</c:v>
                </c:pt>
                <c:pt idx="35">
                  <c:v>0.108</c:v>
                </c:pt>
                <c:pt idx="36">
                  <c:v>0.12698412698412698</c:v>
                </c:pt>
                <c:pt idx="37">
                  <c:v>0.12943632567849686</c:v>
                </c:pt>
                <c:pt idx="38">
                  <c:v>3.0737704918032786E-2</c:v>
                </c:pt>
                <c:pt idx="39">
                  <c:v>0.18844984802431611</c:v>
                </c:pt>
                <c:pt idx="40">
                  <c:v>0.15102040816326531</c:v>
                </c:pt>
                <c:pt idx="41">
                  <c:v>6.0185185185185182E-2</c:v>
                </c:pt>
                <c:pt idx="42">
                  <c:v>7.4889867841409691E-2</c:v>
                </c:pt>
              </c:numCache>
            </c:numRef>
          </c:yVal>
          <c:smooth val="0"/>
          <c:extLst>
            <c:ext xmlns:c16="http://schemas.microsoft.com/office/drawing/2014/chart" uri="{C3380CC4-5D6E-409C-BE32-E72D297353CC}">
              <c16:uniqueId val="{00000003-FCEB-4283-9438-F2BB7521FA8C}"/>
            </c:ext>
          </c:extLst>
        </c:ser>
        <c:ser>
          <c:idx val="3"/>
          <c:order val="4"/>
          <c:tx>
            <c:strRef>
              <c:f>'UBC Tables &amp; Figures '!$X$1</c:f>
              <c:strCache>
                <c:ptCount val="1"/>
                <c:pt idx="0">
                  <c:v>Season average</c:v>
                </c:pt>
              </c:strCache>
            </c:strRef>
          </c:tx>
          <c:spPr>
            <a:ln w="9525">
              <a:solidFill>
                <a:schemeClr val="tx1"/>
              </a:solidFill>
              <a:prstDash val="dash"/>
            </a:ln>
          </c:spPr>
          <c:marker>
            <c:symbol val="none"/>
          </c:marker>
          <c:xVal>
            <c:numRef>
              <c:f>'UBC Tables &amp; Figures '!$W$2:$W$94</c:f>
              <c:numCache>
                <c:formatCode>mm/dd/yy;@</c:formatCode>
                <c:ptCount val="93"/>
                <c:pt idx="0">
                  <c:v>45980</c:v>
                </c:pt>
                <c:pt idx="1">
                  <c:v>45995</c:v>
                </c:pt>
                <c:pt idx="2">
                  <c:v>46001</c:v>
                </c:pt>
                <c:pt idx="3">
                  <c:v>46037</c:v>
                </c:pt>
                <c:pt idx="4">
                  <c:v>46037</c:v>
                </c:pt>
                <c:pt idx="5">
                  <c:v>46041</c:v>
                </c:pt>
                <c:pt idx="6">
                  <c:v>46041</c:v>
                </c:pt>
                <c:pt idx="7">
                  <c:v>46044</c:v>
                </c:pt>
                <c:pt idx="8">
                  <c:v>46044</c:v>
                </c:pt>
                <c:pt idx="9">
                  <c:v>46048</c:v>
                </c:pt>
                <c:pt idx="10">
                  <c:v>46048</c:v>
                </c:pt>
                <c:pt idx="11">
                  <c:v>46051</c:v>
                </c:pt>
                <c:pt idx="12">
                  <c:v>46051</c:v>
                </c:pt>
                <c:pt idx="13">
                  <c:v>46055</c:v>
                </c:pt>
                <c:pt idx="14">
                  <c:v>46055</c:v>
                </c:pt>
                <c:pt idx="15">
                  <c:v>46058</c:v>
                </c:pt>
                <c:pt idx="16">
                  <c:v>46058</c:v>
                </c:pt>
                <c:pt idx="17">
                  <c:v>46062</c:v>
                </c:pt>
                <c:pt idx="18">
                  <c:v>46062</c:v>
                </c:pt>
                <c:pt idx="19">
                  <c:v>46065</c:v>
                </c:pt>
                <c:pt idx="20">
                  <c:v>46065</c:v>
                </c:pt>
                <c:pt idx="21">
                  <c:v>46086</c:v>
                </c:pt>
                <c:pt idx="22">
                  <c:v>46086</c:v>
                </c:pt>
                <c:pt idx="23">
                  <c:v>46091</c:v>
                </c:pt>
                <c:pt idx="24">
                  <c:v>46091</c:v>
                </c:pt>
                <c:pt idx="25">
                  <c:v>46094</c:v>
                </c:pt>
                <c:pt idx="26">
                  <c:v>46094</c:v>
                </c:pt>
                <c:pt idx="27">
                  <c:v>46098</c:v>
                </c:pt>
                <c:pt idx="28">
                  <c:v>46098</c:v>
                </c:pt>
                <c:pt idx="29">
                  <c:v>46101</c:v>
                </c:pt>
                <c:pt idx="30">
                  <c:v>46101</c:v>
                </c:pt>
                <c:pt idx="31">
                  <c:v>46108</c:v>
                </c:pt>
                <c:pt idx="32">
                  <c:v>46108</c:v>
                </c:pt>
                <c:pt idx="33">
                  <c:v>46112</c:v>
                </c:pt>
                <c:pt idx="34">
                  <c:v>46112</c:v>
                </c:pt>
                <c:pt idx="35">
                  <c:v>46115</c:v>
                </c:pt>
                <c:pt idx="36">
                  <c:v>46115</c:v>
                </c:pt>
                <c:pt idx="37">
                  <c:v>46119</c:v>
                </c:pt>
                <c:pt idx="38">
                  <c:v>46133</c:v>
                </c:pt>
                <c:pt idx="39">
                  <c:v>46169</c:v>
                </c:pt>
                <c:pt idx="40">
                  <c:v>46169</c:v>
                </c:pt>
                <c:pt idx="41">
                  <c:v>46177</c:v>
                </c:pt>
                <c:pt idx="42">
                  <c:v>46177</c:v>
                </c:pt>
              </c:numCache>
            </c:numRef>
          </c:xVal>
          <c:yVal>
            <c:numRef>
              <c:f>'UBC Tables &amp; Figures '!$X$2:$X$94</c:f>
              <c:numCache>
                <c:formatCode>0.0000</c:formatCode>
                <c:ptCount val="93"/>
                <c:pt idx="0">
                  <c:v>8.8044503765443524E-2</c:v>
                </c:pt>
                <c:pt idx="1">
                  <c:v>8.8044503765443524E-2</c:v>
                </c:pt>
                <c:pt idx="2">
                  <c:v>8.8044503765443524E-2</c:v>
                </c:pt>
                <c:pt idx="3">
                  <c:v>8.8044503765443524E-2</c:v>
                </c:pt>
                <c:pt idx="4">
                  <c:v>8.8044503765443524E-2</c:v>
                </c:pt>
                <c:pt idx="5">
                  <c:v>8.8044503765443524E-2</c:v>
                </c:pt>
                <c:pt idx="6">
                  <c:v>8.8044503765443524E-2</c:v>
                </c:pt>
                <c:pt idx="7">
                  <c:v>8.8044503765443524E-2</c:v>
                </c:pt>
                <c:pt idx="8">
                  <c:v>8.8044503765443524E-2</c:v>
                </c:pt>
                <c:pt idx="9">
                  <c:v>8.8044503765443524E-2</c:v>
                </c:pt>
                <c:pt idx="10">
                  <c:v>8.8044503765443524E-2</c:v>
                </c:pt>
                <c:pt idx="11">
                  <c:v>8.8044503765443524E-2</c:v>
                </c:pt>
                <c:pt idx="12">
                  <c:v>8.8044503765443524E-2</c:v>
                </c:pt>
                <c:pt idx="13">
                  <c:v>8.8044503765443524E-2</c:v>
                </c:pt>
                <c:pt idx="14">
                  <c:v>8.8044503765443524E-2</c:v>
                </c:pt>
                <c:pt idx="15">
                  <c:v>8.8044503765443524E-2</c:v>
                </c:pt>
                <c:pt idx="16">
                  <c:v>8.8044503765443524E-2</c:v>
                </c:pt>
                <c:pt idx="17">
                  <c:v>8.8044503765443524E-2</c:v>
                </c:pt>
                <c:pt idx="18">
                  <c:v>8.8044503765443524E-2</c:v>
                </c:pt>
                <c:pt idx="19">
                  <c:v>8.8044503765443524E-2</c:v>
                </c:pt>
                <c:pt idx="20">
                  <c:v>8.8044503765443524E-2</c:v>
                </c:pt>
                <c:pt idx="21">
                  <c:v>8.8044503765443524E-2</c:v>
                </c:pt>
                <c:pt idx="22">
                  <c:v>8.8044503765443524E-2</c:v>
                </c:pt>
                <c:pt idx="23">
                  <c:v>8.8044503765443524E-2</c:v>
                </c:pt>
                <c:pt idx="24">
                  <c:v>8.8044503765443524E-2</c:v>
                </c:pt>
                <c:pt idx="25">
                  <c:v>8.8044503765443524E-2</c:v>
                </c:pt>
                <c:pt idx="26">
                  <c:v>8.8044503765443524E-2</c:v>
                </c:pt>
                <c:pt idx="27">
                  <c:v>8.8044503765443524E-2</c:v>
                </c:pt>
                <c:pt idx="28">
                  <c:v>8.8044503765443524E-2</c:v>
                </c:pt>
                <c:pt idx="29">
                  <c:v>8.8044503765443524E-2</c:v>
                </c:pt>
                <c:pt idx="30">
                  <c:v>8.8044503765443524E-2</c:v>
                </c:pt>
                <c:pt idx="31">
                  <c:v>8.8044503765443524E-2</c:v>
                </c:pt>
                <c:pt idx="32">
                  <c:v>8.8044503765443524E-2</c:v>
                </c:pt>
                <c:pt idx="33">
                  <c:v>8.8044503765443524E-2</c:v>
                </c:pt>
                <c:pt idx="34">
                  <c:v>8.8044503765443524E-2</c:v>
                </c:pt>
                <c:pt idx="35">
                  <c:v>8.8044503765443524E-2</c:v>
                </c:pt>
                <c:pt idx="36">
                  <c:v>8.8044503765443524E-2</c:v>
                </c:pt>
                <c:pt idx="37">
                  <c:v>8.8044503765443524E-2</c:v>
                </c:pt>
                <c:pt idx="38">
                  <c:v>8.8044503765443524E-2</c:v>
                </c:pt>
                <c:pt idx="39">
                  <c:v>8.8044503765443524E-2</c:v>
                </c:pt>
                <c:pt idx="40">
                  <c:v>8.8044503765443524E-2</c:v>
                </c:pt>
                <c:pt idx="41">
                  <c:v>8.8044503765443524E-2</c:v>
                </c:pt>
                <c:pt idx="42">
                  <c:v>8.8044503765443524E-2</c:v>
                </c:pt>
                <c:pt idx="43">
                  <c:v>8.8044503765443524E-2</c:v>
                </c:pt>
                <c:pt idx="44">
                  <c:v>8.8044503765443524E-2</c:v>
                </c:pt>
                <c:pt idx="45">
                  <c:v>8.8044503765443524E-2</c:v>
                </c:pt>
                <c:pt idx="46">
                  <c:v>8.8044503765443524E-2</c:v>
                </c:pt>
                <c:pt idx="47">
                  <c:v>8.8044503765443524E-2</c:v>
                </c:pt>
                <c:pt idx="48">
                  <c:v>8.8044503765443524E-2</c:v>
                </c:pt>
                <c:pt idx="49">
                  <c:v>8.8044503765443524E-2</c:v>
                </c:pt>
                <c:pt idx="50">
                  <c:v>8.8044503765443524E-2</c:v>
                </c:pt>
                <c:pt idx="51">
                  <c:v>8.8044503765443524E-2</c:v>
                </c:pt>
              </c:numCache>
            </c:numRef>
          </c:yVal>
          <c:smooth val="0"/>
          <c:extLst>
            <c:ext xmlns:c16="http://schemas.microsoft.com/office/drawing/2014/chart" uri="{C3380CC4-5D6E-409C-BE32-E72D297353CC}">
              <c16:uniqueId val="{00000004-FCEB-4283-9438-F2BB7521FA8C}"/>
            </c:ext>
          </c:extLst>
        </c:ser>
        <c:dLbls>
          <c:showLegendKey val="0"/>
          <c:showVal val="0"/>
          <c:showCatName val="0"/>
          <c:showSerName val="0"/>
          <c:showPercent val="0"/>
          <c:showBubbleSize val="0"/>
        </c:dLbls>
        <c:axId val="409477120"/>
        <c:axId val="409478656"/>
      </c:scatterChart>
      <c:scatterChart>
        <c:scatterStyle val="lineMarker"/>
        <c:varyColors val="0"/>
        <c:ser>
          <c:idx val="5"/>
          <c:order val="6"/>
          <c:tx>
            <c:strRef>
              <c:f>'UBC Tables &amp; Figures '!$Z$1</c:f>
              <c:strCache>
                <c:ptCount val="1"/>
                <c:pt idx="0">
                  <c:v>Mean daily flow</c:v>
                </c:pt>
              </c:strCache>
            </c:strRef>
          </c:tx>
          <c:spPr>
            <a:ln w="12700">
              <a:solidFill>
                <a:schemeClr val="tx1"/>
              </a:solidFill>
              <a:prstDash val="sysDot"/>
            </a:ln>
          </c:spPr>
          <c:marker>
            <c:symbol val="none"/>
          </c:marker>
          <c:xVal>
            <c:numRef>
              <c:f>'UBC Tables &amp; Figures '!$W$2:$W$94</c:f>
              <c:numCache>
                <c:formatCode>mm/dd/yy;@</c:formatCode>
                <c:ptCount val="93"/>
                <c:pt idx="0">
                  <c:v>45980</c:v>
                </c:pt>
                <c:pt idx="1">
                  <c:v>45995</c:v>
                </c:pt>
                <c:pt idx="2">
                  <c:v>46001</c:v>
                </c:pt>
                <c:pt idx="3">
                  <c:v>46037</c:v>
                </c:pt>
                <c:pt idx="4">
                  <c:v>46037</c:v>
                </c:pt>
                <c:pt idx="5">
                  <c:v>46041</c:v>
                </c:pt>
                <c:pt idx="6">
                  <c:v>46041</c:v>
                </c:pt>
                <c:pt idx="7">
                  <c:v>46044</c:v>
                </c:pt>
                <c:pt idx="8">
                  <c:v>46044</c:v>
                </c:pt>
                <c:pt idx="9">
                  <c:v>46048</c:v>
                </c:pt>
                <c:pt idx="10">
                  <c:v>46048</c:v>
                </c:pt>
                <c:pt idx="11">
                  <c:v>46051</c:v>
                </c:pt>
                <c:pt idx="12">
                  <c:v>46051</c:v>
                </c:pt>
                <c:pt idx="13">
                  <c:v>46055</c:v>
                </c:pt>
                <c:pt idx="14">
                  <c:v>46055</c:v>
                </c:pt>
                <c:pt idx="15">
                  <c:v>46058</c:v>
                </c:pt>
                <c:pt idx="16">
                  <c:v>46058</c:v>
                </c:pt>
                <c:pt idx="17">
                  <c:v>46062</c:v>
                </c:pt>
                <c:pt idx="18">
                  <c:v>46062</c:v>
                </c:pt>
                <c:pt idx="19">
                  <c:v>46065</c:v>
                </c:pt>
                <c:pt idx="20">
                  <c:v>46065</c:v>
                </c:pt>
                <c:pt idx="21">
                  <c:v>46086</c:v>
                </c:pt>
                <c:pt idx="22">
                  <c:v>46086</c:v>
                </c:pt>
                <c:pt idx="23">
                  <c:v>46091</c:v>
                </c:pt>
                <c:pt idx="24">
                  <c:v>46091</c:v>
                </c:pt>
                <c:pt idx="25">
                  <c:v>46094</c:v>
                </c:pt>
                <c:pt idx="26">
                  <c:v>46094</c:v>
                </c:pt>
                <c:pt idx="27">
                  <c:v>46098</c:v>
                </c:pt>
                <c:pt idx="28">
                  <c:v>46098</c:v>
                </c:pt>
                <c:pt idx="29">
                  <c:v>46101</c:v>
                </c:pt>
                <c:pt idx="30">
                  <c:v>46101</c:v>
                </c:pt>
                <c:pt idx="31">
                  <c:v>46108</c:v>
                </c:pt>
                <c:pt idx="32">
                  <c:v>46108</c:v>
                </c:pt>
                <c:pt idx="33">
                  <c:v>46112</c:v>
                </c:pt>
                <c:pt idx="34">
                  <c:v>46112</c:v>
                </c:pt>
                <c:pt idx="35">
                  <c:v>46115</c:v>
                </c:pt>
                <c:pt idx="36">
                  <c:v>46115</c:v>
                </c:pt>
                <c:pt idx="37">
                  <c:v>46119</c:v>
                </c:pt>
                <c:pt idx="38">
                  <c:v>46133</c:v>
                </c:pt>
                <c:pt idx="39">
                  <c:v>46169</c:v>
                </c:pt>
                <c:pt idx="40">
                  <c:v>46169</c:v>
                </c:pt>
                <c:pt idx="41">
                  <c:v>46177</c:v>
                </c:pt>
                <c:pt idx="42">
                  <c:v>46177</c:v>
                </c:pt>
              </c:numCache>
            </c:numRef>
          </c:xVal>
          <c:yVal>
            <c:numRef>
              <c:f>'UBC Tables &amp; Figures '!$Z$2:$Z$94</c:f>
              <c:numCache>
                <c:formatCode>#,##0</c:formatCode>
                <c:ptCount val="93"/>
              </c:numCache>
            </c:numRef>
          </c:yVal>
          <c:smooth val="0"/>
          <c:extLst>
            <c:ext xmlns:c16="http://schemas.microsoft.com/office/drawing/2014/chart" uri="{C3380CC4-5D6E-409C-BE32-E72D297353CC}">
              <c16:uniqueId val="{00000006-FCEB-4283-9438-F2BB7521FA8C}"/>
            </c:ext>
          </c:extLst>
        </c:ser>
        <c:dLbls>
          <c:showLegendKey val="0"/>
          <c:showVal val="0"/>
          <c:showCatName val="0"/>
          <c:showSerName val="0"/>
          <c:showPercent val="0"/>
          <c:showBubbleSize val="0"/>
        </c:dLbls>
        <c:axId val="409966464"/>
        <c:axId val="409936640"/>
        <c:extLst>
          <c:ext xmlns:c15="http://schemas.microsoft.com/office/drawing/2012/chart" uri="{02D57815-91ED-43cb-92C2-25804820EDAC}">
            <c15:filteredScatterSeries>
              <c15:ser>
                <c:idx val="4"/>
                <c:order val="5"/>
                <c:tx>
                  <c:strRef>
                    <c:extLst>
                      <c:ext uri="{02D57815-91ED-43cb-92C2-25804820EDAC}">
                        <c15:formulaRef>
                          <c15:sqref>'UBC Tables &amp; Figures '!$Y$1</c15:sqref>
                        </c15:formulaRef>
                      </c:ext>
                    </c:extLst>
                    <c:strCache>
                      <c:ptCount val="1"/>
                      <c:pt idx="0">
                        <c:v>Number released</c:v>
                      </c:pt>
                    </c:strCache>
                  </c:strRef>
                </c:tx>
                <c:spPr>
                  <a:ln w="19050">
                    <a:noFill/>
                  </a:ln>
                </c:spPr>
                <c:marker>
                  <c:symbol val="circle"/>
                  <c:size val="5"/>
                  <c:spPr>
                    <a:solidFill>
                      <a:schemeClr val="tx1"/>
                    </a:solidFill>
                    <a:ln>
                      <a:solidFill>
                        <a:schemeClr val="tx1"/>
                      </a:solidFill>
                    </a:ln>
                  </c:spPr>
                </c:marker>
                <c:xVal>
                  <c:numRef>
                    <c:extLst>
                      <c:ext uri="{02D57815-91ED-43cb-92C2-25804820EDAC}">
                        <c15:formulaRef>
                          <c15:sqref>'UBC Tables &amp; Figures '!$W$2:$W$94</c15:sqref>
                        </c15:formulaRef>
                      </c:ext>
                    </c:extLst>
                    <c:numCache>
                      <c:formatCode>mm/dd/yy;@</c:formatCode>
                      <c:ptCount val="93"/>
                      <c:pt idx="0">
                        <c:v>45980</c:v>
                      </c:pt>
                      <c:pt idx="1">
                        <c:v>45995</c:v>
                      </c:pt>
                      <c:pt idx="2">
                        <c:v>46001</c:v>
                      </c:pt>
                      <c:pt idx="3">
                        <c:v>46037</c:v>
                      </c:pt>
                      <c:pt idx="4">
                        <c:v>46037</c:v>
                      </c:pt>
                      <c:pt idx="5">
                        <c:v>46041</c:v>
                      </c:pt>
                      <c:pt idx="6">
                        <c:v>46041</c:v>
                      </c:pt>
                      <c:pt idx="7">
                        <c:v>46044</c:v>
                      </c:pt>
                      <c:pt idx="8">
                        <c:v>46044</c:v>
                      </c:pt>
                      <c:pt idx="9">
                        <c:v>46048</c:v>
                      </c:pt>
                      <c:pt idx="10">
                        <c:v>46048</c:v>
                      </c:pt>
                      <c:pt idx="11">
                        <c:v>46051</c:v>
                      </c:pt>
                      <c:pt idx="12">
                        <c:v>46051</c:v>
                      </c:pt>
                      <c:pt idx="13">
                        <c:v>46055</c:v>
                      </c:pt>
                      <c:pt idx="14">
                        <c:v>46055</c:v>
                      </c:pt>
                      <c:pt idx="15">
                        <c:v>46058</c:v>
                      </c:pt>
                      <c:pt idx="16">
                        <c:v>46058</c:v>
                      </c:pt>
                      <c:pt idx="17">
                        <c:v>46062</c:v>
                      </c:pt>
                      <c:pt idx="18">
                        <c:v>46062</c:v>
                      </c:pt>
                      <c:pt idx="19">
                        <c:v>46065</c:v>
                      </c:pt>
                      <c:pt idx="20">
                        <c:v>46065</c:v>
                      </c:pt>
                      <c:pt idx="21">
                        <c:v>46086</c:v>
                      </c:pt>
                      <c:pt idx="22">
                        <c:v>46086</c:v>
                      </c:pt>
                      <c:pt idx="23">
                        <c:v>46091</c:v>
                      </c:pt>
                      <c:pt idx="24">
                        <c:v>46091</c:v>
                      </c:pt>
                      <c:pt idx="25">
                        <c:v>46094</c:v>
                      </c:pt>
                      <c:pt idx="26">
                        <c:v>46094</c:v>
                      </c:pt>
                      <c:pt idx="27">
                        <c:v>46098</c:v>
                      </c:pt>
                      <c:pt idx="28">
                        <c:v>46098</c:v>
                      </c:pt>
                      <c:pt idx="29">
                        <c:v>46101</c:v>
                      </c:pt>
                      <c:pt idx="30">
                        <c:v>46101</c:v>
                      </c:pt>
                      <c:pt idx="31">
                        <c:v>46108</c:v>
                      </c:pt>
                      <c:pt idx="32">
                        <c:v>46108</c:v>
                      </c:pt>
                      <c:pt idx="33">
                        <c:v>46112</c:v>
                      </c:pt>
                      <c:pt idx="34">
                        <c:v>46112</c:v>
                      </c:pt>
                      <c:pt idx="35">
                        <c:v>46115</c:v>
                      </c:pt>
                      <c:pt idx="36">
                        <c:v>46115</c:v>
                      </c:pt>
                      <c:pt idx="37">
                        <c:v>46119</c:v>
                      </c:pt>
                      <c:pt idx="38">
                        <c:v>46133</c:v>
                      </c:pt>
                      <c:pt idx="39">
                        <c:v>46169</c:v>
                      </c:pt>
                      <c:pt idx="40">
                        <c:v>46169</c:v>
                      </c:pt>
                      <c:pt idx="41">
                        <c:v>46177</c:v>
                      </c:pt>
                      <c:pt idx="42">
                        <c:v>46177</c:v>
                      </c:pt>
                    </c:numCache>
                  </c:numRef>
                </c:xVal>
                <c:yVal>
                  <c:numRef>
                    <c:extLst>
                      <c:ext uri="{02D57815-91ED-43cb-92C2-25804820EDAC}">
                        <c15:formulaRef>
                          <c15:sqref>'UBC Tables &amp; Figures '!$Y$2:$Y$94</c15:sqref>
                        </c15:formulaRef>
                      </c:ext>
                    </c:extLst>
                    <c:numCache>
                      <c:formatCode>#,##0</c:formatCode>
                      <c:ptCount val="93"/>
                      <c:pt idx="0">
                        <c:v>280</c:v>
                      </c:pt>
                      <c:pt idx="1">
                        <c:v>256</c:v>
                      </c:pt>
                      <c:pt idx="2">
                        <c:v>254</c:v>
                      </c:pt>
                      <c:pt idx="3">
                        <c:v>263</c:v>
                      </c:pt>
                      <c:pt idx="4">
                        <c:v>254</c:v>
                      </c:pt>
                      <c:pt idx="5">
                        <c:v>251</c:v>
                      </c:pt>
                      <c:pt idx="6">
                        <c:v>257</c:v>
                      </c:pt>
                      <c:pt idx="7">
                        <c:v>266</c:v>
                      </c:pt>
                      <c:pt idx="8">
                        <c:v>238</c:v>
                      </c:pt>
                      <c:pt idx="9">
                        <c:v>259</c:v>
                      </c:pt>
                      <c:pt idx="10">
                        <c:v>238</c:v>
                      </c:pt>
                      <c:pt idx="11">
                        <c:v>270</c:v>
                      </c:pt>
                      <c:pt idx="12">
                        <c:v>293</c:v>
                      </c:pt>
                      <c:pt idx="13">
                        <c:v>244</c:v>
                      </c:pt>
                      <c:pt idx="14">
                        <c:v>254</c:v>
                      </c:pt>
                      <c:pt idx="15">
                        <c:v>278</c:v>
                      </c:pt>
                      <c:pt idx="16">
                        <c:v>267</c:v>
                      </c:pt>
                      <c:pt idx="17">
                        <c:v>252</c:v>
                      </c:pt>
                      <c:pt idx="18">
                        <c:v>250</c:v>
                      </c:pt>
                      <c:pt idx="19">
                        <c:v>495</c:v>
                      </c:pt>
                      <c:pt idx="20">
                        <c:v>279</c:v>
                      </c:pt>
                      <c:pt idx="21">
                        <c:v>251</c:v>
                      </c:pt>
                      <c:pt idx="22">
                        <c:v>253</c:v>
                      </c:pt>
                      <c:pt idx="23">
                        <c:v>264</c:v>
                      </c:pt>
                      <c:pt idx="24">
                        <c:v>251</c:v>
                      </c:pt>
                      <c:pt idx="25">
                        <c:v>260</c:v>
                      </c:pt>
                      <c:pt idx="26">
                        <c:v>237</c:v>
                      </c:pt>
                      <c:pt idx="27">
                        <c:v>260</c:v>
                      </c:pt>
                      <c:pt idx="28">
                        <c:v>248</c:v>
                      </c:pt>
                      <c:pt idx="29">
                        <c:v>249</c:v>
                      </c:pt>
                      <c:pt idx="30">
                        <c:v>239</c:v>
                      </c:pt>
                      <c:pt idx="31">
                        <c:v>252</c:v>
                      </c:pt>
                      <c:pt idx="32">
                        <c:v>250</c:v>
                      </c:pt>
                      <c:pt idx="33">
                        <c:v>245</c:v>
                      </c:pt>
                      <c:pt idx="34">
                        <c:v>257</c:v>
                      </c:pt>
                      <c:pt idx="35">
                        <c:v>249</c:v>
                      </c:pt>
                      <c:pt idx="36">
                        <c:v>251</c:v>
                      </c:pt>
                      <c:pt idx="37">
                        <c:v>478</c:v>
                      </c:pt>
                      <c:pt idx="38">
                        <c:v>487</c:v>
                      </c:pt>
                      <c:pt idx="39">
                        <c:v>328</c:v>
                      </c:pt>
                      <c:pt idx="40">
                        <c:v>244</c:v>
                      </c:pt>
                      <c:pt idx="41">
                        <c:v>215</c:v>
                      </c:pt>
                      <c:pt idx="42">
                        <c:v>226</c:v>
                      </c:pt>
                    </c:numCache>
                  </c:numRef>
                </c:yVal>
                <c:smooth val="0"/>
                <c:extLst>
                  <c:ext xmlns:c16="http://schemas.microsoft.com/office/drawing/2014/chart" uri="{C3380CC4-5D6E-409C-BE32-E72D297353CC}">
                    <c16:uniqueId val="{00000005-FCEB-4283-9438-F2BB7521FA8C}"/>
                  </c:ext>
                </c:extLst>
              </c15:ser>
            </c15:filteredScatterSeries>
          </c:ext>
        </c:extLst>
      </c:scatterChart>
      <c:valAx>
        <c:axId val="409477120"/>
        <c:scaling>
          <c:orientation val="minMax"/>
        </c:scaling>
        <c:delete val="0"/>
        <c:axPos val="b"/>
        <c:title>
          <c:tx>
            <c:rich>
              <a:bodyPr/>
              <a:lstStyle/>
              <a:p>
                <a:pPr>
                  <a:defRPr b="0"/>
                </a:pPr>
                <a:r>
                  <a:rPr lang="en-US" b="0"/>
                  <a:t>Date</a:t>
                </a:r>
              </a:p>
            </c:rich>
          </c:tx>
          <c:overlay val="0"/>
        </c:title>
        <c:numFmt formatCode="[$-409]d\-mmm\-yy;@" sourceLinked="0"/>
        <c:majorTickMark val="out"/>
        <c:minorTickMark val="none"/>
        <c:tickLblPos val="nextTo"/>
        <c:spPr>
          <a:ln>
            <a:solidFill>
              <a:schemeClr val="tx1"/>
            </a:solidFill>
          </a:ln>
        </c:spPr>
        <c:txPr>
          <a:bodyPr rot="-4320000"/>
          <a:lstStyle/>
          <a:p>
            <a:pPr>
              <a:defRPr/>
            </a:pPr>
            <a:endParaRPr lang="en-US"/>
          </a:p>
        </c:txPr>
        <c:crossAx val="409478656"/>
        <c:crosses val="autoZero"/>
        <c:crossBetween val="midCat"/>
        <c:majorUnit val="7"/>
      </c:valAx>
      <c:valAx>
        <c:axId val="409478656"/>
        <c:scaling>
          <c:orientation val="minMax"/>
        </c:scaling>
        <c:delete val="0"/>
        <c:axPos val="l"/>
        <c:majorGridlines>
          <c:spPr>
            <a:ln>
              <a:noFill/>
            </a:ln>
          </c:spPr>
        </c:majorGridlines>
        <c:title>
          <c:tx>
            <c:rich>
              <a:bodyPr rot="-5400000" vert="horz"/>
              <a:lstStyle/>
              <a:p>
                <a:pPr>
                  <a:defRPr b="0"/>
                </a:pPr>
                <a:r>
                  <a:rPr lang="en-US" b="0"/>
                  <a:t>Efficiency</a:t>
                </a:r>
              </a:p>
            </c:rich>
          </c:tx>
          <c:layout>
            <c:manualLayout>
              <c:xMode val="edge"/>
              <c:yMode val="edge"/>
              <c:x val="7.3639430056076163E-4"/>
              <c:y val="0.3671309357404916"/>
            </c:manualLayout>
          </c:layout>
          <c:overlay val="0"/>
        </c:title>
        <c:numFmt formatCode="General" sourceLinked="1"/>
        <c:majorTickMark val="out"/>
        <c:minorTickMark val="none"/>
        <c:tickLblPos val="nextTo"/>
        <c:spPr>
          <a:ln>
            <a:solidFill>
              <a:schemeClr val="tx1"/>
            </a:solidFill>
          </a:ln>
        </c:spPr>
        <c:crossAx val="409477120"/>
        <c:crosses val="autoZero"/>
        <c:crossBetween val="midCat"/>
      </c:valAx>
      <c:valAx>
        <c:axId val="409936640"/>
        <c:scaling>
          <c:orientation val="minMax"/>
        </c:scaling>
        <c:delete val="0"/>
        <c:axPos val="r"/>
        <c:title>
          <c:tx>
            <c:rich>
              <a:bodyPr rot="-5400000" vert="horz"/>
              <a:lstStyle/>
              <a:p>
                <a:pPr>
                  <a:defRPr b="0"/>
                </a:pPr>
                <a:r>
                  <a:rPr lang="en-US" b="0"/>
                  <a:t>Number of fish released and mean daily flow (cfs)</a:t>
                </a:r>
              </a:p>
            </c:rich>
          </c:tx>
          <c:layout>
            <c:manualLayout>
              <c:xMode val="edge"/>
              <c:yMode val="edge"/>
              <c:x val="0.97498670014951305"/>
              <c:y val="0.10447021145273998"/>
            </c:manualLayout>
          </c:layout>
          <c:overlay val="0"/>
        </c:title>
        <c:numFmt formatCode="#,##0" sourceLinked="0"/>
        <c:majorTickMark val="out"/>
        <c:minorTickMark val="none"/>
        <c:tickLblPos val="nextTo"/>
        <c:spPr>
          <a:ln>
            <a:solidFill>
              <a:schemeClr val="tx1"/>
            </a:solidFill>
          </a:ln>
        </c:spPr>
        <c:crossAx val="409966464"/>
        <c:crosses val="max"/>
        <c:crossBetween val="midCat"/>
      </c:valAx>
      <c:valAx>
        <c:axId val="409966464"/>
        <c:scaling>
          <c:orientation val="minMax"/>
        </c:scaling>
        <c:delete val="1"/>
        <c:axPos val="b"/>
        <c:numFmt formatCode="mm/dd/yy;@" sourceLinked="1"/>
        <c:majorTickMark val="out"/>
        <c:minorTickMark val="none"/>
        <c:tickLblPos val="nextTo"/>
        <c:crossAx val="409936640"/>
        <c:crosses val="autoZero"/>
        <c:crossBetween val="midCat"/>
      </c:valAx>
      <c:spPr>
        <a:noFill/>
        <a:ln>
          <a:solidFill>
            <a:schemeClr val="accent1"/>
          </a:solidFill>
        </a:ln>
      </c:spPr>
    </c:plotArea>
    <c:legend>
      <c:legendPos val="l"/>
      <c:layout>
        <c:manualLayout>
          <c:xMode val="edge"/>
          <c:yMode val="edge"/>
          <c:x val="9.7441289707665454E-2"/>
          <c:y val="8.7626680680529617E-2"/>
          <c:w val="0.81472256890078953"/>
          <c:h val="5.2223077457033758E-2"/>
        </c:manualLayout>
      </c:layout>
      <c:overlay val="1"/>
      <c:spPr>
        <a:ln w="6350">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361950</xdr:colOff>
      <xdr:row>0</xdr:row>
      <xdr:rowOff>104775</xdr:rowOff>
    </xdr:from>
    <xdr:to>
      <xdr:col>0</xdr:col>
      <xdr:colOff>1828800</xdr:colOff>
      <xdr:row>11</xdr:row>
      <xdr:rowOff>68580</xdr:rowOff>
    </xdr:to>
    <xdr:pic>
      <xdr:nvPicPr>
        <xdr:cNvPr id="2" name="Picture 1" descr="USFWS_color">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104775"/>
          <a:ext cx="1466850" cy="17449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absoluteAnchor>
    <xdr:pos x="3145103" y="8795810"/>
    <xdr:ext cx="8669694" cy="6288444"/>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944828" y="54677735"/>
    <xdr:ext cx="8669694" cy="6288444"/>
    <xdr:graphicFrame macro="">
      <xdr:nvGraphicFramePr>
        <xdr:cNvPr id="2" name="Chart 2">
          <a:extLst>
            <a:ext uri="{FF2B5EF4-FFF2-40B4-BE49-F238E27FC236}">
              <a16:creationId xmlns:a16="http://schemas.microsoft.com/office/drawing/2014/main" id="{F65B0460-D12B-4E5C-9D0D-907727E73F9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992453" y="8024285"/>
    <xdr:ext cx="8669694" cy="6288444"/>
    <xdr:graphicFrame macro="">
      <xdr:nvGraphicFramePr>
        <xdr:cNvPr id="2" name="Chart 2">
          <a:extLst>
            <a:ext uri="{FF2B5EF4-FFF2-40B4-BE49-F238E27FC236}">
              <a16:creationId xmlns:a16="http://schemas.microsoft.com/office/drawing/2014/main" id="{1890EFD6-C7BA-4298-BB22-FDB1C753A93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982928" y="7662335"/>
    <xdr:ext cx="8669694" cy="6288444"/>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11747500" y="433916"/>
    <xdr:ext cx="8669694" cy="6288444"/>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twoCellAnchor>
    <xdr:from>
      <xdr:col>10</xdr:col>
      <xdr:colOff>590551</xdr:colOff>
      <xdr:row>2</xdr:row>
      <xdr:rowOff>123826</xdr:rowOff>
    </xdr:from>
    <xdr:to>
      <xdr:col>21</xdr:col>
      <xdr:colOff>428625</xdr:colOff>
      <xdr:row>52</xdr:row>
      <xdr:rowOff>152400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Hand, Chelsey E" id="{24C21E22-568F-4F72-9888-D3A65975426D}" userId="S::chelsey_hand@fws.gov::a81268be-491a-4f14-8828-7dc057a8523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9-26T18:38:45.13" personId="{24C21E22-568F-4F72-9888-D3A65975426D}" id="{F20612D1-DC4A-4282-87E9-570F9EFE3BDB}">
    <text>Note that the contents of these figures and tables are not for 2025-2026. They are currently just being left as placeholders of which types of figures/tables should go in this sheet once the data is collected for 2025-2026.</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M129"/>
  <sheetViews>
    <sheetView topLeftCell="A29" workbookViewId="0">
      <selection activeCell="A29" sqref="A29"/>
    </sheetView>
  </sheetViews>
  <sheetFormatPr defaultColWidth="9.140625" defaultRowHeight="12.75" x14ac:dyDescent="0.2"/>
  <cols>
    <col min="1" max="1" width="33.42578125" style="162" bestFit="1" customWidth="1"/>
    <col min="2" max="2" width="25.42578125" style="162" customWidth="1"/>
    <col min="3" max="3" width="11" style="162" customWidth="1"/>
    <col min="4" max="4" width="22.85546875" style="162" customWidth="1"/>
    <col min="5" max="5" width="23" style="162" bestFit="1" customWidth="1"/>
    <col min="6" max="6" width="12" style="162" bestFit="1" customWidth="1"/>
    <col min="7" max="7" width="16.42578125" style="162" bestFit="1" customWidth="1"/>
    <col min="8" max="8" width="14.7109375" style="162" bestFit="1" customWidth="1"/>
    <col min="9" max="9" width="10.42578125" style="162" bestFit="1" customWidth="1"/>
    <col min="10" max="10" width="23" style="162" bestFit="1" customWidth="1"/>
    <col min="11" max="11" width="13" style="162" customWidth="1"/>
    <col min="12" max="12" width="17.7109375" style="162" bestFit="1" customWidth="1"/>
    <col min="13" max="13" width="18.140625" style="162" bestFit="1" customWidth="1"/>
    <col min="14" max="14" width="16.28515625" style="162" bestFit="1" customWidth="1"/>
    <col min="15" max="20" width="9.140625" style="162"/>
    <col min="21" max="21" width="23.7109375" style="162" customWidth="1"/>
    <col min="22" max="16384" width="9.140625" style="162"/>
  </cols>
  <sheetData>
    <row r="1" spans="1:9" x14ac:dyDescent="0.2">
      <c r="A1" s="243"/>
      <c r="B1" s="244"/>
      <c r="C1" s="244"/>
      <c r="D1" s="245"/>
      <c r="E1" s="246"/>
      <c r="F1" s="246"/>
      <c r="G1" s="246"/>
      <c r="H1" s="246"/>
      <c r="I1" s="246"/>
    </row>
    <row r="2" spans="1:9" x14ac:dyDescent="0.2">
      <c r="A2" s="247"/>
      <c r="B2" s="248" t="s">
        <v>0</v>
      </c>
      <c r="C2" s="248"/>
      <c r="D2" s="163"/>
      <c r="E2" s="164"/>
      <c r="F2" s="246"/>
      <c r="G2" s="246"/>
      <c r="H2" s="246"/>
      <c r="I2" s="246"/>
    </row>
    <row r="3" spans="1:9" x14ac:dyDescent="0.2">
      <c r="A3" s="247"/>
      <c r="B3" s="165" t="s">
        <v>1</v>
      </c>
      <c r="C3" s="248"/>
      <c r="D3" s="249"/>
      <c r="E3" s="164" t="s">
        <v>2</v>
      </c>
      <c r="F3" s="246"/>
      <c r="G3" s="246"/>
      <c r="H3" s="246"/>
      <c r="I3" s="246"/>
    </row>
    <row r="4" spans="1:9" x14ac:dyDescent="0.2">
      <c r="A4" s="247"/>
      <c r="B4" s="248" t="s">
        <v>3</v>
      </c>
      <c r="C4" s="248"/>
      <c r="D4" s="249"/>
      <c r="E4" s="246"/>
      <c r="F4" s="246"/>
      <c r="G4" s="246"/>
      <c r="H4" s="246"/>
      <c r="I4" s="246"/>
    </row>
    <row r="5" spans="1:9" x14ac:dyDescent="0.2">
      <c r="A5" s="247"/>
      <c r="B5" s="248" t="s">
        <v>4</v>
      </c>
      <c r="C5" s="248"/>
      <c r="D5" s="249"/>
      <c r="E5" s="246" t="s">
        <v>5</v>
      </c>
      <c r="F5" s="246" t="s">
        <v>6</v>
      </c>
      <c r="G5" s="246"/>
      <c r="H5" s="246"/>
      <c r="I5" s="246"/>
    </row>
    <row r="6" spans="1:9" x14ac:dyDescent="0.2">
      <c r="A6" s="247"/>
      <c r="B6" s="248" t="s">
        <v>7</v>
      </c>
      <c r="C6" s="248"/>
      <c r="D6" s="249"/>
      <c r="E6" s="246"/>
      <c r="F6" s="246" t="s">
        <v>8</v>
      </c>
      <c r="G6" s="246"/>
      <c r="H6" s="246"/>
      <c r="I6" s="246"/>
    </row>
    <row r="7" spans="1:9" x14ac:dyDescent="0.2">
      <c r="A7" s="247"/>
      <c r="B7" s="248"/>
      <c r="C7" s="248"/>
      <c r="D7" s="249"/>
      <c r="E7" s="246" t="s">
        <v>9</v>
      </c>
      <c r="F7" s="246" t="s">
        <v>10</v>
      </c>
      <c r="G7" s="246"/>
      <c r="H7" s="246"/>
      <c r="I7" s="246"/>
    </row>
    <row r="8" spans="1:9" x14ac:dyDescent="0.2">
      <c r="A8" s="247"/>
      <c r="B8" s="248" t="s">
        <v>11</v>
      </c>
      <c r="C8" s="248"/>
      <c r="D8" s="249"/>
      <c r="E8" s="246" t="s">
        <v>12</v>
      </c>
      <c r="F8" s="246" t="s">
        <v>13</v>
      </c>
      <c r="G8" s="246"/>
      <c r="H8" s="246"/>
      <c r="I8" s="246"/>
    </row>
    <row r="9" spans="1:9" x14ac:dyDescent="0.2">
      <c r="A9" s="247"/>
      <c r="B9" s="248"/>
      <c r="C9" s="248"/>
      <c r="D9" s="249"/>
      <c r="E9" s="246" t="s">
        <v>14</v>
      </c>
      <c r="F9" s="246" t="s">
        <v>15</v>
      </c>
      <c r="G9" s="246"/>
      <c r="H9" s="246"/>
      <c r="I9" s="246"/>
    </row>
    <row r="10" spans="1:9" x14ac:dyDescent="0.2">
      <c r="A10" s="247"/>
      <c r="B10" s="248" t="s">
        <v>16</v>
      </c>
      <c r="C10" s="248"/>
      <c r="D10" s="249"/>
      <c r="E10" s="246" t="s">
        <v>17</v>
      </c>
      <c r="F10" s="246"/>
      <c r="G10" s="246"/>
      <c r="H10" s="246"/>
      <c r="I10" s="246"/>
    </row>
    <row r="11" spans="1:9" x14ac:dyDescent="0.2">
      <c r="A11" s="247"/>
      <c r="B11" s="248" t="s">
        <v>18</v>
      </c>
      <c r="C11" s="248"/>
      <c r="D11" s="249"/>
      <c r="E11" s="246"/>
      <c r="F11" s="246"/>
      <c r="G11" s="246"/>
      <c r="H11" s="246"/>
      <c r="I11" s="246"/>
    </row>
    <row r="12" spans="1:9" ht="13.5" thickBot="1" x14ac:dyDescent="0.25">
      <c r="A12" s="250"/>
      <c r="B12" s="251"/>
      <c r="C12" s="251"/>
      <c r="D12" s="252"/>
      <c r="E12" s="246"/>
      <c r="F12" s="246"/>
      <c r="G12" s="246"/>
      <c r="H12" s="246"/>
      <c r="I12" s="246"/>
    </row>
    <row r="13" spans="1:9" ht="13.5" thickBot="1" x14ac:dyDescent="0.25">
      <c r="A13" s="246"/>
      <c r="B13" s="246"/>
      <c r="C13" s="246"/>
      <c r="D13" s="246"/>
      <c r="E13" s="246"/>
      <c r="F13" s="246"/>
      <c r="G13" s="246"/>
      <c r="H13" s="246"/>
      <c r="I13" s="246"/>
    </row>
    <row r="14" spans="1:9" s="166" customFormat="1" x14ac:dyDescent="0.2">
      <c r="A14" s="390" t="s">
        <v>19</v>
      </c>
      <c r="B14" s="390"/>
      <c r="C14" s="390"/>
      <c r="D14" s="390"/>
      <c r="E14" s="390"/>
      <c r="F14" s="390"/>
      <c r="G14" s="390"/>
      <c r="H14" s="390"/>
      <c r="I14" s="390"/>
    </row>
    <row r="15" spans="1:9" s="167" customFormat="1" x14ac:dyDescent="0.2">
      <c r="A15" s="72" t="s">
        <v>20</v>
      </c>
      <c r="B15" s="253"/>
      <c r="C15" s="253"/>
      <c r="D15" s="253"/>
      <c r="E15" s="253"/>
      <c r="F15" s="253"/>
      <c r="G15" s="253"/>
      <c r="H15" s="253"/>
      <c r="I15" s="253"/>
    </row>
    <row r="16" spans="1:9" x14ac:dyDescent="0.2">
      <c r="A16" s="73" t="s">
        <v>21</v>
      </c>
      <c r="B16" s="246"/>
      <c r="C16" s="246"/>
      <c r="D16" s="246"/>
      <c r="E16" s="246"/>
      <c r="F16" s="246"/>
      <c r="G16" s="246"/>
      <c r="H16" s="246"/>
      <c r="I16" s="246"/>
    </row>
    <row r="17" spans="1:11" x14ac:dyDescent="0.2">
      <c r="A17" s="73" t="s">
        <v>22</v>
      </c>
      <c r="B17" s="246"/>
      <c r="C17" s="246"/>
      <c r="D17" s="246"/>
      <c r="E17" s="246"/>
      <c r="F17" s="246"/>
      <c r="G17" s="246"/>
      <c r="H17" s="246"/>
      <c r="I17" s="246"/>
      <c r="J17" s="246"/>
      <c r="K17" s="246"/>
    </row>
    <row r="18" spans="1:11" x14ac:dyDescent="0.2">
      <c r="A18" s="73" t="s">
        <v>23</v>
      </c>
      <c r="B18" s="246"/>
      <c r="C18" s="246"/>
      <c r="D18" s="246"/>
      <c r="E18" s="246"/>
      <c r="F18" s="246"/>
      <c r="G18" s="246"/>
      <c r="H18" s="246"/>
      <c r="I18" s="246"/>
      <c r="J18" s="246"/>
      <c r="K18" s="246"/>
    </row>
    <row r="19" spans="1:11" x14ac:dyDescent="0.2">
      <c r="A19" s="73" t="s">
        <v>24</v>
      </c>
      <c r="B19" s="246"/>
      <c r="C19" s="246"/>
      <c r="D19" s="246"/>
      <c r="E19" s="246"/>
      <c r="F19" s="246"/>
      <c r="G19" s="246"/>
      <c r="H19" s="246"/>
      <c r="I19" s="246"/>
      <c r="J19" s="246"/>
      <c r="K19" s="246"/>
    </row>
    <row r="20" spans="1:11" x14ac:dyDescent="0.2">
      <c r="A20" s="73" t="s">
        <v>25</v>
      </c>
      <c r="B20" s="246"/>
      <c r="C20" s="246"/>
      <c r="D20" s="246"/>
      <c r="E20" s="246"/>
      <c r="F20" s="246"/>
      <c r="G20" s="246"/>
      <c r="H20" s="246"/>
      <c r="I20" s="246"/>
      <c r="J20" s="246"/>
      <c r="K20" s="246"/>
    </row>
    <row r="21" spans="1:11" x14ac:dyDescent="0.2">
      <c r="A21" s="73" t="s">
        <v>26</v>
      </c>
      <c r="B21" s="246"/>
      <c r="C21" s="246"/>
      <c r="D21" s="246"/>
      <c r="E21" s="246"/>
      <c r="F21" s="246"/>
      <c r="G21" s="246"/>
      <c r="H21" s="246"/>
      <c r="I21" s="246"/>
      <c r="J21" s="246"/>
      <c r="K21" s="246"/>
    </row>
    <row r="22" spans="1:11" x14ac:dyDescent="0.2">
      <c r="A22" s="74" t="s">
        <v>27</v>
      </c>
      <c r="B22" s="246"/>
      <c r="C22" s="246"/>
      <c r="D22" s="246"/>
      <c r="E22" s="246"/>
      <c r="F22" s="246"/>
      <c r="G22" s="246"/>
      <c r="H22" s="246"/>
      <c r="I22" s="246"/>
      <c r="J22" s="246"/>
      <c r="K22" s="246"/>
    </row>
    <row r="23" spans="1:11" x14ac:dyDescent="0.2">
      <c r="A23" s="74" t="s">
        <v>28</v>
      </c>
      <c r="B23" s="246"/>
      <c r="C23" s="246"/>
      <c r="D23" s="246"/>
      <c r="E23" s="246"/>
      <c r="F23" s="246"/>
      <c r="G23" s="246"/>
      <c r="H23" s="246"/>
      <c r="I23" s="246"/>
      <c r="J23" s="246"/>
      <c r="K23" s="246"/>
    </row>
    <row r="24" spans="1:11" x14ac:dyDescent="0.2">
      <c r="A24" s="74" t="s">
        <v>29</v>
      </c>
      <c r="B24" s="246"/>
      <c r="C24" s="246"/>
      <c r="D24" s="246"/>
      <c r="E24" s="246"/>
      <c r="F24" s="246"/>
      <c r="G24" s="246"/>
      <c r="H24" s="246"/>
      <c r="I24" s="246"/>
      <c r="J24" s="246"/>
      <c r="K24" s="246"/>
    </row>
    <row r="25" spans="1:11" x14ac:dyDescent="0.2">
      <c r="A25" s="74" t="s">
        <v>30</v>
      </c>
      <c r="B25" s="246"/>
      <c r="C25" s="246"/>
      <c r="D25" s="246"/>
      <c r="E25" s="246"/>
      <c r="F25" s="246"/>
      <c r="G25" s="246"/>
      <c r="H25" s="246"/>
      <c r="I25" s="246"/>
      <c r="J25" s="246"/>
      <c r="K25" s="246"/>
    </row>
    <row r="26" spans="1:11" x14ac:dyDescent="0.2">
      <c r="A26" s="75" t="s">
        <v>31</v>
      </c>
      <c r="B26" s="246"/>
      <c r="C26" s="246"/>
      <c r="D26" s="246"/>
      <c r="E26" s="246"/>
      <c r="F26" s="246"/>
      <c r="G26" s="246"/>
      <c r="H26" s="246"/>
      <c r="I26" s="246"/>
      <c r="J26" s="246"/>
      <c r="K26" s="246"/>
    </row>
    <row r="27" spans="1:11" x14ac:dyDescent="0.2">
      <c r="A27" s="75" t="s">
        <v>32</v>
      </c>
      <c r="B27" s="246"/>
      <c r="C27" s="246"/>
      <c r="D27" s="246"/>
      <c r="E27" s="246"/>
      <c r="F27" s="246"/>
      <c r="G27" s="246"/>
      <c r="H27" s="246"/>
      <c r="I27" s="246"/>
      <c r="J27" s="246"/>
      <c r="K27" s="246"/>
    </row>
    <row r="28" spans="1:11" x14ac:dyDescent="0.2">
      <c r="A28" s="75" t="s">
        <v>33</v>
      </c>
      <c r="B28" s="246"/>
      <c r="C28" s="246"/>
      <c r="D28" s="246"/>
      <c r="E28" s="246"/>
      <c r="F28" s="246"/>
      <c r="G28" s="246"/>
      <c r="H28" s="246"/>
      <c r="I28" s="246"/>
      <c r="J28" s="246"/>
      <c r="K28" s="246"/>
    </row>
    <row r="29" spans="1:11" s="169" customFormat="1" ht="13.5" thickBot="1" x14ac:dyDescent="0.25">
      <c r="A29" s="76" t="s">
        <v>34</v>
      </c>
      <c r="B29" s="168" t="s">
        <v>35</v>
      </c>
      <c r="C29" s="254"/>
      <c r="D29" s="254"/>
      <c r="E29" s="254"/>
      <c r="F29" s="254"/>
      <c r="G29" s="254"/>
      <c r="H29" s="254"/>
      <c r="I29" s="254"/>
      <c r="J29" s="254"/>
      <c r="K29" s="254"/>
    </row>
    <row r="30" spans="1:11" ht="19.5" customHeight="1" thickBot="1" x14ac:dyDescent="0.25">
      <c r="A30" s="246"/>
      <c r="B30" s="246"/>
      <c r="C30" s="246"/>
      <c r="D30" s="246"/>
      <c r="E30" s="246"/>
      <c r="F30" s="246"/>
      <c r="G30" s="246"/>
      <c r="H30" s="246"/>
      <c r="I30" s="246"/>
      <c r="J30" s="246"/>
      <c r="K30" s="246"/>
    </row>
    <row r="31" spans="1:11" s="166" customFormat="1" ht="41.45" customHeight="1" x14ac:dyDescent="0.2">
      <c r="A31" s="255" t="s">
        <v>36</v>
      </c>
      <c r="B31" s="424" t="s">
        <v>37</v>
      </c>
      <c r="C31" s="424"/>
      <c r="D31" s="424"/>
      <c r="E31" s="424"/>
      <c r="F31" s="424"/>
      <c r="G31" s="424"/>
      <c r="H31" s="424"/>
      <c r="I31" s="424"/>
      <c r="J31" s="424"/>
      <c r="K31" s="424"/>
    </row>
    <row r="32" spans="1:11" s="170" customFormat="1" ht="27.75" customHeight="1" x14ac:dyDescent="0.2">
      <c r="A32" s="256" t="s">
        <v>38</v>
      </c>
      <c r="B32" s="425" t="s">
        <v>39</v>
      </c>
      <c r="C32" s="425"/>
      <c r="D32" s="425"/>
      <c r="E32" s="425"/>
      <c r="F32" s="425"/>
      <c r="G32" s="425"/>
      <c r="H32" s="425"/>
      <c r="I32" s="425"/>
      <c r="J32" s="425"/>
      <c r="K32" s="425"/>
    </row>
    <row r="33" spans="1:13" s="167" customFormat="1" x14ac:dyDescent="0.2">
      <c r="A33" s="257" t="s">
        <v>40</v>
      </c>
      <c r="B33" s="426" t="s">
        <v>41</v>
      </c>
      <c r="C33" s="426"/>
      <c r="D33" s="426"/>
      <c r="E33" s="426"/>
      <c r="F33" s="426"/>
      <c r="G33" s="426"/>
      <c r="H33" s="426"/>
      <c r="I33" s="426"/>
      <c r="J33" s="426"/>
      <c r="K33" s="426"/>
      <c r="L33" s="253"/>
      <c r="M33" s="253"/>
    </row>
    <row r="34" spans="1:13" x14ac:dyDescent="0.2">
      <c r="A34" s="258"/>
      <c r="B34" s="427" t="s">
        <v>42</v>
      </c>
      <c r="C34" s="427"/>
      <c r="D34" s="427"/>
      <c r="E34" s="427"/>
      <c r="F34" s="427"/>
      <c r="G34" s="427"/>
      <c r="H34" s="427"/>
      <c r="I34" s="427"/>
      <c r="J34" s="427"/>
      <c r="K34" s="427"/>
      <c r="L34" s="246"/>
      <c r="M34" s="246"/>
    </row>
    <row r="35" spans="1:13" x14ac:dyDescent="0.2">
      <c r="A35" s="258"/>
      <c r="B35" s="427" t="s">
        <v>43</v>
      </c>
      <c r="C35" s="427"/>
      <c r="D35" s="427"/>
      <c r="E35" s="427"/>
      <c r="F35" s="427"/>
      <c r="G35" s="427"/>
      <c r="H35" s="427"/>
      <c r="I35" s="427"/>
      <c r="J35" s="427"/>
      <c r="K35" s="427"/>
      <c r="L35" s="246"/>
      <c r="M35" s="246"/>
    </row>
    <row r="36" spans="1:13" s="169" customFormat="1" ht="30" customHeight="1" thickBot="1" x14ac:dyDescent="0.25">
      <c r="A36" s="259"/>
      <c r="B36" s="428" t="s">
        <v>44</v>
      </c>
      <c r="C36" s="428"/>
      <c r="D36" s="428"/>
      <c r="E36" s="428"/>
      <c r="F36" s="428"/>
      <c r="G36" s="428"/>
      <c r="H36" s="428"/>
      <c r="I36" s="428"/>
      <c r="J36" s="428"/>
      <c r="K36" s="428"/>
      <c r="L36" s="254"/>
      <c r="M36" s="254"/>
    </row>
    <row r="37" spans="1:13" ht="19.5" customHeight="1" thickBot="1" x14ac:dyDescent="0.25">
      <c r="A37" s="77" t="s">
        <v>45</v>
      </c>
      <c r="B37" s="246"/>
      <c r="C37" s="246"/>
      <c r="D37" s="246"/>
      <c r="E37" s="246"/>
      <c r="F37" s="246"/>
      <c r="G37" s="246"/>
      <c r="H37" s="246"/>
      <c r="I37" s="246"/>
      <c r="J37" s="246"/>
      <c r="K37" s="246"/>
      <c r="L37" s="246"/>
      <c r="M37" s="246"/>
    </row>
    <row r="38" spans="1:13" s="166" customFormat="1" x14ac:dyDescent="0.2">
      <c r="A38" s="389" t="s">
        <v>46</v>
      </c>
      <c r="B38" s="429" t="s">
        <v>47</v>
      </c>
      <c r="C38" s="430"/>
      <c r="D38" s="430"/>
      <c r="E38" s="430"/>
      <c r="F38" s="430"/>
      <c r="G38" s="430"/>
      <c r="H38" s="430"/>
      <c r="I38" s="430"/>
      <c r="J38" s="430"/>
      <c r="K38" s="430"/>
      <c r="L38" s="390"/>
      <c r="M38" s="390"/>
    </row>
    <row r="39" spans="1:13" ht="30.75" customHeight="1" x14ac:dyDescent="0.2">
      <c r="A39" s="421" t="s">
        <v>31</v>
      </c>
      <c r="B39" s="431" t="s">
        <v>48</v>
      </c>
      <c r="C39" s="431"/>
      <c r="D39" s="431"/>
      <c r="E39" s="431"/>
      <c r="F39" s="431"/>
      <c r="G39" s="431"/>
      <c r="H39" s="431"/>
      <c r="I39" s="431"/>
      <c r="J39" s="431"/>
      <c r="K39" s="431"/>
      <c r="L39" s="246"/>
      <c r="M39" s="246"/>
    </row>
    <row r="40" spans="1:13" ht="30" customHeight="1" x14ac:dyDescent="0.2">
      <c r="A40" s="421" t="s">
        <v>32</v>
      </c>
      <c r="B40" s="431" t="s">
        <v>49</v>
      </c>
      <c r="C40" s="431"/>
      <c r="D40" s="431"/>
      <c r="E40" s="431"/>
      <c r="F40" s="431"/>
      <c r="G40" s="431"/>
      <c r="H40" s="431"/>
      <c r="I40" s="431"/>
      <c r="J40" s="431"/>
      <c r="K40" s="431"/>
      <c r="L40" s="246"/>
      <c r="M40" s="246"/>
    </row>
    <row r="41" spans="1:13" ht="30" customHeight="1" thickBot="1" x14ac:dyDescent="0.25">
      <c r="A41" s="260" t="s">
        <v>33</v>
      </c>
      <c r="B41" s="432" t="s">
        <v>50</v>
      </c>
      <c r="C41" s="432"/>
      <c r="D41" s="432"/>
      <c r="E41" s="432"/>
      <c r="F41" s="432"/>
      <c r="G41" s="432"/>
      <c r="H41" s="432"/>
      <c r="I41" s="432"/>
      <c r="J41" s="432"/>
      <c r="K41" s="432"/>
      <c r="L41" s="246"/>
      <c r="M41" s="246"/>
    </row>
    <row r="42" spans="1:13" s="169" customFormat="1" ht="30.75" customHeight="1" thickBot="1" x14ac:dyDescent="0.25">
      <c r="A42" s="260" t="s">
        <v>34</v>
      </c>
      <c r="B42" s="432" t="s">
        <v>51</v>
      </c>
      <c r="C42" s="432"/>
      <c r="D42" s="432"/>
      <c r="E42" s="432"/>
      <c r="F42" s="432"/>
      <c r="G42" s="432"/>
      <c r="H42" s="432"/>
      <c r="I42" s="432"/>
      <c r="J42" s="432"/>
      <c r="K42" s="432"/>
      <c r="L42" s="254"/>
      <c r="M42" s="254"/>
    </row>
    <row r="43" spans="1:13" ht="19.5" customHeight="1" thickBot="1" x14ac:dyDescent="0.25">
      <c r="A43" s="246"/>
      <c r="B43" s="246"/>
      <c r="C43" s="246"/>
      <c r="D43" s="246"/>
      <c r="E43" s="246"/>
      <c r="F43" s="246"/>
      <c r="G43" s="246"/>
      <c r="H43" s="246"/>
      <c r="I43" s="246"/>
      <c r="J43" s="246"/>
      <c r="K43" s="246"/>
      <c r="L43" s="246"/>
      <c r="M43" s="246"/>
    </row>
    <row r="44" spans="1:13" s="171" customFormat="1" x14ac:dyDescent="0.2">
      <c r="A44" s="417" t="s">
        <v>26</v>
      </c>
      <c r="B44" s="422"/>
      <c r="C44" s="423"/>
      <c r="D44" s="423"/>
      <c r="E44" s="423"/>
      <c r="F44" s="423"/>
      <c r="G44" s="423"/>
      <c r="H44" s="423"/>
      <c r="I44" s="423"/>
      <c r="J44" s="423"/>
      <c r="K44" s="423"/>
      <c r="L44" s="418"/>
      <c r="M44" s="418"/>
    </row>
    <row r="45" spans="1:13" s="174" customFormat="1" x14ac:dyDescent="0.2">
      <c r="A45" s="420" t="s">
        <v>27</v>
      </c>
      <c r="B45" s="420" t="s">
        <v>52</v>
      </c>
      <c r="C45" s="172" t="s">
        <v>53</v>
      </c>
      <c r="D45" s="173" t="s">
        <v>54</v>
      </c>
      <c r="E45" s="173"/>
      <c r="F45" s="173"/>
      <c r="G45" s="173"/>
      <c r="H45" s="173"/>
      <c r="I45" s="173"/>
      <c r="J45" s="173"/>
      <c r="K45" s="420" t="s">
        <v>55</v>
      </c>
      <c r="L45" s="78" t="s">
        <v>56</v>
      </c>
      <c r="M45" s="78" t="s">
        <v>57</v>
      </c>
    </row>
    <row r="46" spans="1:13" s="174" customFormat="1" x14ac:dyDescent="0.2">
      <c r="A46" s="79"/>
      <c r="B46" s="421" t="s">
        <v>58</v>
      </c>
      <c r="C46" s="261" t="s">
        <v>59</v>
      </c>
      <c r="D46" s="431" t="s">
        <v>60</v>
      </c>
      <c r="E46" s="433"/>
      <c r="F46" s="433"/>
      <c r="G46" s="433"/>
      <c r="H46" s="433"/>
      <c r="I46" s="433"/>
      <c r="J46" s="433"/>
      <c r="K46" s="421" t="s">
        <v>61</v>
      </c>
      <c r="L46" s="421" t="s">
        <v>61</v>
      </c>
      <c r="M46" s="421" t="s">
        <v>61</v>
      </c>
    </row>
    <row r="47" spans="1:13" s="174" customFormat="1" ht="12.75" customHeight="1" x14ac:dyDescent="0.2">
      <c r="A47" s="421"/>
      <c r="B47" s="421" t="s">
        <v>62</v>
      </c>
      <c r="C47" s="261" t="s">
        <v>63</v>
      </c>
      <c r="D47" s="431" t="s">
        <v>64</v>
      </c>
      <c r="E47" s="433"/>
      <c r="F47" s="433"/>
      <c r="G47" s="433"/>
      <c r="H47" s="433"/>
      <c r="I47" s="433"/>
      <c r="J47" s="433"/>
      <c r="K47" s="421" t="s">
        <v>61</v>
      </c>
      <c r="L47" s="421" t="s">
        <v>61</v>
      </c>
      <c r="M47" s="421" t="s">
        <v>61</v>
      </c>
    </row>
    <row r="48" spans="1:13" s="174" customFormat="1" ht="12.75" customHeight="1" x14ac:dyDescent="0.2">
      <c r="A48" s="421"/>
      <c r="B48" s="421" t="s">
        <v>65</v>
      </c>
      <c r="C48" s="261" t="s">
        <v>66</v>
      </c>
      <c r="D48" s="431" t="s">
        <v>67</v>
      </c>
      <c r="E48" s="433"/>
      <c r="F48" s="433"/>
      <c r="G48" s="433"/>
      <c r="H48" s="433"/>
      <c r="I48" s="433"/>
      <c r="J48" s="433"/>
      <c r="K48" s="421" t="s">
        <v>61</v>
      </c>
      <c r="L48" s="421" t="s">
        <v>61</v>
      </c>
      <c r="M48" s="421" t="s">
        <v>61</v>
      </c>
    </row>
    <row r="49" spans="1:13" s="174" customFormat="1" ht="12.75" customHeight="1" x14ac:dyDescent="0.2">
      <c r="A49" s="421"/>
      <c r="B49" s="421" t="s">
        <v>68</v>
      </c>
      <c r="C49" s="261" t="s">
        <v>69</v>
      </c>
      <c r="D49" s="431" t="s">
        <v>70</v>
      </c>
      <c r="E49" s="433"/>
      <c r="F49" s="433"/>
      <c r="G49" s="433"/>
      <c r="H49" s="433"/>
      <c r="I49" s="433"/>
      <c r="J49" s="433"/>
      <c r="K49" s="421" t="s">
        <v>71</v>
      </c>
      <c r="L49" s="421" t="s">
        <v>61</v>
      </c>
      <c r="M49" s="421" t="s">
        <v>61</v>
      </c>
    </row>
    <row r="50" spans="1:13" s="174" customFormat="1" ht="12.75" customHeight="1" x14ac:dyDescent="0.2">
      <c r="A50" s="421"/>
      <c r="B50" s="421" t="s">
        <v>72</v>
      </c>
      <c r="C50" s="261" t="s">
        <v>73</v>
      </c>
      <c r="D50" s="431" t="s">
        <v>74</v>
      </c>
      <c r="E50" s="433"/>
      <c r="F50" s="433"/>
      <c r="G50" s="433"/>
      <c r="H50" s="433"/>
      <c r="I50" s="433"/>
      <c r="J50" s="433"/>
      <c r="K50" s="421"/>
      <c r="L50" s="421"/>
      <c r="M50" s="421"/>
    </row>
    <row r="51" spans="1:13" s="174" customFormat="1" ht="12.75" customHeight="1" x14ac:dyDescent="0.2">
      <c r="A51" s="421"/>
      <c r="B51" s="421" t="s">
        <v>75</v>
      </c>
      <c r="C51" s="261" t="s">
        <v>76</v>
      </c>
      <c r="D51" s="431" t="s">
        <v>77</v>
      </c>
      <c r="E51" s="433"/>
      <c r="F51" s="433"/>
      <c r="G51" s="433"/>
      <c r="H51" s="433"/>
      <c r="I51" s="433"/>
      <c r="J51" s="433"/>
      <c r="K51" s="421" t="s">
        <v>78</v>
      </c>
      <c r="L51" s="421" t="s">
        <v>61</v>
      </c>
      <c r="M51" s="421" t="s">
        <v>61</v>
      </c>
    </row>
    <row r="52" spans="1:13" s="174" customFormat="1" ht="25.5" customHeight="1" x14ac:dyDescent="0.2">
      <c r="A52" s="421"/>
      <c r="B52" s="421" t="s">
        <v>79</v>
      </c>
      <c r="C52" s="261" t="s">
        <v>80</v>
      </c>
      <c r="D52" s="431" t="s">
        <v>81</v>
      </c>
      <c r="E52" s="433"/>
      <c r="F52" s="433"/>
      <c r="G52" s="433"/>
      <c r="H52" s="433"/>
      <c r="I52" s="433"/>
      <c r="J52" s="433"/>
      <c r="K52" s="421" t="s">
        <v>78</v>
      </c>
      <c r="L52" s="421" t="s">
        <v>61</v>
      </c>
      <c r="M52" s="421" t="s">
        <v>61</v>
      </c>
    </row>
    <row r="53" spans="1:13" s="174" customFormat="1" x14ac:dyDescent="0.2">
      <c r="A53" s="421"/>
      <c r="B53" s="421" t="s">
        <v>82</v>
      </c>
      <c r="C53" s="261" t="s">
        <v>83</v>
      </c>
      <c r="D53" s="431" t="s">
        <v>84</v>
      </c>
      <c r="E53" s="433"/>
      <c r="F53" s="433"/>
      <c r="G53" s="433"/>
      <c r="H53" s="433"/>
      <c r="I53" s="433"/>
      <c r="J53" s="433"/>
      <c r="K53" s="421"/>
      <c r="L53" s="421"/>
      <c r="M53" s="421"/>
    </row>
    <row r="54" spans="1:13" s="174" customFormat="1" x14ac:dyDescent="0.2">
      <c r="A54" s="421"/>
      <c r="B54" s="421" t="s">
        <v>85</v>
      </c>
      <c r="C54" s="261" t="s">
        <v>86</v>
      </c>
      <c r="D54" s="431" t="s">
        <v>87</v>
      </c>
      <c r="E54" s="433"/>
      <c r="F54" s="433"/>
      <c r="G54" s="433"/>
      <c r="H54" s="433"/>
      <c r="I54" s="433"/>
      <c r="J54" s="433"/>
      <c r="K54" s="421"/>
      <c r="L54" s="421"/>
      <c r="M54" s="421"/>
    </row>
    <row r="55" spans="1:13" s="174" customFormat="1" x14ac:dyDescent="0.2">
      <c r="A55" s="421"/>
      <c r="B55" s="421" t="s">
        <v>88</v>
      </c>
      <c r="C55" s="261" t="s">
        <v>89</v>
      </c>
      <c r="D55" s="431" t="s">
        <v>90</v>
      </c>
      <c r="E55" s="433"/>
      <c r="F55" s="433"/>
      <c r="G55" s="433"/>
      <c r="H55" s="433"/>
      <c r="I55" s="433"/>
      <c r="J55" s="433"/>
      <c r="K55" s="421" t="s">
        <v>78</v>
      </c>
      <c r="L55" s="421" t="s">
        <v>61</v>
      </c>
      <c r="M55" s="421" t="s">
        <v>61</v>
      </c>
    </row>
    <row r="56" spans="1:13" s="174" customFormat="1" x14ac:dyDescent="0.2">
      <c r="A56" s="79"/>
      <c r="B56" s="421" t="s">
        <v>91</v>
      </c>
      <c r="C56" s="261" t="s">
        <v>92</v>
      </c>
      <c r="D56" s="431" t="s">
        <v>93</v>
      </c>
      <c r="E56" s="433"/>
      <c r="F56" s="433"/>
      <c r="G56" s="433"/>
      <c r="H56" s="433"/>
      <c r="I56" s="433"/>
      <c r="J56" s="433"/>
      <c r="K56" s="421" t="s">
        <v>78</v>
      </c>
      <c r="L56" s="421" t="s">
        <v>61</v>
      </c>
      <c r="M56" s="421" t="s">
        <v>61</v>
      </c>
    </row>
    <row r="57" spans="1:13" s="174" customFormat="1" x14ac:dyDescent="0.2">
      <c r="A57" s="79"/>
      <c r="B57" s="421" t="s">
        <v>94</v>
      </c>
      <c r="C57" s="261" t="s">
        <v>95</v>
      </c>
      <c r="D57" s="431" t="s">
        <v>96</v>
      </c>
      <c r="E57" s="433"/>
      <c r="F57" s="433"/>
      <c r="G57" s="433"/>
      <c r="H57" s="433"/>
      <c r="I57" s="433"/>
      <c r="J57" s="433"/>
      <c r="K57" s="421"/>
      <c r="L57" s="421"/>
      <c r="M57" s="421"/>
    </row>
    <row r="58" spans="1:13" s="174" customFormat="1" x14ac:dyDescent="0.2">
      <c r="A58" s="421"/>
      <c r="B58" s="421" t="s">
        <v>97</v>
      </c>
      <c r="C58" s="261" t="s">
        <v>98</v>
      </c>
      <c r="D58" s="431" t="s">
        <v>99</v>
      </c>
      <c r="E58" s="433"/>
      <c r="F58" s="433"/>
      <c r="G58" s="433"/>
      <c r="H58" s="433"/>
      <c r="I58" s="433"/>
      <c r="J58" s="433"/>
      <c r="K58" s="421" t="s">
        <v>100</v>
      </c>
      <c r="L58" s="421" t="s">
        <v>101</v>
      </c>
      <c r="M58" s="421" t="s">
        <v>102</v>
      </c>
    </row>
    <row r="59" spans="1:13" s="174" customFormat="1" ht="12.75" customHeight="1" x14ac:dyDescent="0.2">
      <c r="A59" s="421"/>
      <c r="B59" s="421" t="s">
        <v>103</v>
      </c>
      <c r="C59" s="261" t="s">
        <v>104</v>
      </c>
      <c r="D59" s="431" t="s">
        <v>105</v>
      </c>
      <c r="E59" s="433"/>
      <c r="F59" s="433"/>
      <c r="G59" s="433"/>
      <c r="H59" s="433"/>
      <c r="I59" s="433"/>
      <c r="J59" s="433"/>
      <c r="K59" s="421" t="s">
        <v>78</v>
      </c>
      <c r="L59" s="421" t="s">
        <v>61</v>
      </c>
      <c r="M59" s="421" t="s">
        <v>61</v>
      </c>
    </row>
    <row r="60" spans="1:13" s="174" customFormat="1" ht="12.75" customHeight="1" x14ac:dyDescent="0.2">
      <c r="A60" s="421"/>
      <c r="B60" s="421" t="s">
        <v>106</v>
      </c>
      <c r="C60" s="261" t="s">
        <v>107</v>
      </c>
      <c r="D60" s="431" t="s">
        <v>108</v>
      </c>
      <c r="E60" s="433"/>
      <c r="F60" s="433"/>
      <c r="G60" s="433"/>
      <c r="H60" s="433"/>
      <c r="I60" s="433"/>
      <c r="J60" s="433"/>
      <c r="K60" s="421" t="s">
        <v>100</v>
      </c>
      <c r="L60" s="421" t="s">
        <v>101</v>
      </c>
      <c r="M60" s="421" t="s">
        <v>102</v>
      </c>
    </row>
    <row r="61" spans="1:13" s="174" customFormat="1" ht="12.75" customHeight="1" x14ac:dyDescent="0.2">
      <c r="A61" s="421"/>
      <c r="B61" s="421" t="s">
        <v>109</v>
      </c>
      <c r="C61" s="261" t="s">
        <v>110</v>
      </c>
      <c r="D61" s="431" t="s">
        <v>111</v>
      </c>
      <c r="E61" s="433"/>
      <c r="F61" s="433"/>
      <c r="G61" s="433"/>
      <c r="H61" s="433"/>
      <c r="I61" s="433"/>
      <c r="J61" s="433"/>
      <c r="K61" s="421" t="s">
        <v>78</v>
      </c>
      <c r="L61" s="421" t="s">
        <v>61</v>
      </c>
      <c r="M61" s="421" t="s">
        <v>61</v>
      </c>
    </row>
    <row r="62" spans="1:13" s="174" customFormat="1" x14ac:dyDescent="0.2">
      <c r="A62" s="421"/>
      <c r="B62" s="421" t="s">
        <v>112</v>
      </c>
      <c r="C62" s="261" t="s">
        <v>113</v>
      </c>
      <c r="D62" s="431" t="s">
        <v>114</v>
      </c>
      <c r="E62" s="433"/>
      <c r="F62" s="433"/>
      <c r="G62" s="433"/>
      <c r="H62" s="433"/>
      <c r="I62" s="433"/>
      <c r="J62" s="433"/>
      <c r="K62" s="421" t="s">
        <v>100</v>
      </c>
      <c r="L62" s="421" t="s">
        <v>101</v>
      </c>
      <c r="M62" s="421" t="s">
        <v>102</v>
      </c>
    </row>
    <row r="63" spans="1:13" s="174" customFormat="1" x14ac:dyDescent="0.2">
      <c r="A63" s="421"/>
      <c r="B63" s="421" t="s">
        <v>115</v>
      </c>
      <c r="C63" s="261" t="s">
        <v>116</v>
      </c>
      <c r="D63" s="431" t="s">
        <v>117</v>
      </c>
      <c r="E63" s="433"/>
      <c r="F63" s="433"/>
      <c r="G63" s="433"/>
      <c r="H63" s="433"/>
      <c r="I63" s="433"/>
      <c r="J63" s="433"/>
      <c r="K63" s="421" t="s">
        <v>78</v>
      </c>
      <c r="L63" s="421" t="s">
        <v>61</v>
      </c>
      <c r="M63" s="421" t="s">
        <v>61</v>
      </c>
    </row>
    <row r="64" spans="1:13" s="174" customFormat="1" ht="12.75" customHeight="1" x14ac:dyDescent="0.2">
      <c r="A64" s="421"/>
      <c r="B64" s="421" t="s">
        <v>118</v>
      </c>
      <c r="C64" s="261" t="s">
        <v>119</v>
      </c>
      <c r="D64" s="431" t="s">
        <v>120</v>
      </c>
      <c r="E64" s="433"/>
      <c r="F64" s="433"/>
      <c r="G64" s="433"/>
      <c r="H64" s="433"/>
      <c r="I64" s="433"/>
      <c r="J64" s="433"/>
      <c r="K64" s="421" t="s">
        <v>100</v>
      </c>
      <c r="L64" s="421" t="s">
        <v>101</v>
      </c>
      <c r="M64" s="421" t="s">
        <v>102</v>
      </c>
    </row>
    <row r="65" spans="1:13" s="174" customFormat="1" ht="12.75" customHeight="1" x14ac:dyDescent="0.2">
      <c r="A65" s="421"/>
      <c r="B65" s="421" t="s">
        <v>121</v>
      </c>
      <c r="C65" s="261" t="s">
        <v>122</v>
      </c>
      <c r="D65" s="431" t="s">
        <v>123</v>
      </c>
      <c r="E65" s="433"/>
      <c r="F65" s="433"/>
      <c r="G65" s="433"/>
      <c r="H65" s="433"/>
      <c r="I65" s="433"/>
      <c r="J65" s="433"/>
      <c r="K65" s="421" t="s">
        <v>78</v>
      </c>
      <c r="L65" s="421" t="s">
        <v>61</v>
      </c>
      <c r="M65" s="421" t="s">
        <v>61</v>
      </c>
    </row>
    <row r="66" spans="1:13" s="174" customFormat="1" ht="12.75" customHeight="1" x14ac:dyDescent="0.2">
      <c r="A66" s="421"/>
      <c r="B66" s="421" t="s">
        <v>124</v>
      </c>
      <c r="C66" s="261" t="s">
        <v>125</v>
      </c>
      <c r="D66" s="431" t="s">
        <v>126</v>
      </c>
      <c r="E66" s="433"/>
      <c r="F66" s="433"/>
      <c r="G66" s="433"/>
      <c r="H66" s="433"/>
      <c r="I66" s="433"/>
      <c r="J66" s="433"/>
      <c r="K66" s="421" t="s">
        <v>100</v>
      </c>
      <c r="L66" s="421" t="s">
        <v>101</v>
      </c>
      <c r="M66" s="421" t="s">
        <v>102</v>
      </c>
    </row>
    <row r="67" spans="1:13" s="174" customFormat="1" ht="12.75" customHeight="1" x14ac:dyDescent="0.2">
      <c r="A67" s="421"/>
      <c r="B67" s="421" t="s">
        <v>127</v>
      </c>
      <c r="C67" s="261" t="s">
        <v>128</v>
      </c>
      <c r="D67" s="431" t="s">
        <v>129</v>
      </c>
      <c r="E67" s="433"/>
      <c r="F67" s="433"/>
      <c r="G67" s="433"/>
      <c r="H67" s="433"/>
      <c r="I67" s="433"/>
      <c r="J67" s="433"/>
      <c r="K67" s="421" t="s">
        <v>78</v>
      </c>
      <c r="L67" s="421" t="s">
        <v>61</v>
      </c>
      <c r="M67" s="421" t="s">
        <v>61</v>
      </c>
    </row>
    <row r="68" spans="1:13" s="174" customFormat="1" ht="12.75" customHeight="1" x14ac:dyDescent="0.2">
      <c r="A68" s="421"/>
      <c r="B68" s="421" t="s">
        <v>130</v>
      </c>
      <c r="C68" s="261" t="s">
        <v>131</v>
      </c>
      <c r="D68" s="431" t="s">
        <v>132</v>
      </c>
      <c r="E68" s="433"/>
      <c r="F68" s="433"/>
      <c r="G68" s="433"/>
      <c r="H68" s="433"/>
      <c r="I68" s="433"/>
      <c r="J68" s="433"/>
      <c r="K68" s="421" t="s">
        <v>100</v>
      </c>
      <c r="L68" s="421" t="s">
        <v>101</v>
      </c>
      <c r="M68" s="421" t="s">
        <v>102</v>
      </c>
    </row>
    <row r="69" spans="1:13" s="174" customFormat="1" ht="12.75" customHeight="1" x14ac:dyDescent="0.2">
      <c r="A69" s="421"/>
      <c r="B69" s="421" t="s">
        <v>133</v>
      </c>
      <c r="C69" s="261" t="s">
        <v>134</v>
      </c>
      <c r="D69" s="431" t="s">
        <v>135</v>
      </c>
      <c r="E69" s="433"/>
      <c r="F69" s="433"/>
      <c r="G69" s="433"/>
      <c r="H69" s="433"/>
      <c r="I69" s="433"/>
      <c r="J69" s="433"/>
      <c r="K69" s="421" t="s">
        <v>136</v>
      </c>
      <c r="L69" s="421" t="s">
        <v>101</v>
      </c>
      <c r="M69" s="421" t="s">
        <v>102</v>
      </c>
    </row>
    <row r="70" spans="1:13" s="174" customFormat="1" ht="12.75" customHeight="1" x14ac:dyDescent="0.2">
      <c r="A70" s="421"/>
      <c r="B70" s="421" t="s">
        <v>137</v>
      </c>
      <c r="C70" s="261" t="s">
        <v>138</v>
      </c>
      <c r="D70" s="431" t="s">
        <v>139</v>
      </c>
      <c r="E70" s="433"/>
      <c r="F70" s="433"/>
      <c r="G70" s="433"/>
      <c r="H70" s="433"/>
      <c r="I70" s="433"/>
      <c r="J70" s="433"/>
      <c r="K70" s="421"/>
      <c r="L70" s="421"/>
      <c r="M70" s="421"/>
    </row>
    <row r="71" spans="1:13" s="174" customFormat="1" ht="12.75" customHeight="1" x14ac:dyDescent="0.2">
      <c r="A71" s="421"/>
      <c r="B71" s="421" t="s">
        <v>140</v>
      </c>
      <c r="C71" s="261" t="s">
        <v>141</v>
      </c>
      <c r="D71" s="431" t="s">
        <v>142</v>
      </c>
      <c r="E71" s="433"/>
      <c r="F71" s="433"/>
      <c r="G71" s="433"/>
      <c r="H71" s="433"/>
      <c r="I71" s="433"/>
      <c r="J71" s="433"/>
      <c r="K71" s="421"/>
      <c r="L71" s="421"/>
      <c r="M71" s="421"/>
    </row>
    <row r="72" spans="1:13" s="174" customFormat="1" ht="25.5" customHeight="1" x14ac:dyDescent="0.2">
      <c r="A72" s="421" t="s">
        <v>143</v>
      </c>
      <c r="B72" s="421" t="s">
        <v>143</v>
      </c>
      <c r="C72" s="261" t="s">
        <v>144</v>
      </c>
      <c r="D72" s="431" t="s">
        <v>145</v>
      </c>
      <c r="E72" s="433"/>
      <c r="F72" s="433"/>
      <c r="G72" s="433"/>
      <c r="H72" s="433"/>
      <c r="I72" s="433"/>
      <c r="J72" s="433"/>
      <c r="K72" s="421" t="s">
        <v>61</v>
      </c>
      <c r="L72" s="421" t="s">
        <v>61</v>
      </c>
      <c r="M72" s="421" t="s">
        <v>61</v>
      </c>
    </row>
    <row r="73" spans="1:13" s="174" customFormat="1" ht="12.75" customHeight="1" x14ac:dyDescent="0.2">
      <c r="A73" s="421" t="s">
        <v>62</v>
      </c>
      <c r="B73" s="421" t="s">
        <v>62</v>
      </c>
      <c r="C73" s="261" t="s">
        <v>146</v>
      </c>
      <c r="D73" s="431" t="s">
        <v>64</v>
      </c>
      <c r="E73" s="433"/>
      <c r="F73" s="433"/>
      <c r="G73" s="433"/>
      <c r="H73" s="433"/>
      <c r="I73" s="433"/>
      <c r="J73" s="433"/>
      <c r="K73" s="421" t="s">
        <v>61</v>
      </c>
      <c r="L73" s="421" t="s">
        <v>61</v>
      </c>
      <c r="M73" s="421"/>
    </row>
    <row r="74" spans="1:13" s="174" customFormat="1" ht="12.75" customHeight="1" x14ac:dyDescent="0.2">
      <c r="A74" s="421" t="s">
        <v>65</v>
      </c>
      <c r="B74" s="421" t="s">
        <v>65</v>
      </c>
      <c r="C74" s="261" t="s">
        <v>147</v>
      </c>
      <c r="D74" s="431" t="s">
        <v>67</v>
      </c>
      <c r="E74" s="433"/>
      <c r="F74" s="433"/>
      <c r="G74" s="433"/>
      <c r="H74" s="433"/>
      <c r="I74" s="433"/>
      <c r="J74" s="433"/>
      <c r="K74" s="421" t="s">
        <v>61</v>
      </c>
      <c r="L74" s="421" t="s">
        <v>61</v>
      </c>
      <c r="M74" s="421" t="s">
        <v>61</v>
      </c>
    </row>
    <row r="75" spans="1:13" s="174" customFormat="1" ht="12.75" customHeight="1" x14ac:dyDescent="0.2">
      <c r="A75" s="421" t="s">
        <v>68</v>
      </c>
      <c r="B75" s="421" t="s">
        <v>68</v>
      </c>
      <c r="C75" s="261" t="s">
        <v>148</v>
      </c>
      <c r="D75" s="431" t="s">
        <v>70</v>
      </c>
      <c r="E75" s="433"/>
      <c r="F75" s="433"/>
      <c r="G75" s="433"/>
      <c r="H75" s="433"/>
      <c r="I75" s="433"/>
      <c r="J75" s="433"/>
      <c r="K75" s="421" t="s">
        <v>71</v>
      </c>
      <c r="L75" s="421" t="s">
        <v>61</v>
      </c>
      <c r="M75" s="421" t="s">
        <v>61</v>
      </c>
    </row>
    <row r="76" spans="1:13" s="174" customFormat="1" ht="12.75" customHeight="1" x14ac:dyDescent="0.2">
      <c r="A76" s="421" t="s">
        <v>72</v>
      </c>
      <c r="B76" s="421" t="s">
        <v>72</v>
      </c>
      <c r="C76" s="261" t="s">
        <v>149</v>
      </c>
      <c r="D76" s="431" t="s">
        <v>150</v>
      </c>
      <c r="E76" s="433"/>
      <c r="F76" s="433"/>
      <c r="G76" s="433"/>
      <c r="H76" s="433"/>
      <c r="I76" s="433"/>
      <c r="J76" s="433"/>
      <c r="K76" s="421"/>
      <c r="L76" s="421"/>
      <c r="M76" s="421"/>
    </row>
    <row r="77" spans="1:13" s="174" customFormat="1" ht="12.75" customHeight="1" x14ac:dyDescent="0.2">
      <c r="A77" s="421" t="s">
        <v>75</v>
      </c>
      <c r="B77" s="421" t="s">
        <v>75</v>
      </c>
      <c r="C77" s="261" t="s">
        <v>151</v>
      </c>
      <c r="D77" s="431" t="s">
        <v>152</v>
      </c>
      <c r="E77" s="433"/>
      <c r="F77" s="433"/>
      <c r="G77" s="433"/>
      <c r="H77" s="433"/>
      <c r="I77" s="433"/>
      <c r="J77" s="433"/>
      <c r="K77" s="421" t="s">
        <v>78</v>
      </c>
      <c r="L77" s="421" t="s">
        <v>61</v>
      </c>
      <c r="M77" s="421" t="s">
        <v>61</v>
      </c>
    </row>
    <row r="78" spans="1:13" s="174" customFormat="1" x14ac:dyDescent="0.2">
      <c r="A78" s="421" t="s">
        <v>79</v>
      </c>
      <c r="B78" s="421" t="s">
        <v>79</v>
      </c>
      <c r="C78" s="261" t="s">
        <v>153</v>
      </c>
      <c r="D78" s="431" t="s">
        <v>154</v>
      </c>
      <c r="E78" s="433"/>
      <c r="F78" s="433"/>
      <c r="G78" s="433"/>
      <c r="H78" s="433"/>
      <c r="I78" s="433"/>
      <c r="J78" s="433"/>
      <c r="K78" s="421" t="s">
        <v>78</v>
      </c>
      <c r="L78" s="421" t="s">
        <v>61</v>
      </c>
      <c r="M78" s="421" t="s">
        <v>61</v>
      </c>
    </row>
    <row r="79" spans="1:13" s="174" customFormat="1" ht="12.75" customHeight="1" x14ac:dyDescent="0.2">
      <c r="A79" s="421" t="s">
        <v>82</v>
      </c>
      <c r="B79" s="421" t="s">
        <v>82</v>
      </c>
      <c r="C79" s="261" t="s">
        <v>155</v>
      </c>
      <c r="D79" s="431" t="s">
        <v>156</v>
      </c>
      <c r="E79" s="433"/>
      <c r="F79" s="433"/>
      <c r="G79" s="433"/>
      <c r="H79" s="433"/>
      <c r="I79" s="433"/>
      <c r="J79" s="433"/>
      <c r="K79" s="421" t="s">
        <v>78</v>
      </c>
      <c r="L79" s="421" t="s">
        <v>61</v>
      </c>
      <c r="M79" s="421" t="s">
        <v>61</v>
      </c>
    </row>
    <row r="80" spans="1:13" s="174" customFormat="1" ht="12.75" customHeight="1" x14ac:dyDescent="0.2">
      <c r="A80" s="421" t="s">
        <v>85</v>
      </c>
      <c r="B80" s="421" t="s">
        <v>85</v>
      </c>
      <c r="C80" s="261" t="s">
        <v>157</v>
      </c>
      <c r="D80" s="431" t="s">
        <v>158</v>
      </c>
      <c r="E80" s="433"/>
      <c r="F80" s="433"/>
      <c r="G80" s="433"/>
      <c r="H80" s="433"/>
      <c r="I80" s="433"/>
      <c r="J80" s="433"/>
      <c r="K80" s="421" t="s">
        <v>100</v>
      </c>
      <c r="L80" s="421" t="s">
        <v>101</v>
      </c>
      <c r="M80" s="421" t="s">
        <v>102</v>
      </c>
    </row>
    <row r="81" spans="1:13" s="174" customFormat="1" ht="12.75" customHeight="1" x14ac:dyDescent="0.2">
      <c r="A81" s="421" t="s">
        <v>88</v>
      </c>
      <c r="B81" s="421" t="s">
        <v>88</v>
      </c>
      <c r="C81" s="261" t="s">
        <v>159</v>
      </c>
      <c r="D81" s="431" t="s">
        <v>160</v>
      </c>
      <c r="E81" s="433"/>
      <c r="F81" s="433"/>
      <c r="G81" s="433"/>
      <c r="H81" s="433"/>
      <c r="I81" s="433"/>
      <c r="J81" s="433"/>
      <c r="K81" s="421" t="s">
        <v>78</v>
      </c>
      <c r="L81" s="421" t="s">
        <v>61</v>
      </c>
      <c r="M81" s="421" t="s">
        <v>61</v>
      </c>
    </row>
    <row r="82" spans="1:13" s="174" customFormat="1" ht="12.75" customHeight="1" x14ac:dyDescent="0.2">
      <c r="A82" s="421" t="s">
        <v>97</v>
      </c>
      <c r="B82" s="421" t="s">
        <v>97</v>
      </c>
      <c r="C82" s="261" t="s">
        <v>161</v>
      </c>
      <c r="D82" s="431" t="s">
        <v>162</v>
      </c>
      <c r="E82" s="433"/>
      <c r="F82" s="433"/>
      <c r="G82" s="433"/>
      <c r="H82" s="433"/>
      <c r="I82" s="433"/>
      <c r="J82" s="433"/>
      <c r="K82" s="421" t="s">
        <v>100</v>
      </c>
      <c r="L82" s="421" t="s">
        <v>101</v>
      </c>
      <c r="M82" s="421" t="s">
        <v>102</v>
      </c>
    </row>
    <row r="83" spans="1:13" s="174" customFormat="1" ht="12.75" customHeight="1" x14ac:dyDescent="0.2">
      <c r="A83" s="421" t="s">
        <v>163</v>
      </c>
      <c r="B83" s="421" t="s">
        <v>163</v>
      </c>
      <c r="C83" s="261" t="s">
        <v>164</v>
      </c>
      <c r="D83" s="431" t="s">
        <v>165</v>
      </c>
      <c r="E83" s="433"/>
      <c r="F83" s="433"/>
      <c r="G83" s="433"/>
      <c r="H83" s="433"/>
      <c r="I83" s="433"/>
      <c r="J83" s="433"/>
      <c r="K83" s="421" t="s">
        <v>78</v>
      </c>
      <c r="L83" s="421" t="s">
        <v>61</v>
      </c>
      <c r="M83" s="421" t="s">
        <v>61</v>
      </c>
    </row>
    <row r="84" spans="1:13" s="174" customFormat="1" ht="12.75" customHeight="1" x14ac:dyDescent="0.2">
      <c r="A84" s="421" t="s">
        <v>166</v>
      </c>
      <c r="B84" s="421" t="s">
        <v>166</v>
      </c>
      <c r="C84" s="261" t="s">
        <v>167</v>
      </c>
      <c r="D84" s="431" t="s">
        <v>168</v>
      </c>
      <c r="E84" s="433"/>
      <c r="F84" s="433"/>
      <c r="G84" s="433"/>
      <c r="H84" s="433"/>
      <c r="I84" s="433"/>
      <c r="J84" s="433"/>
      <c r="K84" s="421" t="s">
        <v>78</v>
      </c>
      <c r="L84" s="421" t="s">
        <v>61</v>
      </c>
      <c r="M84" s="421" t="s">
        <v>61</v>
      </c>
    </row>
    <row r="85" spans="1:13" s="174" customFormat="1" ht="12.75" customHeight="1" x14ac:dyDescent="0.2">
      <c r="A85" s="421" t="s">
        <v>169</v>
      </c>
      <c r="B85" s="421" t="s">
        <v>106</v>
      </c>
      <c r="C85" s="261" t="s">
        <v>170</v>
      </c>
      <c r="D85" s="431" t="s">
        <v>171</v>
      </c>
      <c r="E85" s="433"/>
      <c r="F85" s="433"/>
      <c r="G85" s="433"/>
      <c r="H85" s="433"/>
      <c r="I85" s="433"/>
      <c r="J85" s="433"/>
      <c r="K85" s="421" t="s">
        <v>100</v>
      </c>
      <c r="L85" s="421" t="s">
        <v>101</v>
      </c>
      <c r="M85" s="421" t="s">
        <v>102</v>
      </c>
    </row>
    <row r="86" spans="1:13" s="174" customFormat="1" ht="12.75" customHeight="1" x14ac:dyDescent="0.2">
      <c r="A86" s="421" t="s">
        <v>172</v>
      </c>
      <c r="B86" s="421" t="s">
        <v>172</v>
      </c>
      <c r="C86" s="261" t="s">
        <v>173</v>
      </c>
      <c r="D86" s="431" t="s">
        <v>174</v>
      </c>
      <c r="E86" s="433"/>
      <c r="F86" s="433"/>
      <c r="G86" s="433"/>
      <c r="H86" s="433"/>
      <c r="I86" s="433"/>
      <c r="J86" s="433"/>
      <c r="K86" s="421" t="s">
        <v>78</v>
      </c>
      <c r="L86" s="421" t="s">
        <v>61</v>
      </c>
      <c r="M86" s="421" t="s">
        <v>61</v>
      </c>
    </row>
    <row r="87" spans="1:13" s="174" customFormat="1" ht="12.75" customHeight="1" x14ac:dyDescent="0.2">
      <c r="A87" s="421" t="s">
        <v>175</v>
      </c>
      <c r="B87" s="421" t="s">
        <v>175</v>
      </c>
      <c r="C87" s="261" t="s">
        <v>176</v>
      </c>
      <c r="D87" s="431" t="s">
        <v>177</v>
      </c>
      <c r="E87" s="433"/>
      <c r="F87" s="433"/>
      <c r="G87" s="433"/>
      <c r="H87" s="433"/>
      <c r="I87" s="433"/>
      <c r="J87" s="433"/>
      <c r="K87" s="421" t="s">
        <v>78</v>
      </c>
      <c r="L87" s="421" t="s">
        <v>61</v>
      </c>
      <c r="M87" s="421" t="s">
        <v>61</v>
      </c>
    </row>
    <row r="88" spans="1:13" s="174" customFormat="1" ht="12.75" customHeight="1" x14ac:dyDescent="0.2">
      <c r="A88" s="421" t="s">
        <v>178</v>
      </c>
      <c r="B88" s="421" t="s">
        <v>112</v>
      </c>
      <c r="C88" s="261" t="s">
        <v>179</v>
      </c>
      <c r="D88" s="431" t="s">
        <v>180</v>
      </c>
      <c r="E88" s="433"/>
      <c r="F88" s="433"/>
      <c r="G88" s="433"/>
      <c r="H88" s="433"/>
      <c r="I88" s="433"/>
      <c r="J88" s="433"/>
      <c r="K88" s="421" t="s">
        <v>100</v>
      </c>
      <c r="L88" s="421" t="s">
        <v>101</v>
      </c>
      <c r="M88" s="421" t="s">
        <v>102</v>
      </c>
    </row>
    <row r="89" spans="1:13" s="174" customFormat="1" ht="12.75" customHeight="1" x14ac:dyDescent="0.2">
      <c r="A89" s="421" t="s">
        <v>181</v>
      </c>
      <c r="B89" s="421" t="s">
        <v>181</v>
      </c>
      <c r="C89" s="261" t="s">
        <v>182</v>
      </c>
      <c r="D89" s="431" t="s">
        <v>183</v>
      </c>
      <c r="E89" s="433"/>
      <c r="F89" s="433"/>
      <c r="G89" s="433"/>
      <c r="H89" s="433"/>
      <c r="I89" s="433"/>
      <c r="J89" s="433"/>
      <c r="K89" s="421" t="s">
        <v>78</v>
      </c>
      <c r="L89" s="421" t="s">
        <v>61</v>
      </c>
      <c r="M89" s="421" t="s">
        <v>61</v>
      </c>
    </row>
    <row r="90" spans="1:13" s="174" customFormat="1" ht="12.75" customHeight="1" x14ac:dyDescent="0.2">
      <c r="A90" s="421" t="s">
        <v>184</v>
      </c>
      <c r="B90" s="421" t="s">
        <v>184</v>
      </c>
      <c r="C90" s="261" t="s">
        <v>185</v>
      </c>
      <c r="D90" s="431" t="s">
        <v>186</v>
      </c>
      <c r="E90" s="433"/>
      <c r="F90" s="433"/>
      <c r="G90" s="433"/>
      <c r="H90" s="433"/>
      <c r="I90" s="433"/>
      <c r="J90" s="433"/>
      <c r="K90" s="421" t="s">
        <v>78</v>
      </c>
      <c r="L90" s="421" t="s">
        <v>61</v>
      </c>
      <c r="M90" s="421" t="s">
        <v>61</v>
      </c>
    </row>
    <row r="91" spans="1:13" s="174" customFormat="1" ht="12.75" customHeight="1" x14ac:dyDescent="0.2">
      <c r="A91" s="421" t="s">
        <v>187</v>
      </c>
      <c r="B91" s="421" t="s">
        <v>118</v>
      </c>
      <c r="C91" s="261" t="s">
        <v>188</v>
      </c>
      <c r="D91" s="431" t="s">
        <v>189</v>
      </c>
      <c r="E91" s="433"/>
      <c r="F91" s="433"/>
      <c r="G91" s="433"/>
      <c r="H91" s="433"/>
      <c r="I91" s="433"/>
      <c r="J91" s="433"/>
      <c r="K91" s="421" t="s">
        <v>100</v>
      </c>
      <c r="L91" s="421" t="s">
        <v>101</v>
      </c>
      <c r="M91" s="421" t="s">
        <v>102</v>
      </c>
    </row>
    <row r="92" spans="1:13" s="174" customFormat="1" ht="12.75" customHeight="1" x14ac:dyDescent="0.2">
      <c r="A92" s="421" t="s">
        <v>190</v>
      </c>
      <c r="B92" s="421" t="s">
        <v>190</v>
      </c>
      <c r="C92" s="261" t="s">
        <v>191</v>
      </c>
      <c r="D92" s="431" t="s">
        <v>192</v>
      </c>
      <c r="E92" s="433"/>
      <c r="F92" s="433"/>
      <c r="G92" s="433"/>
      <c r="H92" s="433"/>
      <c r="I92" s="433"/>
      <c r="J92" s="433"/>
      <c r="K92" s="421" t="s">
        <v>78</v>
      </c>
      <c r="L92" s="421" t="s">
        <v>61</v>
      </c>
      <c r="M92" s="421" t="s">
        <v>61</v>
      </c>
    </row>
    <row r="93" spans="1:13" s="174" customFormat="1" ht="12.75" customHeight="1" x14ac:dyDescent="0.2">
      <c r="A93" s="421" t="s">
        <v>193</v>
      </c>
      <c r="B93" s="421" t="s">
        <v>193</v>
      </c>
      <c r="C93" s="261" t="s">
        <v>194</v>
      </c>
      <c r="D93" s="431" t="s">
        <v>195</v>
      </c>
      <c r="E93" s="433"/>
      <c r="F93" s="433"/>
      <c r="G93" s="433"/>
      <c r="H93" s="433"/>
      <c r="I93" s="433"/>
      <c r="J93" s="433"/>
      <c r="K93" s="421" t="s">
        <v>78</v>
      </c>
      <c r="L93" s="421" t="s">
        <v>61</v>
      </c>
      <c r="M93" s="421" t="s">
        <v>61</v>
      </c>
    </row>
    <row r="94" spans="1:13" s="174" customFormat="1" ht="12.75" customHeight="1" x14ac:dyDescent="0.2">
      <c r="A94" s="421" t="s">
        <v>196</v>
      </c>
      <c r="B94" s="421" t="s">
        <v>124</v>
      </c>
      <c r="C94" s="261" t="s">
        <v>197</v>
      </c>
      <c r="D94" s="431" t="s">
        <v>198</v>
      </c>
      <c r="E94" s="433"/>
      <c r="F94" s="433"/>
      <c r="G94" s="433"/>
      <c r="H94" s="433"/>
      <c r="I94" s="433"/>
      <c r="J94" s="433"/>
      <c r="K94" s="421" t="s">
        <v>100</v>
      </c>
      <c r="L94" s="421" t="s">
        <v>101</v>
      </c>
      <c r="M94" s="421" t="s">
        <v>102</v>
      </c>
    </row>
    <row r="95" spans="1:13" s="174" customFormat="1" ht="12.75" customHeight="1" x14ac:dyDescent="0.2">
      <c r="A95" s="421" t="s">
        <v>127</v>
      </c>
      <c r="B95" s="421" t="s">
        <v>127</v>
      </c>
      <c r="C95" s="261" t="s">
        <v>199</v>
      </c>
      <c r="D95" s="431" t="s">
        <v>200</v>
      </c>
      <c r="E95" s="433"/>
      <c r="F95" s="433"/>
      <c r="G95" s="433"/>
      <c r="H95" s="433"/>
      <c r="I95" s="433"/>
      <c r="J95" s="433"/>
      <c r="K95" s="421" t="s">
        <v>78</v>
      </c>
      <c r="L95" s="421" t="s">
        <v>61</v>
      </c>
      <c r="M95" s="421" t="s">
        <v>61</v>
      </c>
    </row>
    <row r="96" spans="1:13" s="174" customFormat="1" ht="12.75" customHeight="1" x14ac:dyDescent="0.2">
      <c r="A96" s="421" t="s">
        <v>130</v>
      </c>
      <c r="B96" s="421" t="s">
        <v>130</v>
      </c>
      <c r="C96" s="261" t="s">
        <v>201</v>
      </c>
      <c r="D96" s="431" t="s">
        <v>202</v>
      </c>
      <c r="E96" s="433"/>
      <c r="F96" s="433"/>
      <c r="G96" s="433"/>
      <c r="H96" s="433"/>
      <c r="I96" s="433"/>
      <c r="J96" s="433"/>
      <c r="K96" s="421" t="s">
        <v>78</v>
      </c>
      <c r="L96" s="421" t="s">
        <v>61</v>
      </c>
      <c r="M96" s="421" t="s">
        <v>61</v>
      </c>
    </row>
    <row r="97" spans="1:13" s="174" customFormat="1" ht="12.75" customHeight="1" x14ac:dyDescent="0.2">
      <c r="A97" s="421" t="s">
        <v>133</v>
      </c>
      <c r="B97" s="421" t="s">
        <v>133</v>
      </c>
      <c r="C97" s="261" t="s">
        <v>203</v>
      </c>
      <c r="D97" s="431" t="s">
        <v>204</v>
      </c>
      <c r="E97" s="433"/>
      <c r="F97" s="433"/>
      <c r="G97" s="433"/>
      <c r="H97" s="433"/>
      <c r="I97" s="433"/>
      <c r="J97" s="433"/>
      <c r="K97" s="421" t="s">
        <v>78</v>
      </c>
      <c r="L97" s="421" t="s">
        <v>61</v>
      </c>
      <c r="M97" s="421" t="s">
        <v>61</v>
      </c>
    </row>
    <row r="98" spans="1:13" s="174" customFormat="1" ht="12.75" customHeight="1" x14ac:dyDescent="0.2">
      <c r="A98" s="421" t="s">
        <v>137</v>
      </c>
      <c r="B98" s="421" t="s">
        <v>137</v>
      </c>
      <c r="C98" s="261" t="s">
        <v>205</v>
      </c>
      <c r="D98" s="431" t="s">
        <v>206</v>
      </c>
      <c r="E98" s="433"/>
      <c r="F98" s="433"/>
      <c r="G98" s="433"/>
      <c r="H98" s="433"/>
      <c r="I98" s="433"/>
      <c r="J98" s="433"/>
      <c r="K98" s="421" t="s">
        <v>207</v>
      </c>
      <c r="L98" s="421" t="s">
        <v>101</v>
      </c>
      <c r="M98" s="421" t="s">
        <v>102</v>
      </c>
    </row>
    <row r="99" spans="1:13" s="174" customFormat="1" ht="12.75" customHeight="1" x14ac:dyDescent="0.2">
      <c r="A99" s="421" t="s">
        <v>208</v>
      </c>
      <c r="B99" s="421" t="s">
        <v>140</v>
      </c>
      <c r="C99" s="261" t="s">
        <v>209</v>
      </c>
      <c r="D99" s="431" t="s">
        <v>142</v>
      </c>
      <c r="E99" s="433"/>
      <c r="F99" s="433"/>
      <c r="G99" s="433"/>
      <c r="H99" s="433"/>
      <c r="I99" s="433"/>
      <c r="J99" s="433"/>
      <c r="K99" s="421" t="s">
        <v>61</v>
      </c>
      <c r="L99" s="421" t="s">
        <v>61</v>
      </c>
      <c r="M99" s="421" t="s">
        <v>61</v>
      </c>
    </row>
    <row r="100" spans="1:13" s="174" customFormat="1" x14ac:dyDescent="0.2">
      <c r="A100" s="420" t="s">
        <v>28</v>
      </c>
      <c r="B100" s="420" t="s">
        <v>210</v>
      </c>
      <c r="C100" s="434" t="s">
        <v>54</v>
      </c>
      <c r="D100" s="434"/>
      <c r="E100" s="434"/>
      <c r="F100" s="434"/>
      <c r="G100" s="434"/>
      <c r="H100" s="434"/>
      <c r="I100" s="434"/>
      <c r="J100" s="434"/>
      <c r="K100" s="420" t="s">
        <v>55</v>
      </c>
      <c r="L100" s="78" t="s">
        <v>56</v>
      </c>
      <c r="M100" s="78" t="s">
        <v>57</v>
      </c>
    </row>
    <row r="101" spans="1:13" s="174" customFormat="1" x14ac:dyDescent="0.2">
      <c r="A101" s="421"/>
      <c r="B101" s="421" t="s">
        <v>58</v>
      </c>
      <c r="C101" s="261"/>
      <c r="D101" s="431" t="s">
        <v>211</v>
      </c>
      <c r="E101" s="433"/>
      <c r="F101" s="433"/>
      <c r="G101" s="433"/>
      <c r="H101" s="433"/>
      <c r="I101" s="433"/>
      <c r="J101" s="433"/>
      <c r="K101" s="421" t="s">
        <v>61</v>
      </c>
      <c r="L101" s="421" t="s">
        <v>61</v>
      </c>
      <c r="M101" s="421" t="s">
        <v>61</v>
      </c>
    </row>
    <row r="102" spans="1:13" s="174" customFormat="1" x14ac:dyDescent="0.2">
      <c r="A102" s="420" t="s">
        <v>30</v>
      </c>
      <c r="B102" s="420" t="s">
        <v>210</v>
      </c>
      <c r="C102" s="434" t="s">
        <v>54</v>
      </c>
      <c r="D102" s="434"/>
      <c r="E102" s="434"/>
      <c r="F102" s="434"/>
      <c r="G102" s="434"/>
      <c r="H102" s="434"/>
      <c r="I102" s="434"/>
      <c r="J102" s="434"/>
      <c r="K102" s="420" t="s">
        <v>55</v>
      </c>
      <c r="L102" s="78" t="s">
        <v>56</v>
      </c>
      <c r="M102" s="78" t="s">
        <v>57</v>
      </c>
    </row>
    <row r="103" spans="1:13" s="174" customFormat="1" ht="12.75" customHeight="1" x14ac:dyDescent="0.2">
      <c r="A103" s="421"/>
      <c r="B103" s="421" t="s">
        <v>58</v>
      </c>
      <c r="C103" s="261"/>
      <c r="D103" s="431" t="s">
        <v>212</v>
      </c>
      <c r="E103" s="433"/>
      <c r="F103" s="433"/>
      <c r="G103" s="433"/>
      <c r="H103" s="433"/>
      <c r="I103" s="433"/>
      <c r="J103" s="433"/>
      <c r="K103" s="421" t="s">
        <v>61</v>
      </c>
      <c r="L103" s="421" t="s">
        <v>61</v>
      </c>
      <c r="M103" s="421" t="s">
        <v>61</v>
      </c>
    </row>
    <row r="104" spans="1:13" s="174" customFormat="1" ht="12.75" customHeight="1" x14ac:dyDescent="0.2">
      <c r="A104" s="79" t="s">
        <v>45</v>
      </c>
      <c r="B104" s="421" t="s">
        <v>213</v>
      </c>
      <c r="C104" s="419"/>
      <c r="D104" s="431" t="s">
        <v>214</v>
      </c>
      <c r="E104" s="433"/>
      <c r="F104" s="433"/>
      <c r="G104" s="433"/>
      <c r="H104" s="433"/>
      <c r="I104" s="433"/>
      <c r="J104" s="433"/>
      <c r="K104" s="421"/>
      <c r="L104" s="421"/>
      <c r="M104" s="421"/>
    </row>
    <row r="105" spans="1:13" s="174" customFormat="1" x14ac:dyDescent="0.2">
      <c r="A105" s="420" t="s">
        <v>215</v>
      </c>
      <c r="B105" s="420" t="s">
        <v>210</v>
      </c>
      <c r="C105" s="434" t="s">
        <v>54</v>
      </c>
      <c r="D105" s="434"/>
      <c r="E105" s="434"/>
      <c r="F105" s="434"/>
      <c r="G105" s="434"/>
      <c r="H105" s="434"/>
      <c r="I105" s="434"/>
      <c r="J105" s="434"/>
      <c r="K105" s="420" t="s">
        <v>55</v>
      </c>
      <c r="L105" s="78" t="s">
        <v>56</v>
      </c>
      <c r="M105" s="78" t="s">
        <v>57</v>
      </c>
    </row>
    <row r="106" spans="1:13" s="174" customFormat="1" ht="12.75" customHeight="1" x14ac:dyDescent="0.2">
      <c r="A106" s="421"/>
      <c r="B106" s="421" t="s">
        <v>216</v>
      </c>
      <c r="C106" s="261"/>
      <c r="D106" s="431" t="s">
        <v>217</v>
      </c>
      <c r="E106" s="433"/>
      <c r="F106" s="433"/>
      <c r="G106" s="433"/>
      <c r="H106" s="433"/>
      <c r="I106" s="433"/>
      <c r="J106" s="433"/>
      <c r="K106" s="421" t="s">
        <v>61</v>
      </c>
      <c r="L106" s="421" t="s">
        <v>61</v>
      </c>
      <c r="M106" s="421" t="s">
        <v>61</v>
      </c>
    </row>
    <row r="107" spans="1:13" s="174" customFormat="1" x14ac:dyDescent="0.2">
      <c r="A107" s="421"/>
      <c r="B107" s="421"/>
      <c r="C107" s="431"/>
      <c r="D107" s="431"/>
      <c r="E107" s="431"/>
      <c r="F107" s="431"/>
      <c r="G107" s="431"/>
      <c r="H107" s="431"/>
      <c r="I107" s="431"/>
      <c r="J107" s="431"/>
      <c r="K107" s="421"/>
      <c r="L107" s="421"/>
      <c r="M107" s="421"/>
    </row>
    <row r="108" spans="1:13" s="174" customFormat="1" x14ac:dyDescent="0.2">
      <c r="A108" s="421"/>
      <c r="B108" s="421"/>
      <c r="C108" s="435"/>
      <c r="D108" s="435"/>
      <c r="E108" s="435"/>
      <c r="F108" s="435"/>
      <c r="G108" s="435"/>
      <c r="H108" s="435"/>
      <c r="I108" s="435"/>
      <c r="J108" s="435"/>
      <c r="K108" s="421"/>
      <c r="L108" s="421"/>
      <c r="M108" s="421"/>
    </row>
    <row r="109" spans="1:13" s="174" customFormat="1" ht="12.75" customHeight="1" x14ac:dyDescent="0.2">
      <c r="A109" s="421"/>
      <c r="B109" s="421"/>
      <c r="C109" s="431"/>
      <c r="D109" s="431"/>
      <c r="E109" s="431"/>
      <c r="F109" s="431"/>
      <c r="G109" s="431"/>
      <c r="H109" s="431"/>
      <c r="I109" s="431"/>
      <c r="J109" s="431"/>
      <c r="K109" s="421"/>
      <c r="L109" s="421"/>
      <c r="M109" s="421"/>
    </row>
    <row r="110" spans="1:13" s="174" customFormat="1" ht="12.75" customHeight="1" x14ac:dyDescent="0.2">
      <c r="A110" s="421"/>
      <c r="B110" s="421"/>
      <c r="C110" s="431"/>
      <c r="D110" s="431"/>
      <c r="E110" s="431"/>
      <c r="F110" s="431"/>
      <c r="G110" s="431"/>
      <c r="H110" s="431"/>
      <c r="I110" s="431"/>
      <c r="J110" s="431"/>
      <c r="K110" s="421"/>
      <c r="L110" s="421"/>
      <c r="M110" s="421"/>
    </row>
    <row r="111" spans="1:13" s="174" customFormat="1" ht="12.75" customHeight="1" x14ac:dyDescent="0.2">
      <c r="A111" s="421"/>
      <c r="B111" s="421"/>
      <c r="C111" s="431"/>
      <c r="D111" s="431"/>
      <c r="E111" s="431"/>
      <c r="F111" s="431"/>
      <c r="G111" s="431"/>
      <c r="H111" s="431"/>
      <c r="I111" s="431"/>
      <c r="J111" s="431"/>
      <c r="K111" s="421"/>
      <c r="L111" s="421"/>
      <c r="M111" s="421"/>
    </row>
    <row r="112" spans="1:13" s="174" customFormat="1" ht="12.75" customHeight="1" x14ac:dyDescent="0.2">
      <c r="A112" s="421"/>
      <c r="B112" s="421"/>
      <c r="C112" s="431"/>
      <c r="D112" s="431"/>
      <c r="E112" s="431"/>
      <c r="F112" s="431"/>
      <c r="G112" s="431"/>
      <c r="H112" s="431"/>
      <c r="I112" s="431"/>
      <c r="J112" s="431"/>
      <c r="K112" s="421"/>
      <c r="L112" s="421"/>
      <c r="M112" s="421"/>
    </row>
    <row r="113" spans="1:11" s="174" customFormat="1" x14ac:dyDescent="0.2">
      <c r="A113" s="421"/>
      <c r="B113" s="421"/>
      <c r="C113" s="431"/>
      <c r="D113" s="431"/>
      <c r="E113" s="431"/>
      <c r="F113" s="431"/>
      <c r="G113" s="431"/>
      <c r="H113" s="431"/>
      <c r="I113" s="431"/>
      <c r="J113" s="431"/>
      <c r="K113" s="421"/>
    </row>
    <row r="114" spans="1:11" s="174" customFormat="1" ht="12.75" customHeight="1" x14ac:dyDescent="0.2">
      <c r="A114" s="421"/>
      <c r="B114" s="421"/>
      <c r="C114" s="431"/>
      <c r="D114" s="431"/>
      <c r="E114" s="431"/>
      <c r="F114" s="431"/>
      <c r="G114" s="431"/>
      <c r="H114" s="431"/>
      <c r="I114" s="431"/>
      <c r="J114" s="431"/>
      <c r="K114" s="421"/>
    </row>
    <row r="115" spans="1:11" s="174" customFormat="1" ht="12.75" customHeight="1" x14ac:dyDescent="0.2">
      <c r="A115" s="421"/>
      <c r="B115" s="421"/>
      <c r="C115" s="431"/>
      <c r="D115" s="431"/>
      <c r="E115" s="431"/>
      <c r="F115" s="431"/>
      <c r="G115" s="431"/>
      <c r="H115" s="431"/>
      <c r="I115" s="431"/>
      <c r="J115" s="431"/>
      <c r="K115" s="421"/>
    </row>
    <row r="116" spans="1:11" s="174" customFormat="1" x14ac:dyDescent="0.2">
      <c r="A116" s="421"/>
      <c r="B116" s="421"/>
      <c r="C116" s="431"/>
      <c r="D116" s="431"/>
      <c r="E116" s="431"/>
      <c r="F116" s="431"/>
      <c r="G116" s="431"/>
      <c r="H116" s="431"/>
      <c r="I116" s="431"/>
      <c r="J116" s="431"/>
      <c r="K116" s="421"/>
    </row>
    <row r="117" spans="1:11" s="174" customFormat="1" x14ac:dyDescent="0.2">
      <c r="A117" s="421"/>
      <c r="B117" s="421"/>
      <c r="C117" s="435"/>
      <c r="D117" s="435"/>
      <c r="E117" s="435"/>
      <c r="F117" s="435"/>
      <c r="G117" s="435"/>
      <c r="H117" s="435"/>
      <c r="I117" s="435"/>
      <c r="J117" s="435"/>
      <c r="K117" s="421"/>
    </row>
    <row r="118" spans="1:11" s="174" customFormat="1" x14ac:dyDescent="0.2">
      <c r="A118" s="421"/>
      <c r="B118" s="421"/>
      <c r="C118" s="421"/>
      <c r="D118" s="421"/>
      <c r="E118" s="421"/>
      <c r="F118" s="421"/>
      <c r="G118" s="421"/>
      <c r="H118" s="421"/>
      <c r="I118" s="421"/>
      <c r="J118" s="421"/>
      <c r="K118" s="421"/>
    </row>
    <row r="119" spans="1:11" s="174" customFormat="1" x14ac:dyDescent="0.2">
      <c r="A119" s="421"/>
      <c r="B119" s="421"/>
      <c r="C119" s="421"/>
      <c r="D119" s="421"/>
      <c r="E119" s="421"/>
      <c r="F119" s="421"/>
      <c r="G119" s="421"/>
      <c r="H119" s="421"/>
      <c r="I119" s="421"/>
      <c r="J119" s="421"/>
      <c r="K119" s="421"/>
    </row>
    <row r="120" spans="1:11" s="174" customFormat="1" x14ac:dyDescent="0.2">
      <c r="A120" s="421"/>
      <c r="B120" s="421"/>
      <c r="C120" s="421"/>
      <c r="D120" s="421"/>
      <c r="E120" s="421"/>
      <c r="F120" s="421"/>
      <c r="G120" s="421"/>
      <c r="H120" s="421"/>
      <c r="I120" s="421"/>
      <c r="J120" s="421"/>
      <c r="K120" s="421"/>
    </row>
    <row r="121" spans="1:11" s="174" customFormat="1" x14ac:dyDescent="0.2">
      <c r="A121" s="421"/>
      <c r="B121" s="421"/>
      <c r="C121" s="421"/>
      <c r="D121" s="421"/>
      <c r="E121" s="421"/>
      <c r="F121" s="421"/>
      <c r="G121" s="421"/>
      <c r="H121" s="421"/>
      <c r="I121" s="421"/>
      <c r="J121" s="421"/>
      <c r="K121" s="421"/>
    </row>
    <row r="122" spans="1:11" s="174" customFormat="1" x14ac:dyDescent="0.2">
      <c r="A122" s="421"/>
      <c r="B122" s="421"/>
      <c r="C122" s="421"/>
      <c r="D122" s="421"/>
      <c r="E122" s="421"/>
      <c r="F122" s="421"/>
      <c r="G122" s="421"/>
      <c r="H122" s="421"/>
      <c r="I122" s="421"/>
      <c r="J122" s="421"/>
      <c r="K122" s="421"/>
    </row>
    <row r="123" spans="1:11" s="174" customFormat="1" x14ac:dyDescent="0.2">
      <c r="A123" s="421"/>
      <c r="B123" s="421"/>
      <c r="C123" s="421"/>
      <c r="D123" s="421"/>
      <c r="E123" s="421"/>
      <c r="F123" s="421"/>
      <c r="G123" s="421"/>
      <c r="H123" s="421"/>
      <c r="I123" s="421"/>
      <c r="J123" s="421"/>
      <c r="K123" s="421"/>
    </row>
    <row r="124" spans="1:11" s="174" customFormat="1" x14ac:dyDescent="0.2">
      <c r="A124" s="421"/>
      <c r="B124" s="421"/>
      <c r="C124" s="421"/>
      <c r="D124" s="421"/>
      <c r="E124" s="421"/>
      <c r="F124" s="421"/>
      <c r="G124" s="421"/>
      <c r="H124" s="421"/>
      <c r="I124" s="421"/>
      <c r="J124" s="421"/>
      <c r="K124" s="421"/>
    </row>
    <row r="125" spans="1:11" s="174" customFormat="1" x14ac:dyDescent="0.2">
      <c r="A125" s="421"/>
      <c r="B125" s="421"/>
      <c r="C125" s="421"/>
      <c r="D125" s="421"/>
      <c r="E125" s="421"/>
      <c r="F125" s="421"/>
      <c r="G125" s="421"/>
      <c r="H125" s="421"/>
      <c r="I125" s="421"/>
      <c r="J125" s="421"/>
      <c r="K125" s="421"/>
    </row>
    <row r="126" spans="1:11" s="174" customFormat="1" x14ac:dyDescent="0.2">
      <c r="A126" s="421"/>
      <c r="B126" s="421"/>
      <c r="C126" s="421"/>
      <c r="D126" s="421"/>
      <c r="E126" s="421"/>
      <c r="F126" s="421"/>
      <c r="G126" s="421"/>
      <c r="H126" s="421"/>
      <c r="I126" s="421"/>
      <c r="J126" s="421"/>
      <c r="K126" s="421"/>
    </row>
    <row r="127" spans="1:11" s="174" customFormat="1" x14ac:dyDescent="0.2">
      <c r="A127" s="421"/>
      <c r="B127" s="421"/>
      <c r="C127" s="421"/>
      <c r="D127" s="421"/>
      <c r="E127" s="421"/>
      <c r="F127" s="421"/>
      <c r="G127" s="421"/>
      <c r="H127" s="421"/>
      <c r="I127" s="421"/>
      <c r="J127" s="421"/>
      <c r="K127" s="421"/>
    </row>
    <row r="128" spans="1:11" s="174" customFormat="1" x14ac:dyDescent="0.2">
      <c r="A128" s="421"/>
      <c r="B128" s="421"/>
      <c r="C128" s="421"/>
      <c r="D128" s="421"/>
      <c r="E128" s="421"/>
      <c r="F128" s="421"/>
      <c r="G128" s="421"/>
      <c r="H128" s="421"/>
      <c r="I128" s="421"/>
      <c r="J128" s="421"/>
      <c r="K128" s="421"/>
    </row>
    <row r="129" s="174" customFormat="1" x14ac:dyDescent="0.2"/>
  </sheetData>
  <mergeCells count="84">
    <mergeCell ref="C117:J117"/>
    <mergeCell ref="D106:J106"/>
    <mergeCell ref="C107:J107"/>
    <mergeCell ref="C108:J108"/>
    <mergeCell ref="C109:J109"/>
    <mergeCell ref="C110:J110"/>
    <mergeCell ref="C111:J111"/>
    <mergeCell ref="C112:J112"/>
    <mergeCell ref="C113:J113"/>
    <mergeCell ref="C114:J114"/>
    <mergeCell ref="C115:J115"/>
    <mergeCell ref="C116:J116"/>
    <mergeCell ref="C105:J105"/>
    <mergeCell ref="D94:J94"/>
    <mergeCell ref="D95:J95"/>
    <mergeCell ref="D96:J96"/>
    <mergeCell ref="D97:J97"/>
    <mergeCell ref="D98:J98"/>
    <mergeCell ref="D99:J99"/>
    <mergeCell ref="C100:J100"/>
    <mergeCell ref="D101:J101"/>
    <mergeCell ref="C102:J102"/>
    <mergeCell ref="D103:J103"/>
    <mergeCell ref="D104:J104"/>
    <mergeCell ref="D93:J93"/>
    <mergeCell ref="D82:J82"/>
    <mergeCell ref="D83:J83"/>
    <mergeCell ref="D84:J84"/>
    <mergeCell ref="D85:J85"/>
    <mergeCell ref="D86:J86"/>
    <mergeCell ref="D87:J87"/>
    <mergeCell ref="D88:J88"/>
    <mergeCell ref="D89:J89"/>
    <mergeCell ref="D90:J90"/>
    <mergeCell ref="D91:J91"/>
    <mergeCell ref="D92:J92"/>
    <mergeCell ref="D81:J81"/>
    <mergeCell ref="D70:J70"/>
    <mergeCell ref="D71:J71"/>
    <mergeCell ref="D72:J72"/>
    <mergeCell ref="D73:J73"/>
    <mergeCell ref="D74:J74"/>
    <mergeCell ref="D75:J75"/>
    <mergeCell ref="D76:J76"/>
    <mergeCell ref="D77:J77"/>
    <mergeCell ref="D78:J78"/>
    <mergeCell ref="D79:J79"/>
    <mergeCell ref="D80:J80"/>
    <mergeCell ref="D69:J69"/>
    <mergeCell ref="D58:J58"/>
    <mergeCell ref="D59:J59"/>
    <mergeCell ref="D60:J60"/>
    <mergeCell ref="D61:J61"/>
    <mergeCell ref="D62:J62"/>
    <mergeCell ref="D63:J63"/>
    <mergeCell ref="D64:J64"/>
    <mergeCell ref="D65:J65"/>
    <mergeCell ref="D66:J66"/>
    <mergeCell ref="D67:J67"/>
    <mergeCell ref="D68:J68"/>
    <mergeCell ref="D57:J57"/>
    <mergeCell ref="D46:J46"/>
    <mergeCell ref="D47:J47"/>
    <mergeCell ref="D48:J48"/>
    <mergeCell ref="D49:J49"/>
    <mergeCell ref="D50:J50"/>
    <mergeCell ref="D51:J51"/>
    <mergeCell ref="D52:J52"/>
    <mergeCell ref="D53:J53"/>
    <mergeCell ref="D54:J54"/>
    <mergeCell ref="D55:J55"/>
    <mergeCell ref="D56:J56"/>
    <mergeCell ref="B44:K44"/>
    <mergeCell ref="B31:K31"/>
    <mergeCell ref="B32:K32"/>
    <mergeCell ref="B33:K33"/>
    <mergeCell ref="B34:K34"/>
    <mergeCell ref="B35:K35"/>
    <mergeCell ref="B36:K36"/>
    <mergeCell ref="B38:K38"/>
    <mergeCell ref="B39:K39"/>
    <mergeCell ref="B40:K40"/>
    <mergeCell ref="B41:K41"/>
    <mergeCell ref="B42:K42"/>
  </mergeCells>
  <hyperlinks>
    <hyperlink ref="A15" location="Metadata!A1" tooltip="Go to Metadata worksheet" display="Metadata" xr:uid="{00000000-0004-0000-0000-000000000000}"/>
    <hyperlink ref="A16" location="Metadata!B2" tooltip="Go to Contact Information" display="Contact Information" xr:uid="{00000000-0004-0000-0000-000001000000}"/>
    <hyperlink ref="A17" location="Metadata!A31" tooltip="Go to Data Summary" display="Summary" xr:uid="{00000000-0004-0000-0000-000002000000}"/>
    <hyperlink ref="A18" location="Metadata!A32" tooltip="Go to Data Use Limitations" display="Use Limitations" xr:uid="{00000000-0004-0000-0000-000003000000}"/>
    <hyperlink ref="A19" location="Metadata!A33" tooltip="Go to References" display="References" xr:uid="{00000000-0004-0000-0000-000004000000}"/>
    <hyperlink ref="A21" location="Metadata!A86" tooltip="Go to the Data Descriptions (Metadata)" display="Data Descriptions" xr:uid="{00000000-0004-0000-0000-000005000000}"/>
    <hyperlink ref="A22" location="Metadata!A86" tooltip="Go to the UBC CHN 18-19 worksheet data descriptions" display="UBC CHN 18-19 worksheet" xr:uid="{00000000-0004-0000-0000-000006000000}"/>
    <hyperlink ref="A23" location="Metadata!A144" tooltip="Go to the UBC RBT 18-19 worksheet data descriptions" display="UBC RBT 18-19 worksheet" xr:uid="{00000000-0004-0000-0000-000007000000}"/>
    <hyperlink ref="A37" location="Metadata!A14" tooltip="Return to the Table of Contents" display="Return to Table of Contents" xr:uid="{00000000-0004-0000-0000-000008000000}"/>
    <hyperlink ref="A20" location="Metadata!A74" tooltip="Go to the Excel Worksheet Descriptions" display="Worksheet Descriptions" xr:uid="{00000000-0004-0000-0000-000009000000}"/>
    <hyperlink ref="A104" location="Metadata!A14" tooltip="Return to the Table of Contents" display="Return to Table of Contents" xr:uid="{00000000-0004-0000-0000-00000A000000}"/>
    <hyperlink ref="A27" location="'UBC RBT 18-19'!A1" tooltip="Go to the UBC RBT 18-19 worksheet" display="UBC RBT 18-19" xr:uid="{00000000-0004-0000-0000-00000B000000}"/>
    <hyperlink ref="A29" location="'UBC Tables &amp; Figures '!A1" tooltip="Go to the UBC CHN 17-18 worksheet" display="UBC CHN 17-18" xr:uid="{00000000-0004-0000-0000-00000C000000}"/>
    <hyperlink ref="A24" location="Metadata!A144" tooltip="Go to the Tables &amp; Figures worksheet datadescriptions" display="Tables &amp; Figures worksheet" xr:uid="{00000000-0004-0000-0000-00000D000000}"/>
    <hyperlink ref="A26" location="'UBC CHN 18-19'!A1" tooltip="Go to the UBC CHN 18-19 worksheet" display="UBC CHN 18-19" xr:uid="{00000000-0004-0000-0000-00000E000000}"/>
    <hyperlink ref="A25" location="Metadata!A144" tooltip="Go to the UBC CHN 18-19 worksheet data descriptions" display="UBC CHN 17-18 worksheet" xr:uid="{00000000-0004-0000-0000-00000F000000}"/>
    <hyperlink ref="A28" location="'UBC Tables &amp; Figures '!A1" tooltip="Go to the UBC Tables &amp; Figures worksheet" display="UBC Tables &amp; Figures " xr:uid="{00000000-0004-0000-0000-000010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
  <sheetViews>
    <sheetView workbookViewId="0">
      <selection activeCell="B3" sqref="B3"/>
    </sheetView>
  </sheetViews>
  <sheetFormatPr defaultColWidth="9.140625" defaultRowHeight="12.75" x14ac:dyDescent="0.2"/>
  <cols>
    <col min="1" max="1" width="20" bestFit="1" customWidth="1"/>
    <col min="2" max="2" width="20.42578125" bestFit="1" customWidth="1"/>
    <col min="3" max="3" width="9.85546875" bestFit="1" customWidth="1"/>
    <col min="4" max="4" width="11.7109375" style="51" bestFit="1" customWidth="1"/>
    <col min="5" max="5" width="8.140625" style="51" bestFit="1" customWidth="1"/>
    <col min="6" max="6" width="10" style="51" bestFit="1" customWidth="1"/>
    <col min="7" max="7" width="10" bestFit="1" customWidth="1"/>
  </cols>
  <sheetData>
    <row r="1" spans="1:16" ht="15" x14ac:dyDescent="0.25">
      <c r="A1" s="52" t="s">
        <v>218</v>
      </c>
      <c r="B1" s="52" t="s">
        <v>219</v>
      </c>
      <c r="C1" s="52" t="s">
        <v>220</v>
      </c>
      <c r="D1" s="50" t="s">
        <v>221</v>
      </c>
      <c r="E1" s="50" t="s">
        <v>222</v>
      </c>
      <c r="F1" s="50" t="s">
        <v>223</v>
      </c>
      <c r="G1" s="52" t="s">
        <v>224</v>
      </c>
      <c r="L1" s="53"/>
      <c r="M1" s="55"/>
      <c r="N1" s="54"/>
      <c r="O1" s="55"/>
      <c r="P1" s="54"/>
    </row>
    <row r="2" spans="1:16" ht="15" x14ac:dyDescent="0.25">
      <c r="A2" s="52" t="s">
        <v>20</v>
      </c>
      <c r="B2" s="52" t="s">
        <v>225</v>
      </c>
      <c r="C2" s="52" t="s">
        <v>226</v>
      </c>
      <c r="D2" s="51">
        <v>43467</v>
      </c>
      <c r="L2" s="53"/>
      <c r="M2" s="55"/>
      <c r="N2" s="54"/>
      <c r="O2" s="53"/>
      <c r="P2" s="53"/>
    </row>
    <row r="3" spans="1:16" ht="15" x14ac:dyDescent="0.25">
      <c r="A3" s="52"/>
      <c r="B3" s="52"/>
      <c r="C3" s="52"/>
      <c r="L3" s="53"/>
      <c r="M3" s="55"/>
      <c r="N3" s="54"/>
      <c r="O3" s="55"/>
      <c r="P3" s="54"/>
    </row>
    <row r="4" spans="1:16" ht="15" x14ac:dyDescent="0.25">
      <c r="A4" s="52"/>
      <c r="B4" s="52"/>
      <c r="C4" s="52"/>
      <c r="L4" s="53"/>
      <c r="M4" s="55"/>
      <c r="N4" s="54"/>
      <c r="O4" s="55"/>
      <c r="P4" s="54"/>
    </row>
    <row r="5" spans="1:16" ht="15" x14ac:dyDescent="0.25">
      <c r="L5" s="53"/>
      <c r="M5" s="55"/>
      <c r="N5" s="54"/>
      <c r="O5" s="55"/>
      <c r="P5" s="54"/>
    </row>
    <row r="6" spans="1:16" ht="15" x14ac:dyDescent="0.25">
      <c r="L6" s="53"/>
      <c r="M6" s="55"/>
      <c r="N6" s="54"/>
      <c r="O6" s="55"/>
      <c r="P6" s="54"/>
    </row>
    <row r="7" spans="1:16" ht="15" x14ac:dyDescent="0.25">
      <c r="L7" s="53"/>
      <c r="M7" s="55"/>
      <c r="N7" s="54"/>
      <c r="O7" s="55"/>
      <c r="P7" s="54"/>
    </row>
    <row r="8" spans="1:16" ht="15" x14ac:dyDescent="0.25">
      <c r="L8" s="53"/>
      <c r="M8" s="55"/>
      <c r="N8" s="54"/>
      <c r="O8" s="55"/>
      <c r="P8" s="54"/>
    </row>
    <row r="9" spans="1:16" ht="15" x14ac:dyDescent="0.25">
      <c r="L9" s="53"/>
      <c r="M9" s="55"/>
      <c r="N9" s="54"/>
      <c r="O9" s="53"/>
      <c r="P9" s="53"/>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99A8-8AE8-4DB1-9F87-9675E7082745}">
  <sheetPr>
    <tabColor theme="5" tint="0.39997558519241921"/>
  </sheetPr>
  <dimension ref="A1:BH302"/>
  <sheetViews>
    <sheetView zoomScale="80" zoomScaleNormal="80" workbookViewId="0">
      <pane ySplit="2" topLeftCell="A24" activePane="bottomLeft" state="frozen"/>
      <selection activeCell="A3" sqref="A3"/>
      <selection pane="bottomLeft" activeCell="O8" sqref="O8"/>
    </sheetView>
  </sheetViews>
  <sheetFormatPr defaultColWidth="5.42578125" defaultRowHeight="18" customHeight="1" x14ac:dyDescent="0.2"/>
  <cols>
    <col min="1" max="1" width="4.85546875" style="24" bestFit="1" customWidth="1"/>
    <col min="2" max="3" width="8.7109375" style="105" bestFit="1" customWidth="1"/>
    <col min="4" max="4" width="4.140625" style="113" bestFit="1" customWidth="1"/>
    <col min="5" max="5" width="9.85546875" style="113" customWidth="1"/>
    <col min="6" max="6" width="8" style="19" customWidth="1"/>
    <col min="7" max="7" width="6.42578125" style="114" customWidth="1"/>
    <col min="8" max="8" width="14" style="114" customWidth="1"/>
    <col min="9" max="9" width="17.42578125" style="114" customWidth="1"/>
    <col min="10" max="10" width="17.42578125" style="113" customWidth="1"/>
    <col min="11" max="11" width="14.140625" style="113" customWidth="1"/>
    <col min="12" max="12" width="7.28515625" style="113" customWidth="1"/>
    <col min="13" max="13" width="11.42578125" style="26" customWidth="1"/>
    <col min="14" max="14" width="6.140625" style="19" customWidth="1"/>
    <col min="15" max="15" width="7.28515625" style="15" bestFit="1" customWidth="1"/>
    <col min="16" max="16" width="4.140625" style="19" bestFit="1" customWidth="1"/>
    <col min="17" max="17" width="7.28515625" style="15" bestFit="1" customWidth="1"/>
    <col min="18" max="18" width="4.140625" style="19" bestFit="1" customWidth="1"/>
    <col min="19" max="19" width="7.28515625" style="15" bestFit="1" customWidth="1"/>
    <col min="20" max="20" width="4.140625" style="19" bestFit="1" customWidth="1"/>
    <col min="21" max="21" width="7.28515625" style="15" bestFit="1" customWidth="1"/>
    <col min="22" max="23" width="4.140625" style="132" bestFit="1" customWidth="1"/>
    <col min="24" max="24" width="6.85546875" style="132" bestFit="1" customWidth="1"/>
    <col min="25" max="25" width="8.5703125" style="15" bestFit="1" customWidth="1"/>
    <col min="26" max="26" width="6.28515625" style="15" bestFit="1" customWidth="1"/>
    <col min="27" max="27" width="15" style="15" customWidth="1"/>
    <col min="28" max="28" width="8.85546875" style="15" customWidth="1"/>
    <col min="29" max="29" width="12.42578125" style="15" customWidth="1"/>
    <col min="30" max="30" width="8.7109375" style="105" bestFit="1" customWidth="1"/>
    <col min="31" max="31" width="8.42578125" style="105" bestFit="1" customWidth="1"/>
    <col min="32" max="32" width="4.140625" style="19" bestFit="1" customWidth="1"/>
    <col min="33" max="33" width="4.140625" style="19" customWidth="1"/>
    <col min="34" max="35" width="4.42578125" style="19" bestFit="1" customWidth="1"/>
    <col min="36" max="36" width="4.28515625" style="19" bestFit="1" customWidth="1"/>
    <col min="37" max="38" width="4.140625" style="19" bestFit="1" customWidth="1"/>
    <col min="39" max="39" width="7.28515625" style="136" bestFit="1" customWidth="1"/>
    <col min="40" max="41" width="4.140625" style="19" bestFit="1" customWidth="1"/>
    <col min="42" max="42" width="7.28515625" style="26" bestFit="1" customWidth="1"/>
    <col min="43" max="44" width="4.140625" style="19" bestFit="1" customWidth="1"/>
    <col min="45" max="45" width="7.28515625" style="26" bestFit="1" customWidth="1"/>
    <col min="46" max="47" width="4.140625" style="19" bestFit="1" customWidth="1"/>
    <col min="48" max="48" width="7.28515625" style="26" bestFit="1" customWidth="1"/>
    <col min="49" max="50" width="4.140625" style="19" bestFit="1" customWidth="1"/>
    <col min="51" max="51" width="7.28515625" style="26" bestFit="1" customWidth="1"/>
    <col min="52" max="54" width="4.140625" style="19" bestFit="1" customWidth="1"/>
    <col min="55" max="55" width="7.140625" style="24" bestFit="1" customWidth="1"/>
    <col min="56" max="56" width="9.42578125" style="24" bestFit="1" customWidth="1"/>
    <col min="57" max="57" width="8.85546875" style="15" bestFit="1" customWidth="1"/>
    <col min="58" max="58" width="10.7109375" style="15" bestFit="1" customWidth="1"/>
    <col min="59" max="59" width="90.140625" style="15" bestFit="1" customWidth="1"/>
    <col min="60" max="60" width="8.140625" style="15" bestFit="1" customWidth="1"/>
    <col min="61" max="64" width="5.42578125" style="15" customWidth="1"/>
    <col min="65" max="16384" width="5.42578125" style="15"/>
  </cols>
  <sheetData>
    <row r="1" spans="1:60" ht="26.25" hidden="1" customHeight="1" x14ac:dyDescent="0.3">
      <c r="A1" s="49" t="s">
        <v>227</v>
      </c>
      <c r="B1" s="106"/>
      <c r="C1" s="106"/>
      <c r="D1" s="109"/>
      <c r="E1" s="109"/>
      <c r="F1" s="109"/>
      <c r="G1" s="109"/>
      <c r="H1" s="109"/>
      <c r="I1" s="109"/>
      <c r="J1" s="109"/>
      <c r="K1" s="137" t="s">
        <v>228</v>
      </c>
      <c r="L1" s="138"/>
      <c r="M1" s="139"/>
      <c r="N1" s="140"/>
      <c r="O1" s="141"/>
      <c r="P1" s="141"/>
      <c r="Q1" s="208"/>
      <c r="R1" s="209"/>
      <c r="S1" s="208"/>
      <c r="T1" s="109"/>
      <c r="U1" s="48"/>
      <c r="V1" s="109"/>
      <c r="W1" s="109"/>
      <c r="X1" s="109"/>
      <c r="Y1" s="48"/>
      <c r="Z1" s="48"/>
      <c r="AA1" s="206"/>
      <c r="AB1" s="206"/>
      <c r="AC1" s="7" t="s">
        <v>229</v>
      </c>
      <c r="AD1" s="102"/>
      <c r="AE1" s="102"/>
      <c r="AF1" s="10"/>
      <c r="AG1" s="10"/>
      <c r="AH1" s="10"/>
      <c r="AI1" s="10"/>
      <c r="AJ1" s="10"/>
      <c r="AK1" s="10"/>
      <c r="AL1" s="10"/>
      <c r="AM1" s="135"/>
      <c r="AN1" s="10"/>
      <c r="AO1" s="10"/>
      <c r="AP1" s="11"/>
      <c r="AQ1" s="10"/>
      <c r="AR1" s="10"/>
      <c r="AS1" s="11"/>
      <c r="AT1" s="10"/>
      <c r="AU1" s="10"/>
      <c r="AV1" s="11"/>
      <c r="AW1" s="10"/>
      <c r="AX1" s="10"/>
      <c r="AY1" s="11"/>
      <c r="AZ1" s="10"/>
      <c r="BA1" s="10"/>
      <c r="BB1" s="10"/>
      <c r="BC1" s="98"/>
      <c r="BD1" s="98"/>
    </row>
    <row r="2" spans="1:60" s="20" customFormat="1" ht="168" customHeight="1" x14ac:dyDescent="0.2">
      <c r="A2" s="310" t="s">
        <v>58</v>
      </c>
      <c r="B2" s="317" t="s">
        <v>230</v>
      </c>
      <c r="C2" s="318" t="s">
        <v>231</v>
      </c>
      <c r="D2" s="319" t="s">
        <v>232</v>
      </c>
      <c r="E2" s="349" t="s">
        <v>233</v>
      </c>
      <c r="F2" s="349" t="s">
        <v>234</v>
      </c>
      <c r="G2" s="349" t="s">
        <v>235</v>
      </c>
      <c r="H2" s="349" t="s">
        <v>236</v>
      </c>
      <c r="I2" s="349" t="s">
        <v>237</v>
      </c>
      <c r="J2" s="349" t="s">
        <v>238</v>
      </c>
      <c r="K2" s="319" t="s">
        <v>239</v>
      </c>
      <c r="L2" s="349" t="s">
        <v>240</v>
      </c>
      <c r="M2" s="379" t="s">
        <v>241</v>
      </c>
      <c r="N2" s="373" t="s">
        <v>242</v>
      </c>
      <c r="O2" s="310" t="s">
        <v>243</v>
      </c>
      <c r="P2" s="373" t="s">
        <v>244</v>
      </c>
      <c r="Q2" s="310" t="s">
        <v>245</v>
      </c>
      <c r="R2" s="373" t="s">
        <v>246</v>
      </c>
      <c r="S2" s="310" t="s">
        <v>247</v>
      </c>
      <c r="T2" s="373" t="s">
        <v>248</v>
      </c>
      <c r="U2" s="310" t="s">
        <v>249</v>
      </c>
      <c r="V2" s="349" t="s">
        <v>250</v>
      </c>
      <c r="W2" s="349" t="s">
        <v>251</v>
      </c>
      <c r="X2" s="310" t="s">
        <v>252</v>
      </c>
      <c r="Y2" s="310" t="s">
        <v>253</v>
      </c>
      <c r="Z2" s="310" t="s">
        <v>254</v>
      </c>
      <c r="AA2" s="310" t="s">
        <v>255</v>
      </c>
      <c r="AB2" s="207"/>
      <c r="AC2" s="175" t="s">
        <v>256</v>
      </c>
      <c r="AD2" s="176" t="s">
        <v>230</v>
      </c>
      <c r="AE2" s="177" t="s">
        <v>231</v>
      </c>
      <c r="AF2" s="112" t="s">
        <v>232</v>
      </c>
      <c r="AG2" s="150" t="s">
        <v>233</v>
      </c>
      <c r="AH2" s="150" t="s">
        <v>234</v>
      </c>
      <c r="AI2" s="150" t="s">
        <v>235</v>
      </c>
      <c r="AJ2" s="150" t="s">
        <v>236</v>
      </c>
      <c r="AK2" s="150" t="s">
        <v>237</v>
      </c>
      <c r="AL2" s="150" t="s">
        <v>238</v>
      </c>
      <c r="AM2" s="178" t="s">
        <v>241</v>
      </c>
      <c r="AN2" s="210" t="s">
        <v>257</v>
      </c>
      <c r="AO2" s="210" t="s">
        <v>258</v>
      </c>
      <c r="AP2" s="175" t="s">
        <v>243</v>
      </c>
      <c r="AQ2" s="210" t="s">
        <v>259</v>
      </c>
      <c r="AR2" s="210" t="s">
        <v>260</v>
      </c>
      <c r="AS2" s="175" t="s">
        <v>245</v>
      </c>
      <c r="AT2" s="210" t="s">
        <v>261</v>
      </c>
      <c r="AU2" s="210" t="s">
        <v>262</v>
      </c>
      <c r="AV2" s="175" t="s">
        <v>247</v>
      </c>
      <c r="AW2" s="210" t="s">
        <v>263</v>
      </c>
      <c r="AX2" s="210" t="s">
        <v>264</v>
      </c>
      <c r="AY2" s="175" t="s">
        <v>249</v>
      </c>
      <c r="AZ2" s="211" t="s">
        <v>265</v>
      </c>
      <c r="BA2" s="175" t="s">
        <v>266</v>
      </c>
      <c r="BB2" s="175" t="s">
        <v>251</v>
      </c>
      <c r="BC2" s="175" t="s">
        <v>252</v>
      </c>
      <c r="BD2" s="175" t="s">
        <v>253</v>
      </c>
      <c r="BE2" s="175" t="s">
        <v>254</v>
      </c>
    </row>
    <row r="3" spans="1:60" ht="15" customHeight="1" x14ac:dyDescent="0.2">
      <c r="A3" s="355">
        <v>1</v>
      </c>
      <c r="B3" s="357">
        <v>45980</v>
      </c>
      <c r="C3" s="357">
        <v>45980</v>
      </c>
      <c r="D3" s="360">
        <v>0</v>
      </c>
      <c r="E3" s="364">
        <f t="shared" ref="E3:J3" si="0">AG7</f>
        <v>281</v>
      </c>
      <c r="F3" s="364">
        <f t="shared" si="0"/>
        <v>281</v>
      </c>
      <c r="G3" s="364">
        <f t="shared" si="0"/>
        <v>280</v>
      </c>
      <c r="H3" s="364">
        <f t="shared" si="0"/>
        <v>0</v>
      </c>
      <c r="I3" s="364">
        <f t="shared" si="0"/>
        <v>0</v>
      </c>
      <c r="J3" s="364">
        <f t="shared" si="0"/>
        <v>1</v>
      </c>
      <c r="K3" s="385">
        <f>BA7</f>
        <v>0</v>
      </c>
      <c r="L3" s="377">
        <f>SUM(H3:K3)</f>
        <v>1</v>
      </c>
      <c r="M3" s="369">
        <f>L3/E3</f>
        <v>3.5587188612099642E-3</v>
      </c>
      <c r="N3" s="368">
        <f>AN7+AO7</f>
        <v>3</v>
      </c>
      <c r="O3" s="380">
        <f t="shared" ref="O3:O62" si="1">N3/G3</f>
        <v>1.0714285714285714E-2</v>
      </c>
      <c r="P3" s="368">
        <f>SUM(AQ7:AR7)</f>
        <v>4</v>
      </c>
      <c r="Q3" s="380">
        <f>P3/G3</f>
        <v>1.4285714285714285E-2</v>
      </c>
      <c r="R3" s="368">
        <f>SUM(AT7:AU7)</f>
        <v>0</v>
      </c>
      <c r="S3" s="380">
        <f t="shared" ref="S3:S62" si="2">R3/G3</f>
        <v>0</v>
      </c>
      <c r="T3" s="368">
        <f>SUM(AW7:AX7)</f>
        <v>0</v>
      </c>
      <c r="U3" s="380">
        <f t="shared" ref="U3:U62" si="3">T3/G3</f>
        <v>0</v>
      </c>
      <c r="V3" s="372">
        <f>AZ7</f>
        <v>7</v>
      </c>
      <c r="W3" s="368">
        <f>BB7</f>
        <v>7</v>
      </c>
      <c r="X3" s="380">
        <f t="shared" ref="X3:X62" si="4">(W3+1)/(G3+1)</f>
        <v>2.8469750889679714E-2</v>
      </c>
      <c r="Y3" s="374" t="s">
        <v>267</v>
      </c>
      <c r="Z3" s="374" t="s">
        <v>268</v>
      </c>
      <c r="AA3" s="303" t="s">
        <v>269</v>
      </c>
      <c r="AB3" s="207"/>
      <c r="AC3" s="212" t="s">
        <v>270</v>
      </c>
      <c r="AD3" s="15"/>
      <c r="AE3" s="23"/>
      <c r="AF3" s="16"/>
      <c r="AG3" s="15"/>
      <c r="AH3" s="15"/>
      <c r="AI3" s="15"/>
      <c r="AJ3" s="15"/>
      <c r="AK3" s="15"/>
      <c r="AL3" s="22"/>
      <c r="AM3" s="213"/>
      <c r="AN3" s="23"/>
      <c r="AO3" s="23"/>
      <c r="AP3" s="7"/>
      <c r="AQ3" s="15"/>
      <c r="AR3" s="15"/>
      <c r="AS3" s="7"/>
      <c r="AT3" s="15"/>
      <c r="AU3" s="15"/>
      <c r="AV3" s="7"/>
      <c r="AW3" s="15"/>
      <c r="AX3" s="15"/>
      <c r="AY3" s="214"/>
      <c r="AZ3" s="215"/>
      <c r="BA3" s="10"/>
      <c r="BB3" s="7"/>
      <c r="BC3" s="7"/>
      <c r="BD3" s="7"/>
      <c r="BE3" s="7"/>
      <c r="BH3" s="17"/>
    </row>
    <row r="4" spans="1:60" ht="15" customHeight="1" x14ac:dyDescent="0.2">
      <c r="A4" s="354">
        <v>2</v>
      </c>
      <c r="B4" s="358">
        <v>45995</v>
      </c>
      <c r="C4" s="358">
        <v>45995</v>
      </c>
      <c r="D4" s="361">
        <v>1</v>
      </c>
      <c r="E4" s="365">
        <f t="shared" ref="E4:J4" si="5">AG12</f>
        <v>252</v>
      </c>
      <c r="F4" s="365">
        <f t="shared" si="5"/>
        <v>256</v>
      </c>
      <c r="G4" s="365">
        <f t="shared" si="5"/>
        <v>256</v>
      </c>
      <c r="H4" s="365">
        <f t="shared" si="5"/>
        <v>0</v>
      </c>
      <c r="I4" s="365">
        <f t="shared" si="5"/>
        <v>0</v>
      </c>
      <c r="J4" s="365">
        <f t="shared" si="5"/>
        <v>0</v>
      </c>
      <c r="K4" s="386">
        <f>BA12</f>
        <v>0</v>
      </c>
      <c r="L4" s="352">
        <f t="shared" ref="L4:L21" si="6">SUM(H4:K4)</f>
        <v>0</v>
      </c>
      <c r="M4" s="370">
        <f>L4/E4</f>
        <v>0</v>
      </c>
      <c r="N4" s="292">
        <f>AO12+AN12</f>
        <v>1</v>
      </c>
      <c r="O4" s="353">
        <f t="shared" si="1"/>
        <v>3.90625E-3</v>
      </c>
      <c r="P4" s="292">
        <f>SUM(AQ12:AR12)</f>
        <v>0</v>
      </c>
      <c r="Q4" s="353">
        <f t="shared" ref="Q4:Q22" si="7">P4/G4</f>
        <v>0</v>
      </c>
      <c r="R4" s="292">
        <f>SUM(AT12:AU12)</f>
        <v>0</v>
      </c>
      <c r="S4" s="353">
        <f t="shared" si="2"/>
        <v>0</v>
      </c>
      <c r="T4" s="292">
        <f>SUM(AW12:AX12)</f>
        <v>0</v>
      </c>
      <c r="U4" s="353">
        <f t="shared" si="3"/>
        <v>0</v>
      </c>
      <c r="V4" s="367">
        <f>AZ12</f>
        <v>1</v>
      </c>
      <c r="W4" s="292">
        <f>BB12</f>
        <v>1</v>
      </c>
      <c r="X4" s="353">
        <f t="shared" si="4"/>
        <v>7.7821011673151752E-3</v>
      </c>
      <c r="Y4" s="375" t="s">
        <v>267</v>
      </c>
      <c r="Z4" s="375" t="s">
        <v>268</v>
      </c>
      <c r="AA4" s="304" t="s">
        <v>269</v>
      </c>
      <c r="AB4" s="207"/>
      <c r="AC4" s="216" t="s">
        <v>271</v>
      </c>
      <c r="AD4" s="217">
        <v>45980</v>
      </c>
      <c r="AE4" s="217">
        <v>45980</v>
      </c>
      <c r="AF4" s="218">
        <v>0</v>
      </c>
      <c r="AG4" s="218">
        <v>281</v>
      </c>
      <c r="AH4" s="219">
        <v>281</v>
      </c>
      <c r="AI4" s="218">
        <v>280</v>
      </c>
      <c r="AJ4" s="218">
        <v>0</v>
      </c>
      <c r="AK4" s="218">
        <v>0</v>
      </c>
      <c r="AL4" s="218">
        <v>1</v>
      </c>
      <c r="AM4" s="220">
        <f>SUM(AJ4:AL4)/AH4</f>
        <v>3.5587188612099642E-3</v>
      </c>
      <c r="AN4" s="218">
        <v>3</v>
      </c>
      <c r="AO4" s="218">
        <v>0</v>
      </c>
      <c r="AP4" s="221">
        <f>SUM(AN4:AO4)/AI4</f>
        <v>1.0714285714285714E-2</v>
      </c>
      <c r="AQ4" s="218">
        <v>4</v>
      </c>
      <c r="AR4" s="218">
        <v>0</v>
      </c>
      <c r="AS4" s="221">
        <f>(AQ4+AR4)/$AG4</f>
        <v>1.4234875444839857E-2</v>
      </c>
      <c r="AT4" s="218">
        <v>0</v>
      </c>
      <c r="AU4" s="218">
        <v>0</v>
      </c>
      <c r="AV4" s="221">
        <f>(AT4+AU4)/$AG4</f>
        <v>0</v>
      </c>
      <c r="AW4" s="218">
        <v>0</v>
      </c>
      <c r="AX4" s="218">
        <v>0</v>
      </c>
      <c r="AY4" s="221">
        <f>(AW4+AX4)/$AG4</f>
        <v>0</v>
      </c>
      <c r="AZ4" s="222">
        <f>SUM(AN4,AQ4,AT4,AW4)</f>
        <v>7</v>
      </c>
      <c r="BA4" s="222">
        <f>SUM(AO4,AR4,AU4,AX4)</f>
        <v>0</v>
      </c>
      <c r="BB4" s="222">
        <f>SUM(AZ4:BA4)</f>
        <v>7</v>
      </c>
      <c r="BC4" s="221">
        <f>(BB4+1)/(AI4+1)</f>
        <v>2.8469750889679714E-2</v>
      </c>
      <c r="BD4" s="223" t="s">
        <v>267</v>
      </c>
      <c r="BE4" s="223" t="s">
        <v>272</v>
      </c>
      <c r="BH4" s="17"/>
    </row>
    <row r="5" spans="1:60" ht="15" customHeight="1" x14ac:dyDescent="0.2">
      <c r="A5" s="354">
        <v>3</v>
      </c>
      <c r="B5" s="358">
        <v>46001</v>
      </c>
      <c r="C5" s="358">
        <v>46001</v>
      </c>
      <c r="D5" s="361">
        <v>0</v>
      </c>
      <c r="E5" s="365">
        <f t="shared" ref="E5:J5" si="8">AG17</f>
        <v>254</v>
      </c>
      <c r="F5" s="365">
        <f t="shared" si="8"/>
        <v>254</v>
      </c>
      <c r="G5" s="365">
        <f t="shared" si="8"/>
        <v>254</v>
      </c>
      <c r="H5" s="365">
        <f t="shared" si="8"/>
        <v>0</v>
      </c>
      <c r="I5" s="365">
        <f t="shared" si="8"/>
        <v>0</v>
      </c>
      <c r="J5" s="365">
        <f t="shared" si="8"/>
        <v>0</v>
      </c>
      <c r="K5" s="386">
        <f>BA17</f>
        <v>0</v>
      </c>
      <c r="L5" s="352">
        <f t="shared" si="6"/>
        <v>0</v>
      </c>
      <c r="M5" s="370">
        <f>L5/E5</f>
        <v>0</v>
      </c>
      <c r="N5" s="292">
        <f>AN17+AO17</f>
        <v>0</v>
      </c>
      <c r="O5" s="353">
        <f t="shared" si="1"/>
        <v>0</v>
      </c>
      <c r="P5" s="292">
        <f>SUM(AQ17:AR17)</f>
        <v>4</v>
      </c>
      <c r="Q5" s="353">
        <f t="shared" si="7"/>
        <v>1.5748031496062992E-2</v>
      </c>
      <c r="R5" s="292">
        <f>SUM(AT17:AU17)</f>
        <v>0</v>
      </c>
      <c r="S5" s="353">
        <f t="shared" si="2"/>
        <v>0</v>
      </c>
      <c r="T5" s="292">
        <f>SUM(AW17:AX17)</f>
        <v>0</v>
      </c>
      <c r="U5" s="353">
        <f t="shared" si="3"/>
        <v>0</v>
      </c>
      <c r="V5" s="367">
        <f>AZ17</f>
        <v>4</v>
      </c>
      <c r="W5" s="292">
        <f>BB17</f>
        <v>4</v>
      </c>
      <c r="X5" s="353">
        <f t="shared" si="4"/>
        <v>1.9607843137254902E-2</v>
      </c>
      <c r="Y5" s="375" t="s">
        <v>267</v>
      </c>
      <c r="Z5" s="375" t="s">
        <v>268</v>
      </c>
      <c r="AA5" s="304" t="s">
        <v>269</v>
      </c>
      <c r="AB5" s="207"/>
      <c r="AC5" s="224" t="s">
        <v>273</v>
      </c>
      <c r="AD5" s="225"/>
      <c r="AE5" s="225"/>
      <c r="AF5" s="226"/>
      <c r="AG5" s="226"/>
      <c r="AH5" s="227"/>
      <c r="AI5" s="226"/>
      <c r="AJ5" s="226"/>
      <c r="AK5" s="226"/>
      <c r="AL5" s="226"/>
      <c r="AM5" s="228" t="e">
        <f t="shared" ref="AM5:AM6" si="9">SUM(AJ5:AL5)/AH5</f>
        <v>#DIV/0!</v>
      </c>
      <c r="AN5" s="226"/>
      <c r="AO5" s="226"/>
      <c r="AP5" s="229" t="e">
        <f t="shared" ref="AP5:AP6" si="10">SUM(AN5:AO5)/AI5</f>
        <v>#DIV/0!</v>
      </c>
      <c r="AQ5" s="226"/>
      <c r="AR5" s="226"/>
      <c r="AS5" s="229" t="e">
        <f t="shared" ref="AS5:AS6" si="11">(AQ5+AR5)/$AG5</f>
        <v>#DIV/0!</v>
      </c>
      <c r="AT5" s="226"/>
      <c r="AU5" s="226"/>
      <c r="AV5" s="229" t="e">
        <f t="shared" ref="AV5:AV6" si="12">(AT5+AU5)/$AG5</f>
        <v>#DIV/0!</v>
      </c>
      <c r="AW5" s="226"/>
      <c r="AX5" s="226"/>
      <c r="AY5" s="229" t="e">
        <f t="shared" ref="AY5:AY6" si="13">(AW5+AX5)/$AG5</f>
        <v>#DIV/0!</v>
      </c>
      <c r="AZ5" s="230">
        <f t="shared" ref="AZ5:BA6" si="14">SUM(AN5,AQ5,AT5,AW5)</f>
        <v>0</v>
      </c>
      <c r="BA5" s="230">
        <f t="shared" si="14"/>
        <v>0</v>
      </c>
      <c r="BB5" s="230">
        <f t="shared" ref="BB5:BB6" si="15">SUM(AZ5:BA5)</f>
        <v>0</v>
      </c>
      <c r="BC5" s="229">
        <f t="shared" ref="BC5:BC6" si="16">(BB5+1)/(AI5+1)</f>
        <v>1</v>
      </c>
      <c r="BD5" s="231"/>
      <c r="BE5" s="231"/>
      <c r="BH5" s="17"/>
    </row>
    <row r="6" spans="1:60" ht="15" customHeight="1" x14ac:dyDescent="0.2">
      <c r="A6" s="354">
        <v>4</v>
      </c>
      <c r="B6" s="358">
        <v>46036</v>
      </c>
      <c r="C6" s="358">
        <v>46037</v>
      </c>
      <c r="D6" s="361">
        <v>1</v>
      </c>
      <c r="E6" s="365">
        <f t="shared" ref="E6:J6" si="17">AG22</f>
        <v>263</v>
      </c>
      <c r="F6" s="365">
        <f t="shared" si="17"/>
        <v>263</v>
      </c>
      <c r="G6" s="365">
        <f t="shared" si="17"/>
        <v>263</v>
      </c>
      <c r="H6" s="365">
        <f t="shared" si="17"/>
        <v>0</v>
      </c>
      <c r="I6" s="365">
        <f t="shared" si="17"/>
        <v>0</v>
      </c>
      <c r="J6" s="365">
        <f t="shared" si="17"/>
        <v>0</v>
      </c>
      <c r="K6" s="386">
        <f>BA22</f>
        <v>0</v>
      </c>
      <c r="L6" s="352">
        <f t="shared" si="6"/>
        <v>0</v>
      </c>
      <c r="M6" s="370">
        <f>L6/E6</f>
        <v>0</v>
      </c>
      <c r="N6" s="292">
        <f>AN22+AO22</f>
        <v>6</v>
      </c>
      <c r="O6" s="353">
        <f t="shared" si="1"/>
        <v>2.2813688212927757E-2</v>
      </c>
      <c r="P6" s="292">
        <f>SUM(AQ22:AR22)</f>
        <v>4</v>
      </c>
      <c r="Q6" s="353">
        <f t="shared" si="7"/>
        <v>1.5209125475285171E-2</v>
      </c>
      <c r="R6" s="292">
        <f>SUM(AT22:AU22)</f>
        <v>0</v>
      </c>
      <c r="S6" s="353">
        <f t="shared" si="2"/>
        <v>0</v>
      </c>
      <c r="T6" s="292">
        <f>SUM(AW22:AX22)</f>
        <v>0</v>
      </c>
      <c r="U6" s="353">
        <f t="shared" si="3"/>
        <v>0</v>
      </c>
      <c r="V6" s="367">
        <f>AZ22</f>
        <v>10</v>
      </c>
      <c r="W6" s="292">
        <f>BB22</f>
        <v>10</v>
      </c>
      <c r="X6" s="353">
        <f t="shared" si="4"/>
        <v>4.1666666666666664E-2</v>
      </c>
      <c r="Y6" s="375" t="s">
        <v>274</v>
      </c>
      <c r="Z6" s="375" t="s">
        <v>268</v>
      </c>
      <c r="AA6" s="304" t="s">
        <v>269</v>
      </c>
      <c r="AB6" s="207"/>
      <c r="AC6" s="232" t="s">
        <v>275</v>
      </c>
      <c r="AD6" s="233"/>
      <c r="AE6" s="233"/>
      <c r="AF6" s="234"/>
      <c r="AG6" s="234"/>
      <c r="AH6" s="235"/>
      <c r="AI6" s="234"/>
      <c r="AJ6" s="234"/>
      <c r="AK6" s="234"/>
      <c r="AL6" s="234"/>
      <c r="AM6" s="236" t="e">
        <f t="shared" si="9"/>
        <v>#DIV/0!</v>
      </c>
      <c r="AN6" s="234"/>
      <c r="AO6" s="234"/>
      <c r="AP6" s="237" t="e">
        <f t="shared" si="10"/>
        <v>#DIV/0!</v>
      </c>
      <c r="AQ6" s="234"/>
      <c r="AR6" s="234"/>
      <c r="AS6" s="237" t="e">
        <f t="shared" si="11"/>
        <v>#DIV/0!</v>
      </c>
      <c r="AT6" s="234"/>
      <c r="AU6" s="234"/>
      <c r="AV6" s="237" t="e">
        <f t="shared" si="12"/>
        <v>#DIV/0!</v>
      </c>
      <c r="AW6" s="234"/>
      <c r="AX6" s="234"/>
      <c r="AY6" s="237" t="e">
        <f t="shared" si="13"/>
        <v>#DIV/0!</v>
      </c>
      <c r="AZ6" s="238">
        <f t="shared" si="14"/>
        <v>0</v>
      </c>
      <c r="BA6" s="238">
        <f t="shared" si="14"/>
        <v>0</v>
      </c>
      <c r="BB6" s="238">
        <f t="shared" si="15"/>
        <v>0</v>
      </c>
      <c r="BC6" s="237">
        <f t="shared" si="16"/>
        <v>1</v>
      </c>
      <c r="BD6" s="239"/>
      <c r="BE6" s="239"/>
      <c r="BH6" s="17"/>
    </row>
    <row r="7" spans="1:60" ht="15" customHeight="1" x14ac:dyDescent="0.2">
      <c r="A7" s="354">
        <v>5</v>
      </c>
      <c r="B7" s="358">
        <v>46036</v>
      </c>
      <c r="C7" s="358">
        <v>46037</v>
      </c>
      <c r="D7" s="362">
        <v>1</v>
      </c>
      <c r="E7" s="365">
        <f t="shared" ref="E7:J7" si="18">AG27</f>
        <v>254</v>
      </c>
      <c r="F7" s="365">
        <f t="shared" si="18"/>
        <v>254</v>
      </c>
      <c r="G7" s="365">
        <f t="shared" si="18"/>
        <v>254</v>
      </c>
      <c r="H7" s="365">
        <f t="shared" si="18"/>
        <v>0</v>
      </c>
      <c r="I7" s="365">
        <f t="shared" si="18"/>
        <v>0</v>
      </c>
      <c r="J7" s="365">
        <f t="shared" si="18"/>
        <v>0</v>
      </c>
      <c r="K7" s="386">
        <f>BA27</f>
        <v>0</v>
      </c>
      <c r="L7" s="352">
        <f t="shared" si="6"/>
        <v>0</v>
      </c>
      <c r="M7" s="370">
        <f t="shared" ref="M7:M22" si="19">L7/E7</f>
        <v>0</v>
      </c>
      <c r="N7" s="292">
        <f>AN27+AO27</f>
        <v>8</v>
      </c>
      <c r="O7" s="353">
        <f t="shared" si="1"/>
        <v>3.1496062992125984E-2</v>
      </c>
      <c r="P7" s="292">
        <f>SUM(AQ27:AR27)</f>
        <v>2</v>
      </c>
      <c r="Q7" s="353">
        <f t="shared" si="7"/>
        <v>7.874015748031496E-3</v>
      </c>
      <c r="R7" s="292">
        <f>SUM(AT27:AU27)</f>
        <v>0</v>
      </c>
      <c r="S7" s="353">
        <f t="shared" si="2"/>
        <v>0</v>
      </c>
      <c r="T7" s="292">
        <f>SUM(AW27:AX27)</f>
        <v>0</v>
      </c>
      <c r="U7" s="353">
        <f t="shared" si="3"/>
        <v>0</v>
      </c>
      <c r="V7" s="367">
        <f>AZ27</f>
        <v>10</v>
      </c>
      <c r="W7" s="292">
        <f>BB27</f>
        <v>10</v>
      </c>
      <c r="X7" s="353">
        <f t="shared" si="4"/>
        <v>4.3137254901960784E-2</v>
      </c>
      <c r="Y7" s="375" t="s">
        <v>274</v>
      </c>
      <c r="Z7" s="375" t="s">
        <v>268</v>
      </c>
      <c r="AA7" s="304" t="s">
        <v>269</v>
      </c>
      <c r="AB7" s="207"/>
      <c r="AC7" s="7"/>
      <c r="AG7" s="240">
        <f>SUM(AG4:AG6)</f>
        <v>281</v>
      </c>
      <c r="AH7" s="240">
        <f>SUM(AH4:AH6)</f>
        <v>281</v>
      </c>
      <c r="AI7" s="240">
        <f t="shared" ref="AI7:AL7" si="20">SUM(AI4:AI6)</f>
        <v>280</v>
      </c>
      <c r="AJ7" s="240">
        <f t="shared" si="20"/>
        <v>0</v>
      </c>
      <c r="AK7" s="240">
        <f t="shared" si="20"/>
        <v>0</v>
      </c>
      <c r="AL7" s="240">
        <f t="shared" si="20"/>
        <v>1</v>
      </c>
      <c r="AM7" s="135"/>
      <c r="AN7" s="240">
        <f>SUM(AN4:AN6)</f>
        <v>3</v>
      </c>
      <c r="AO7" s="240">
        <f>SUM(AO4:AO6)</f>
        <v>0</v>
      </c>
      <c r="AP7" s="241"/>
      <c r="AQ7" s="240">
        <f>SUM(AQ4:AQ6)</f>
        <v>4</v>
      </c>
      <c r="AR7" s="240">
        <f>SUM(AR4:AR6)</f>
        <v>0</v>
      </c>
      <c r="AS7" s="241">
        <f ca="1">SUM(AS7:AT7)</f>
        <v>0</v>
      </c>
      <c r="AT7" s="240">
        <f>SUM(AT4:AT6)</f>
        <v>0</v>
      </c>
      <c r="AU7" s="240">
        <f>SUM(AU4:AU6)</f>
        <v>0</v>
      </c>
      <c r="AV7" s="241"/>
      <c r="AW7" s="240">
        <f>SUM(AW4:AW6)</f>
        <v>0</v>
      </c>
      <c r="AX7" s="240">
        <f>SUM(AX4:AX6)</f>
        <v>0</v>
      </c>
      <c r="AY7" s="241"/>
      <c r="AZ7" s="240">
        <f>SUM(AZ4:AZ6)</f>
        <v>7</v>
      </c>
      <c r="BA7" s="240">
        <f>SUM(BA4:BA6)</f>
        <v>0</v>
      </c>
      <c r="BB7" s="240">
        <f>SUM(AZ7:BA7)</f>
        <v>7</v>
      </c>
      <c r="BC7" s="242">
        <f>(BB7+1)/(AI7+1)</f>
        <v>2.8469750889679714E-2</v>
      </c>
      <c r="BD7" s="98"/>
      <c r="BE7" s="98"/>
      <c r="BH7" s="17"/>
    </row>
    <row r="8" spans="1:60" ht="12.75" x14ac:dyDescent="0.2">
      <c r="A8" s="354">
        <v>6</v>
      </c>
      <c r="B8" s="358">
        <v>46040</v>
      </c>
      <c r="C8" s="358">
        <v>46041</v>
      </c>
      <c r="D8" s="362">
        <v>4</v>
      </c>
      <c r="E8" s="365">
        <f t="shared" ref="E8:J8" si="21">AG32</f>
        <v>253</v>
      </c>
      <c r="F8" s="367">
        <f t="shared" si="21"/>
        <v>252</v>
      </c>
      <c r="G8" s="367">
        <f t="shared" si="21"/>
        <v>251</v>
      </c>
      <c r="H8" s="367">
        <f t="shared" si="21"/>
        <v>1</v>
      </c>
      <c r="I8" s="367">
        <f t="shared" si="21"/>
        <v>0</v>
      </c>
      <c r="J8" s="367">
        <f t="shared" si="21"/>
        <v>0</v>
      </c>
      <c r="K8" s="386">
        <f>BA32</f>
        <v>0</v>
      </c>
      <c r="L8" s="352">
        <f t="shared" si="6"/>
        <v>1</v>
      </c>
      <c r="M8" s="370">
        <f t="shared" si="19"/>
        <v>3.952569169960474E-3</v>
      </c>
      <c r="N8" s="292">
        <f>AN32+AO32</f>
        <v>10</v>
      </c>
      <c r="O8" s="353">
        <f t="shared" si="1"/>
        <v>3.9840637450199202E-2</v>
      </c>
      <c r="P8" s="292">
        <f>SUM(AQ32:AR32)</f>
        <v>2</v>
      </c>
      <c r="Q8" s="353">
        <f t="shared" si="7"/>
        <v>7.9681274900398405E-3</v>
      </c>
      <c r="R8" s="292">
        <f>SUM(AT32:AU32)</f>
        <v>1</v>
      </c>
      <c r="S8" s="353">
        <f t="shared" si="2"/>
        <v>3.9840637450199202E-3</v>
      </c>
      <c r="T8" s="292">
        <f>SUM(AW32:AX32)</f>
        <v>0</v>
      </c>
      <c r="U8" s="353">
        <f t="shared" si="3"/>
        <v>0</v>
      </c>
      <c r="V8" s="367">
        <f>AZ32</f>
        <v>13</v>
      </c>
      <c r="W8" s="292">
        <f>BB32</f>
        <v>13</v>
      </c>
      <c r="X8" s="353">
        <f t="shared" si="4"/>
        <v>5.5555555555555552E-2</v>
      </c>
      <c r="Y8" s="375" t="s">
        <v>274</v>
      </c>
      <c r="Z8" s="375" t="s">
        <v>268</v>
      </c>
      <c r="AA8" s="304" t="s">
        <v>269</v>
      </c>
      <c r="AB8" s="207"/>
      <c r="AC8" s="212" t="s">
        <v>276</v>
      </c>
      <c r="AD8" s="15"/>
      <c r="AE8" s="23"/>
      <c r="AF8" s="16"/>
      <c r="AG8" s="15"/>
      <c r="AH8" s="15"/>
      <c r="AI8" s="15"/>
      <c r="AJ8" s="15"/>
      <c r="AK8" s="15"/>
      <c r="AL8" s="22"/>
      <c r="AM8" s="213"/>
      <c r="AN8" s="23"/>
      <c r="AO8" s="23"/>
      <c r="AP8" s="7"/>
      <c r="AQ8" s="15"/>
      <c r="AR8" s="15"/>
      <c r="AS8" s="7"/>
      <c r="AT8" s="15"/>
      <c r="AU8" s="15"/>
      <c r="AV8" s="7"/>
      <c r="AW8" s="15"/>
      <c r="AX8" s="15"/>
      <c r="AY8" s="214"/>
      <c r="AZ8" s="215"/>
      <c r="BA8" s="10"/>
      <c r="BB8" s="7"/>
      <c r="BC8" s="7"/>
      <c r="BD8" s="7"/>
      <c r="BE8" s="7"/>
      <c r="BH8" s="17"/>
    </row>
    <row r="9" spans="1:60" ht="12.75" x14ac:dyDescent="0.2">
      <c r="A9" s="354">
        <v>7</v>
      </c>
      <c r="B9" s="358">
        <v>46040</v>
      </c>
      <c r="C9" s="358">
        <v>46041</v>
      </c>
      <c r="D9" s="362">
        <v>4</v>
      </c>
      <c r="E9" s="366">
        <f t="shared" ref="E9:J9" si="22">AG37</f>
        <v>257</v>
      </c>
      <c r="F9" s="366">
        <f t="shared" si="22"/>
        <v>257</v>
      </c>
      <c r="G9" s="366">
        <f t="shared" si="22"/>
        <v>257</v>
      </c>
      <c r="H9" s="366">
        <f t="shared" si="22"/>
        <v>0</v>
      </c>
      <c r="I9" s="366">
        <f t="shared" si="22"/>
        <v>0</v>
      </c>
      <c r="J9" s="366">
        <f t="shared" si="22"/>
        <v>0</v>
      </c>
      <c r="K9" s="387">
        <f>BA37</f>
        <v>0</v>
      </c>
      <c r="L9" s="352">
        <f t="shared" si="6"/>
        <v>0</v>
      </c>
      <c r="M9" s="370">
        <f t="shared" si="19"/>
        <v>0</v>
      </c>
      <c r="N9" s="292">
        <f>AN37+AO37</f>
        <v>13</v>
      </c>
      <c r="O9" s="353">
        <f t="shared" si="1"/>
        <v>5.0583657587548639E-2</v>
      </c>
      <c r="P9" s="292">
        <f>SUM(AQ37:AR37)</f>
        <v>3</v>
      </c>
      <c r="Q9" s="353">
        <f t="shared" si="7"/>
        <v>1.1673151750972763E-2</v>
      </c>
      <c r="R9" s="292">
        <f>SUM(AT37:AU37)</f>
        <v>2</v>
      </c>
      <c r="S9" s="353">
        <f t="shared" si="2"/>
        <v>7.7821011673151752E-3</v>
      </c>
      <c r="T9" s="292">
        <f>SUM(AW37:AX37)</f>
        <v>0</v>
      </c>
      <c r="U9" s="353">
        <f t="shared" si="3"/>
        <v>0</v>
      </c>
      <c r="V9" s="367">
        <f>AZ37</f>
        <v>18</v>
      </c>
      <c r="W9" s="292">
        <f>BB37</f>
        <v>18</v>
      </c>
      <c r="X9" s="353">
        <f t="shared" si="4"/>
        <v>7.3643410852713184E-2</v>
      </c>
      <c r="Y9" s="375" t="s">
        <v>274</v>
      </c>
      <c r="Z9" s="375" t="s">
        <v>268</v>
      </c>
      <c r="AA9" s="304" t="s">
        <v>269</v>
      </c>
      <c r="AB9" s="207"/>
      <c r="AC9" s="216" t="s">
        <v>271</v>
      </c>
      <c r="AD9" s="217">
        <v>45995</v>
      </c>
      <c r="AE9" s="217">
        <v>45995</v>
      </c>
      <c r="AF9" s="218">
        <v>1</v>
      </c>
      <c r="AG9" s="218">
        <v>252</v>
      </c>
      <c r="AH9" s="219">
        <v>256</v>
      </c>
      <c r="AI9" s="218">
        <v>256</v>
      </c>
      <c r="AJ9" s="218">
        <v>0</v>
      </c>
      <c r="AK9" s="218">
        <v>0</v>
      </c>
      <c r="AL9" s="218">
        <v>0</v>
      </c>
      <c r="AM9" s="220">
        <f>SUM(AJ9:AL9)/AH9</f>
        <v>0</v>
      </c>
      <c r="AN9" s="218">
        <v>1</v>
      </c>
      <c r="AO9" s="218">
        <v>0</v>
      </c>
      <c r="AP9" s="221">
        <f>SUM(AN9:AO9)/AI9</f>
        <v>3.90625E-3</v>
      </c>
      <c r="AQ9" s="218">
        <v>0</v>
      </c>
      <c r="AR9" s="218">
        <v>0</v>
      </c>
      <c r="AS9" s="221">
        <f>(AQ9+AR9)/$AG9</f>
        <v>0</v>
      </c>
      <c r="AT9" s="218">
        <v>0</v>
      </c>
      <c r="AU9" s="218">
        <v>0</v>
      </c>
      <c r="AV9" s="221">
        <f>(AT9+AU9)/$AG9</f>
        <v>0</v>
      </c>
      <c r="AW9" s="218">
        <v>0</v>
      </c>
      <c r="AX9" s="218">
        <v>0</v>
      </c>
      <c r="AY9" s="221">
        <f>(AW9+AX9)/$AG9</f>
        <v>0</v>
      </c>
      <c r="AZ9" s="222">
        <f>SUM(AN9,AQ9,AT9,AW9)</f>
        <v>1</v>
      </c>
      <c r="BA9" s="222">
        <f>SUM(AO9,AR9,AU9,AX9)</f>
        <v>0</v>
      </c>
      <c r="BB9" s="222">
        <f>SUM(AZ9:BA9)</f>
        <v>1</v>
      </c>
      <c r="BC9" s="221">
        <f>(BB9+1)/(AI9+1)</f>
        <v>7.7821011673151752E-3</v>
      </c>
      <c r="BD9" s="223" t="s">
        <v>267</v>
      </c>
      <c r="BE9" s="223" t="s">
        <v>272</v>
      </c>
      <c r="BH9" s="17"/>
    </row>
    <row r="10" spans="1:60" ht="12.75" x14ac:dyDescent="0.2">
      <c r="A10" s="354">
        <v>8</v>
      </c>
      <c r="B10" s="358">
        <v>46043</v>
      </c>
      <c r="C10" s="358">
        <v>46044</v>
      </c>
      <c r="D10" s="362">
        <v>1</v>
      </c>
      <c r="E10" s="366">
        <f t="shared" ref="E10:J10" si="23">AG42</f>
        <v>269</v>
      </c>
      <c r="F10" s="366">
        <f t="shared" si="23"/>
        <v>269</v>
      </c>
      <c r="G10" s="366">
        <f t="shared" si="23"/>
        <v>266</v>
      </c>
      <c r="H10" s="366">
        <f t="shared" si="23"/>
        <v>0</v>
      </c>
      <c r="I10" s="366">
        <f t="shared" si="23"/>
        <v>0</v>
      </c>
      <c r="J10" s="366">
        <f t="shared" si="23"/>
        <v>2</v>
      </c>
      <c r="K10" s="387">
        <f>BA42</f>
        <v>0</v>
      </c>
      <c r="L10" s="352">
        <f t="shared" si="6"/>
        <v>2</v>
      </c>
      <c r="M10" s="370">
        <f t="shared" si="19"/>
        <v>7.4349442379182153E-3</v>
      </c>
      <c r="N10" s="292">
        <f>AN42+AO42</f>
        <v>25</v>
      </c>
      <c r="O10" s="353">
        <f t="shared" si="1"/>
        <v>9.3984962406015032E-2</v>
      </c>
      <c r="P10" s="292">
        <f>SUM(AQ42:AR42)</f>
        <v>0</v>
      </c>
      <c r="Q10" s="353">
        <f t="shared" si="7"/>
        <v>0</v>
      </c>
      <c r="R10" s="292">
        <f>SUM(AT42:AU42)</f>
        <v>0</v>
      </c>
      <c r="S10" s="353">
        <f t="shared" si="2"/>
        <v>0</v>
      </c>
      <c r="T10" s="292">
        <f>SUM(AW42:AX42)</f>
        <v>0</v>
      </c>
      <c r="U10" s="353">
        <f t="shared" si="3"/>
        <v>0</v>
      </c>
      <c r="V10" s="367">
        <f>AZ42</f>
        <v>25</v>
      </c>
      <c r="W10" s="292">
        <f>BB42</f>
        <v>25</v>
      </c>
      <c r="X10" s="353">
        <f t="shared" si="4"/>
        <v>9.7378277153558054E-2</v>
      </c>
      <c r="Y10" s="375" t="s">
        <v>274</v>
      </c>
      <c r="Z10" s="375" t="s">
        <v>268</v>
      </c>
      <c r="AA10" s="304" t="s">
        <v>269</v>
      </c>
      <c r="AB10" s="207"/>
      <c r="AC10" s="224" t="s">
        <v>273</v>
      </c>
      <c r="AD10" s="225"/>
      <c r="AE10" s="225"/>
      <c r="AF10" s="226"/>
      <c r="AG10" s="226"/>
      <c r="AH10" s="227"/>
      <c r="AI10" s="226"/>
      <c r="AJ10" s="226"/>
      <c r="AK10" s="226"/>
      <c r="AL10" s="226"/>
      <c r="AM10" s="228" t="e">
        <f t="shared" ref="AM10:AM11" si="24">SUM(AJ10:AL10)/AH10</f>
        <v>#DIV/0!</v>
      </c>
      <c r="AN10" s="226"/>
      <c r="AO10" s="226"/>
      <c r="AP10" s="229" t="e">
        <f t="shared" ref="AP10:AP11" si="25">SUM(AN10:AO10)/AI10</f>
        <v>#DIV/0!</v>
      </c>
      <c r="AQ10" s="226"/>
      <c r="AR10" s="226"/>
      <c r="AS10" s="229" t="e">
        <f t="shared" ref="AS10:AS11" si="26">(AQ10+AR10)/$AG10</f>
        <v>#DIV/0!</v>
      </c>
      <c r="AT10" s="226"/>
      <c r="AU10" s="226"/>
      <c r="AV10" s="229" t="e">
        <f t="shared" ref="AV10:AV11" si="27">(AT10+AU10)/$AG10</f>
        <v>#DIV/0!</v>
      </c>
      <c r="AW10" s="226"/>
      <c r="AX10" s="226"/>
      <c r="AY10" s="229" t="e">
        <f t="shared" ref="AY10:AY11" si="28">(AW10+AX10)/$AG10</f>
        <v>#DIV/0!</v>
      </c>
      <c r="AZ10" s="230">
        <f t="shared" ref="AZ10:BA11" si="29">SUM(AN10,AQ10,AT10,AW10)</f>
        <v>0</v>
      </c>
      <c r="BA10" s="230">
        <f t="shared" si="29"/>
        <v>0</v>
      </c>
      <c r="BB10" s="230">
        <f t="shared" ref="BB10:BB11" si="30">SUM(AZ10:BA10)</f>
        <v>0</v>
      </c>
      <c r="BC10" s="229">
        <f t="shared" ref="BC10:BC11" si="31">(BB10+1)/(AI10+1)</f>
        <v>1</v>
      </c>
      <c r="BD10" s="231"/>
      <c r="BE10" s="231"/>
      <c r="BH10" s="17"/>
    </row>
    <row r="11" spans="1:60" ht="15" customHeight="1" x14ac:dyDescent="0.2">
      <c r="A11" s="354">
        <v>9</v>
      </c>
      <c r="B11" s="358">
        <v>46043</v>
      </c>
      <c r="C11" s="358">
        <v>46044</v>
      </c>
      <c r="D11" s="362">
        <v>1</v>
      </c>
      <c r="E11" s="366">
        <f t="shared" ref="E11:J11" si="32">AG47</f>
        <v>244</v>
      </c>
      <c r="F11" s="366">
        <f t="shared" si="32"/>
        <v>239</v>
      </c>
      <c r="G11" s="366">
        <f t="shared" si="32"/>
        <v>238</v>
      </c>
      <c r="H11" s="366">
        <f t="shared" si="32"/>
        <v>0</v>
      </c>
      <c r="I11" s="366">
        <f t="shared" si="32"/>
        <v>0</v>
      </c>
      <c r="J11" s="366">
        <f t="shared" si="32"/>
        <v>1</v>
      </c>
      <c r="K11" s="387">
        <f>BA47</f>
        <v>0</v>
      </c>
      <c r="L11" s="352">
        <f t="shared" si="6"/>
        <v>1</v>
      </c>
      <c r="M11" s="370">
        <f t="shared" si="19"/>
        <v>4.0983606557377051E-3</v>
      </c>
      <c r="N11" s="292">
        <f>AN47+AO47</f>
        <v>23</v>
      </c>
      <c r="O11" s="353">
        <f t="shared" si="1"/>
        <v>9.6638655462184878E-2</v>
      </c>
      <c r="P11" s="292">
        <f>SUM(AQ47:AR47)</f>
        <v>0</v>
      </c>
      <c r="Q11" s="353">
        <f t="shared" si="7"/>
        <v>0</v>
      </c>
      <c r="R11" s="292">
        <f>SUM(AT47:AU47)</f>
        <v>1</v>
      </c>
      <c r="S11" s="353">
        <f t="shared" si="2"/>
        <v>4.2016806722689074E-3</v>
      </c>
      <c r="T11" s="292">
        <f>SUM(AW47:AX47)</f>
        <v>0</v>
      </c>
      <c r="U11" s="353">
        <f t="shared" si="3"/>
        <v>0</v>
      </c>
      <c r="V11" s="367">
        <f>AZ47</f>
        <v>24</v>
      </c>
      <c r="W11" s="292">
        <f>BB47</f>
        <v>24</v>
      </c>
      <c r="X11" s="353">
        <f t="shared" si="4"/>
        <v>0.10460251046025104</v>
      </c>
      <c r="Y11" s="375" t="s">
        <v>274</v>
      </c>
      <c r="Z11" s="375" t="s">
        <v>268</v>
      </c>
      <c r="AA11" s="304" t="s">
        <v>269</v>
      </c>
      <c r="AB11" s="207"/>
      <c r="AC11" s="232" t="s">
        <v>275</v>
      </c>
      <c r="AD11" s="233"/>
      <c r="AE11" s="233"/>
      <c r="AF11" s="234"/>
      <c r="AG11" s="234"/>
      <c r="AH11" s="235"/>
      <c r="AI11" s="234"/>
      <c r="AJ11" s="234"/>
      <c r="AK11" s="234"/>
      <c r="AL11" s="234"/>
      <c r="AM11" s="236" t="e">
        <f t="shared" si="24"/>
        <v>#DIV/0!</v>
      </c>
      <c r="AN11" s="234"/>
      <c r="AO11" s="234"/>
      <c r="AP11" s="237" t="e">
        <f t="shared" si="25"/>
        <v>#DIV/0!</v>
      </c>
      <c r="AQ11" s="234"/>
      <c r="AR11" s="234"/>
      <c r="AS11" s="237" t="e">
        <f t="shared" si="26"/>
        <v>#DIV/0!</v>
      </c>
      <c r="AT11" s="234"/>
      <c r="AU11" s="234"/>
      <c r="AV11" s="237" t="e">
        <f t="shared" si="27"/>
        <v>#DIV/0!</v>
      </c>
      <c r="AW11" s="234"/>
      <c r="AX11" s="234"/>
      <c r="AY11" s="237" t="e">
        <f t="shared" si="28"/>
        <v>#DIV/0!</v>
      </c>
      <c r="AZ11" s="238">
        <f t="shared" si="29"/>
        <v>0</v>
      </c>
      <c r="BA11" s="238">
        <f t="shared" si="29"/>
        <v>0</v>
      </c>
      <c r="BB11" s="238">
        <f t="shared" si="30"/>
        <v>0</v>
      </c>
      <c r="BC11" s="237">
        <f t="shared" si="31"/>
        <v>1</v>
      </c>
      <c r="BD11" s="239"/>
      <c r="BE11" s="239"/>
      <c r="BH11" s="17"/>
    </row>
    <row r="12" spans="1:60" ht="15" customHeight="1" x14ac:dyDescent="0.2">
      <c r="A12" s="354">
        <v>10</v>
      </c>
      <c r="B12" s="358">
        <v>46047</v>
      </c>
      <c r="C12" s="358">
        <v>46048</v>
      </c>
      <c r="D12" s="362">
        <v>5</v>
      </c>
      <c r="E12" s="366">
        <f t="shared" ref="E12:J12" si="33">AG52</f>
        <v>259</v>
      </c>
      <c r="F12" s="366">
        <f t="shared" si="33"/>
        <v>259</v>
      </c>
      <c r="G12" s="366">
        <f t="shared" si="33"/>
        <v>259</v>
      </c>
      <c r="H12" s="366">
        <f t="shared" si="33"/>
        <v>0</v>
      </c>
      <c r="I12" s="366">
        <f t="shared" si="33"/>
        <v>0</v>
      </c>
      <c r="J12" s="366">
        <f t="shared" si="33"/>
        <v>0</v>
      </c>
      <c r="K12" s="387">
        <f>BA52</f>
        <v>0</v>
      </c>
      <c r="L12" s="352">
        <f t="shared" si="6"/>
        <v>0</v>
      </c>
      <c r="M12" s="370">
        <f t="shared" si="19"/>
        <v>0</v>
      </c>
      <c r="N12" s="292">
        <f>AN52+AO52</f>
        <v>19</v>
      </c>
      <c r="O12" s="353">
        <f t="shared" si="1"/>
        <v>7.3359073359073365E-2</v>
      </c>
      <c r="P12" s="292">
        <f>SUM(AQ52:AR52)</f>
        <v>2</v>
      </c>
      <c r="Q12" s="353">
        <f t="shared" si="7"/>
        <v>7.7220077220077222E-3</v>
      </c>
      <c r="R12" s="292">
        <f>SUM(AT52:AU52)</f>
        <v>0</v>
      </c>
      <c r="S12" s="353">
        <f t="shared" si="2"/>
        <v>0</v>
      </c>
      <c r="T12" s="292">
        <f>SUM(AW52:AX52)</f>
        <v>0</v>
      </c>
      <c r="U12" s="353">
        <f t="shared" si="3"/>
        <v>0</v>
      </c>
      <c r="V12" s="367">
        <f>AZ52</f>
        <v>21</v>
      </c>
      <c r="W12" s="292">
        <f>BB52</f>
        <v>21</v>
      </c>
      <c r="X12" s="353">
        <f t="shared" si="4"/>
        <v>8.461538461538462E-2</v>
      </c>
      <c r="Y12" s="375" t="s">
        <v>274</v>
      </c>
      <c r="Z12" s="375" t="s">
        <v>268</v>
      </c>
      <c r="AA12" s="304" t="s">
        <v>269</v>
      </c>
      <c r="AB12" s="207"/>
      <c r="AC12" s="7"/>
      <c r="AG12" s="240">
        <f>SUM(AG9:AG11)</f>
        <v>252</v>
      </c>
      <c r="AH12" s="240">
        <f>SUM(AH9:AH11)</f>
        <v>256</v>
      </c>
      <c r="AI12" s="240">
        <f t="shared" ref="AI12:AL12" si="34">SUM(AI9:AI11)</f>
        <v>256</v>
      </c>
      <c r="AJ12" s="240">
        <f t="shared" si="34"/>
        <v>0</v>
      </c>
      <c r="AK12" s="240">
        <f t="shared" si="34"/>
        <v>0</v>
      </c>
      <c r="AL12" s="240">
        <f t="shared" si="34"/>
        <v>0</v>
      </c>
      <c r="AM12" s="135"/>
      <c r="AN12" s="240">
        <f>SUM(AN9:AN11)</f>
        <v>1</v>
      </c>
      <c r="AO12" s="240">
        <f>SUM(AO9:AO11)</f>
        <v>0</v>
      </c>
      <c r="AP12" s="241"/>
      <c r="AQ12" s="240">
        <f>SUM(AQ9:AQ11)</f>
        <v>0</v>
      </c>
      <c r="AR12" s="240">
        <f>SUM(AR9:AR11)</f>
        <v>0</v>
      </c>
      <c r="AS12" s="241"/>
      <c r="AT12" s="240">
        <f>SUM(AT9:AT11)</f>
        <v>0</v>
      </c>
      <c r="AU12" s="240">
        <f>SUM(AU9:AU11)</f>
        <v>0</v>
      </c>
      <c r="AV12" s="241"/>
      <c r="AW12" s="240">
        <f>SUM(AW9:AW11)</f>
        <v>0</v>
      </c>
      <c r="AX12" s="240">
        <f>SUM(AX9:AX11)</f>
        <v>0</v>
      </c>
      <c r="AY12" s="241"/>
      <c r="AZ12" s="240">
        <f>SUM(AZ9:AZ11)</f>
        <v>1</v>
      </c>
      <c r="BA12" s="240">
        <f>SUM(BA9:BA11)</f>
        <v>0</v>
      </c>
      <c r="BB12" s="240">
        <f>SUM(AZ12:BA12)</f>
        <v>1</v>
      </c>
      <c r="BC12" s="242">
        <f>(BB12+1)/(AI12+1)</f>
        <v>7.7821011673151752E-3</v>
      </c>
      <c r="BD12" s="98"/>
      <c r="BE12" s="98"/>
      <c r="BH12" s="17"/>
    </row>
    <row r="13" spans="1:60" ht="15" customHeight="1" x14ac:dyDescent="0.2">
      <c r="A13" s="354">
        <v>11</v>
      </c>
      <c r="B13" s="358">
        <v>46047</v>
      </c>
      <c r="C13" s="358">
        <v>46048</v>
      </c>
      <c r="D13" s="362">
        <v>5</v>
      </c>
      <c r="E13" s="366">
        <f t="shared" ref="E13:J13" si="35">AG57</f>
        <v>243</v>
      </c>
      <c r="F13" s="366">
        <f t="shared" si="35"/>
        <v>237</v>
      </c>
      <c r="G13" s="366">
        <f t="shared" si="35"/>
        <v>238</v>
      </c>
      <c r="H13" s="366">
        <f t="shared" si="35"/>
        <v>1</v>
      </c>
      <c r="I13" s="366">
        <f t="shared" si="35"/>
        <v>0</v>
      </c>
      <c r="J13" s="366">
        <f t="shared" si="35"/>
        <v>0</v>
      </c>
      <c r="K13" s="387">
        <f>BA57</f>
        <v>0</v>
      </c>
      <c r="L13" s="352">
        <f t="shared" si="6"/>
        <v>1</v>
      </c>
      <c r="M13" s="370">
        <f t="shared" si="19"/>
        <v>4.11522633744856E-3</v>
      </c>
      <c r="N13" s="292">
        <f>AN57+AO57</f>
        <v>16</v>
      </c>
      <c r="O13" s="353">
        <f t="shared" si="1"/>
        <v>6.7226890756302518E-2</v>
      </c>
      <c r="P13" s="292">
        <f>SUM(AQ57:AR57)</f>
        <v>2</v>
      </c>
      <c r="Q13" s="353">
        <f t="shared" si="7"/>
        <v>8.4033613445378148E-3</v>
      </c>
      <c r="R13" s="292">
        <f>SUM(AT57:AU57)</f>
        <v>0</v>
      </c>
      <c r="S13" s="353">
        <f t="shared" si="2"/>
        <v>0</v>
      </c>
      <c r="T13" s="292">
        <f>SUM(AW57:AX57)</f>
        <v>0</v>
      </c>
      <c r="U13" s="353">
        <f t="shared" si="3"/>
        <v>0</v>
      </c>
      <c r="V13" s="367">
        <f>AZ57</f>
        <v>18</v>
      </c>
      <c r="W13" s="292">
        <f>BB57</f>
        <v>18</v>
      </c>
      <c r="X13" s="353">
        <f t="shared" si="4"/>
        <v>7.9497907949790794E-2</v>
      </c>
      <c r="Y13" s="375" t="s">
        <v>274</v>
      </c>
      <c r="Z13" s="375" t="s">
        <v>268</v>
      </c>
      <c r="AA13" s="304" t="s">
        <v>269</v>
      </c>
      <c r="AB13" s="207"/>
      <c r="AC13" s="212" t="s">
        <v>277</v>
      </c>
      <c r="AD13" s="15"/>
      <c r="AE13" s="23"/>
      <c r="AF13" s="16"/>
      <c r="AG13" s="15"/>
      <c r="AH13" s="15"/>
      <c r="AI13" s="15"/>
      <c r="AJ13" s="15"/>
      <c r="AK13" s="15"/>
      <c r="AL13" s="22"/>
      <c r="AM13" s="213"/>
      <c r="AN13" s="23"/>
      <c r="AO13" s="23"/>
      <c r="AP13" s="7"/>
      <c r="AQ13" s="15"/>
      <c r="AR13" s="15"/>
      <c r="AS13" s="7"/>
      <c r="AT13" s="15"/>
      <c r="AU13" s="15"/>
      <c r="AV13" s="7"/>
      <c r="AW13" s="15"/>
      <c r="AX13" s="15"/>
      <c r="AY13" s="214"/>
      <c r="AZ13" s="215"/>
      <c r="BA13" s="10"/>
      <c r="BB13" s="7"/>
      <c r="BC13" s="7"/>
      <c r="BD13" s="7"/>
      <c r="BE13" s="7"/>
      <c r="BH13" s="17"/>
    </row>
    <row r="14" spans="1:60" ht="15" customHeight="1" x14ac:dyDescent="0.2">
      <c r="A14" s="354">
        <v>12</v>
      </c>
      <c r="B14" s="358">
        <v>46050</v>
      </c>
      <c r="C14" s="358">
        <v>46051</v>
      </c>
      <c r="D14" s="362">
        <v>1</v>
      </c>
      <c r="E14" s="366">
        <f t="shared" ref="E14:J14" si="36">AG62</f>
        <v>274</v>
      </c>
      <c r="F14" s="366">
        <f t="shared" si="36"/>
        <v>274</v>
      </c>
      <c r="G14" s="366">
        <f t="shared" si="36"/>
        <v>270</v>
      </c>
      <c r="H14" s="366">
        <f t="shared" si="36"/>
        <v>0</v>
      </c>
      <c r="I14" s="366">
        <f t="shared" si="36"/>
        <v>0</v>
      </c>
      <c r="J14" s="366">
        <f t="shared" si="36"/>
        <v>3</v>
      </c>
      <c r="K14" s="387">
        <f>BA62</f>
        <v>0</v>
      </c>
      <c r="L14" s="352">
        <f t="shared" si="6"/>
        <v>3</v>
      </c>
      <c r="M14" s="370">
        <f t="shared" si="19"/>
        <v>1.0948905109489052E-2</v>
      </c>
      <c r="N14" s="292">
        <f>AN62+AO62</f>
        <v>18</v>
      </c>
      <c r="O14" s="353">
        <f t="shared" si="1"/>
        <v>6.6666666666666666E-2</v>
      </c>
      <c r="P14" s="292">
        <f>SUM(AQ62:AR62)</f>
        <v>4</v>
      </c>
      <c r="Q14" s="353">
        <f t="shared" si="7"/>
        <v>1.4814814814814815E-2</v>
      </c>
      <c r="R14" s="292">
        <f>SUM(AT62:AU62)</f>
        <v>0</v>
      </c>
      <c r="S14" s="353">
        <f t="shared" si="2"/>
        <v>0</v>
      </c>
      <c r="T14" s="292">
        <f>SUM(AW62:AX62)</f>
        <v>0</v>
      </c>
      <c r="U14" s="353">
        <f t="shared" si="3"/>
        <v>0</v>
      </c>
      <c r="V14" s="367">
        <f>AZ62</f>
        <v>22</v>
      </c>
      <c r="W14" s="292">
        <f>BB62</f>
        <v>22</v>
      </c>
      <c r="X14" s="353">
        <f t="shared" si="4"/>
        <v>8.4870848708487087E-2</v>
      </c>
      <c r="Y14" s="375" t="s">
        <v>274</v>
      </c>
      <c r="Z14" s="375" t="s">
        <v>268</v>
      </c>
      <c r="AA14" s="304" t="s">
        <v>269</v>
      </c>
      <c r="AB14" s="207"/>
      <c r="AC14" s="216" t="s">
        <v>271</v>
      </c>
      <c r="AD14" s="217">
        <v>46001</v>
      </c>
      <c r="AE14" s="217">
        <v>46001</v>
      </c>
      <c r="AF14" s="218">
        <v>0</v>
      </c>
      <c r="AG14" s="218">
        <v>254</v>
      </c>
      <c r="AH14" s="219">
        <v>254</v>
      </c>
      <c r="AI14" s="218">
        <v>254</v>
      </c>
      <c r="AJ14" s="218">
        <v>0</v>
      </c>
      <c r="AK14" s="218">
        <v>0</v>
      </c>
      <c r="AL14" s="218">
        <v>0</v>
      </c>
      <c r="AM14" s="220">
        <f>SUM(AJ14:AL14)/AH14</f>
        <v>0</v>
      </c>
      <c r="AN14" s="218">
        <v>0</v>
      </c>
      <c r="AO14" s="218">
        <v>0</v>
      </c>
      <c r="AP14" s="221">
        <f>SUM(AN14:AO14)/AI14</f>
        <v>0</v>
      </c>
      <c r="AQ14" s="218">
        <v>4</v>
      </c>
      <c r="AR14" s="218">
        <v>0</v>
      </c>
      <c r="AS14" s="221">
        <f>(AQ14+AR14)/$AG14</f>
        <v>1.5748031496062992E-2</v>
      </c>
      <c r="AT14" s="218">
        <v>0</v>
      </c>
      <c r="AU14" s="218">
        <v>0</v>
      </c>
      <c r="AV14" s="221">
        <f>(AT14+AU14)/$AG14</f>
        <v>0</v>
      </c>
      <c r="AW14" s="218">
        <v>0</v>
      </c>
      <c r="AX14" s="218">
        <v>0</v>
      </c>
      <c r="AY14" s="221">
        <f>(AW14+AX14)/$AG14</f>
        <v>0</v>
      </c>
      <c r="AZ14" s="222">
        <f>SUM(AN14,AQ14,AT14,AW14)</f>
        <v>4</v>
      </c>
      <c r="BA14" s="222">
        <f>SUM(AO14,AR14,AU14,AX14)</f>
        <v>0</v>
      </c>
      <c r="BB14" s="222">
        <f>SUM(AZ14:BA14)</f>
        <v>4</v>
      </c>
      <c r="BC14" s="221">
        <f>(BB14+1)/(AI14+1)</f>
        <v>1.9607843137254902E-2</v>
      </c>
      <c r="BD14" s="223" t="s">
        <v>267</v>
      </c>
      <c r="BE14" s="223" t="s">
        <v>272</v>
      </c>
      <c r="BH14" s="17"/>
    </row>
    <row r="15" spans="1:60" ht="15" customHeight="1" x14ac:dyDescent="0.2">
      <c r="A15" s="354">
        <v>13</v>
      </c>
      <c r="B15" s="358">
        <v>46050</v>
      </c>
      <c r="C15" s="358">
        <v>46051</v>
      </c>
      <c r="D15" s="362">
        <v>1</v>
      </c>
      <c r="E15" s="366">
        <f t="shared" ref="E15:J15" si="37">AG67</f>
        <v>292</v>
      </c>
      <c r="F15" s="366">
        <f t="shared" si="37"/>
        <v>292</v>
      </c>
      <c r="G15" s="366">
        <f t="shared" si="37"/>
        <v>293</v>
      </c>
      <c r="H15" s="366">
        <f t="shared" si="37"/>
        <v>0</v>
      </c>
      <c r="I15" s="366">
        <f t="shared" si="37"/>
        <v>0</v>
      </c>
      <c r="J15" s="366">
        <f t="shared" si="37"/>
        <v>0</v>
      </c>
      <c r="K15" s="387">
        <f>BA67</f>
        <v>0</v>
      </c>
      <c r="L15" s="352">
        <f t="shared" si="6"/>
        <v>0</v>
      </c>
      <c r="M15" s="370">
        <f t="shared" si="19"/>
        <v>0</v>
      </c>
      <c r="N15" s="292">
        <f>AN67+AO67</f>
        <v>14</v>
      </c>
      <c r="O15" s="353">
        <f t="shared" si="1"/>
        <v>4.778156996587031E-2</v>
      </c>
      <c r="P15" s="292">
        <f>SUM(AQ67:AR67)</f>
        <v>4</v>
      </c>
      <c r="Q15" s="353">
        <f t="shared" si="7"/>
        <v>1.3651877133105802E-2</v>
      </c>
      <c r="R15" s="292">
        <f>SUM(AT67:AU67)</f>
        <v>0</v>
      </c>
      <c r="S15" s="353">
        <f t="shared" si="2"/>
        <v>0</v>
      </c>
      <c r="T15" s="292">
        <f>SUM(AW67:AX67)</f>
        <v>0</v>
      </c>
      <c r="U15" s="353">
        <f t="shared" si="3"/>
        <v>0</v>
      </c>
      <c r="V15" s="367">
        <f>AZ67</f>
        <v>18</v>
      </c>
      <c r="W15" s="292">
        <f>BB67</f>
        <v>18</v>
      </c>
      <c r="X15" s="353">
        <f t="shared" si="4"/>
        <v>6.4625850340136057E-2</v>
      </c>
      <c r="Y15" s="375" t="s">
        <v>274</v>
      </c>
      <c r="Z15" s="375" t="s">
        <v>268</v>
      </c>
      <c r="AA15" s="304" t="s">
        <v>269</v>
      </c>
      <c r="AB15" s="207"/>
      <c r="AC15" s="224" t="s">
        <v>273</v>
      </c>
      <c r="AD15" s="225"/>
      <c r="AE15" s="225"/>
      <c r="AF15" s="226"/>
      <c r="AG15" s="226"/>
      <c r="AH15" s="227"/>
      <c r="AI15" s="226"/>
      <c r="AJ15" s="226"/>
      <c r="AK15" s="226"/>
      <c r="AL15" s="226"/>
      <c r="AM15" s="228" t="e">
        <f t="shared" ref="AM15:AM16" si="38">SUM(AJ15:AL15)/AH15</f>
        <v>#DIV/0!</v>
      </c>
      <c r="AN15" s="226"/>
      <c r="AO15" s="226"/>
      <c r="AP15" s="229" t="e">
        <f t="shared" ref="AP15:AP16" si="39">SUM(AN15:AO15)/AI15</f>
        <v>#DIV/0!</v>
      </c>
      <c r="AQ15" s="226"/>
      <c r="AR15" s="226"/>
      <c r="AS15" s="229" t="e">
        <f t="shared" ref="AS15:AS16" si="40">(AQ15+AR15)/$AG15</f>
        <v>#DIV/0!</v>
      </c>
      <c r="AT15" s="226"/>
      <c r="AU15" s="226"/>
      <c r="AV15" s="229" t="e">
        <f t="shared" ref="AV15:AV16" si="41">(AT15+AU15)/$AG15</f>
        <v>#DIV/0!</v>
      </c>
      <c r="AW15" s="226"/>
      <c r="AX15" s="226"/>
      <c r="AY15" s="229" t="e">
        <f t="shared" ref="AY15:AY16" si="42">(AW15+AX15)/$AG15</f>
        <v>#DIV/0!</v>
      </c>
      <c r="AZ15" s="230">
        <f t="shared" ref="AZ15:BA16" si="43">SUM(AN15,AQ15,AT15,AW15)</f>
        <v>0</v>
      </c>
      <c r="BA15" s="230">
        <f t="shared" si="43"/>
        <v>0</v>
      </c>
      <c r="BB15" s="230">
        <f t="shared" ref="BB15:BB16" si="44">SUM(AZ15:BA15)</f>
        <v>0</v>
      </c>
      <c r="BC15" s="229">
        <f t="shared" ref="BC15:BC16" si="45">(BB15+1)/(AI15+1)</f>
        <v>1</v>
      </c>
      <c r="BD15" s="231"/>
      <c r="BE15" s="231"/>
      <c r="BH15" s="17"/>
    </row>
    <row r="16" spans="1:60" ht="15" customHeight="1" x14ac:dyDescent="0.2">
      <c r="A16" s="354">
        <v>14</v>
      </c>
      <c r="B16" s="358">
        <v>46054</v>
      </c>
      <c r="C16" s="358">
        <v>46055</v>
      </c>
      <c r="D16" s="362">
        <v>4</v>
      </c>
      <c r="E16" s="366">
        <f t="shared" ref="E16:J16" si="46">AG72</f>
        <v>245</v>
      </c>
      <c r="F16" s="366">
        <f t="shared" si="46"/>
        <v>245</v>
      </c>
      <c r="G16" s="366">
        <f t="shared" si="46"/>
        <v>244</v>
      </c>
      <c r="H16" s="366">
        <f t="shared" si="46"/>
        <v>0</v>
      </c>
      <c r="I16" s="366">
        <f t="shared" si="46"/>
        <v>0</v>
      </c>
      <c r="J16" s="366">
        <f t="shared" si="46"/>
        <v>1</v>
      </c>
      <c r="K16" s="387">
        <f>BA72</f>
        <v>0</v>
      </c>
      <c r="L16" s="352">
        <f t="shared" si="6"/>
        <v>1</v>
      </c>
      <c r="M16" s="370">
        <f t="shared" si="19"/>
        <v>4.0816326530612249E-3</v>
      </c>
      <c r="N16" s="292">
        <f>AN72+AO72</f>
        <v>19</v>
      </c>
      <c r="O16" s="353">
        <f t="shared" si="1"/>
        <v>7.7868852459016397E-2</v>
      </c>
      <c r="P16" s="292">
        <f>SUM(AQ72:AR72)</f>
        <v>4</v>
      </c>
      <c r="Q16" s="353">
        <f t="shared" si="7"/>
        <v>1.6393442622950821E-2</v>
      </c>
      <c r="R16" s="292">
        <f>SUM(AT72:AU72)</f>
        <v>2</v>
      </c>
      <c r="S16" s="353">
        <f t="shared" si="2"/>
        <v>8.1967213114754103E-3</v>
      </c>
      <c r="T16" s="292">
        <f>SUM(AW72:AX72)</f>
        <v>0</v>
      </c>
      <c r="U16" s="353">
        <f t="shared" si="3"/>
        <v>0</v>
      </c>
      <c r="V16" s="367">
        <f>AZ72</f>
        <v>25</v>
      </c>
      <c r="W16" s="292">
        <f>BB72</f>
        <v>25</v>
      </c>
      <c r="X16" s="353">
        <f t="shared" si="4"/>
        <v>0.10612244897959183</v>
      </c>
      <c r="Y16" s="375" t="s">
        <v>274</v>
      </c>
      <c r="Z16" s="375" t="s">
        <v>268</v>
      </c>
      <c r="AA16" s="304" t="s">
        <v>269</v>
      </c>
      <c r="AB16" s="207"/>
      <c r="AC16" s="232" t="s">
        <v>275</v>
      </c>
      <c r="AD16" s="233"/>
      <c r="AE16" s="233"/>
      <c r="AF16" s="234"/>
      <c r="AG16" s="234"/>
      <c r="AH16" s="235"/>
      <c r="AI16" s="234"/>
      <c r="AJ16" s="234"/>
      <c r="AK16" s="234"/>
      <c r="AL16" s="234"/>
      <c r="AM16" s="236" t="e">
        <f t="shared" si="38"/>
        <v>#DIV/0!</v>
      </c>
      <c r="AN16" s="234"/>
      <c r="AO16" s="234"/>
      <c r="AP16" s="237" t="e">
        <f t="shared" si="39"/>
        <v>#DIV/0!</v>
      </c>
      <c r="AQ16" s="234"/>
      <c r="AR16" s="234"/>
      <c r="AS16" s="237" t="e">
        <f t="shared" si="40"/>
        <v>#DIV/0!</v>
      </c>
      <c r="AT16" s="234"/>
      <c r="AU16" s="234"/>
      <c r="AV16" s="237" t="e">
        <f t="shared" si="41"/>
        <v>#DIV/0!</v>
      </c>
      <c r="AW16" s="234"/>
      <c r="AX16" s="234"/>
      <c r="AY16" s="237" t="e">
        <f t="shared" si="42"/>
        <v>#DIV/0!</v>
      </c>
      <c r="AZ16" s="238">
        <f t="shared" si="43"/>
        <v>0</v>
      </c>
      <c r="BA16" s="238">
        <f t="shared" si="43"/>
        <v>0</v>
      </c>
      <c r="BB16" s="238">
        <f t="shared" si="44"/>
        <v>0</v>
      </c>
      <c r="BC16" s="237">
        <f t="shared" si="45"/>
        <v>1</v>
      </c>
      <c r="BD16" s="239"/>
      <c r="BE16" s="239"/>
      <c r="BH16" s="17"/>
    </row>
    <row r="17" spans="1:60" ht="15" customHeight="1" x14ac:dyDescent="0.2">
      <c r="A17" s="354">
        <v>15</v>
      </c>
      <c r="B17" s="358">
        <v>46054</v>
      </c>
      <c r="C17" s="358">
        <v>46055</v>
      </c>
      <c r="D17" s="362">
        <v>4</v>
      </c>
      <c r="E17" s="366">
        <f t="shared" ref="E17:J17" si="47">AG77</f>
        <v>256</v>
      </c>
      <c r="F17" s="366">
        <f t="shared" si="47"/>
        <v>254</v>
      </c>
      <c r="G17" s="366">
        <f t="shared" si="47"/>
        <v>254</v>
      </c>
      <c r="H17" s="366">
        <f t="shared" si="47"/>
        <v>2</v>
      </c>
      <c r="I17" s="366">
        <f t="shared" si="47"/>
        <v>0</v>
      </c>
      <c r="J17" s="366">
        <f t="shared" si="47"/>
        <v>0</v>
      </c>
      <c r="K17" s="387">
        <f>BA77</f>
        <v>0</v>
      </c>
      <c r="L17" s="352">
        <f t="shared" si="6"/>
        <v>2</v>
      </c>
      <c r="M17" s="370">
        <f t="shared" si="19"/>
        <v>7.8125E-3</v>
      </c>
      <c r="N17" s="292">
        <f>AN77+AO77</f>
        <v>20</v>
      </c>
      <c r="O17" s="353">
        <f t="shared" si="1"/>
        <v>7.874015748031496E-2</v>
      </c>
      <c r="P17" s="292">
        <f>SUM(AQ77:AR77)</f>
        <v>3</v>
      </c>
      <c r="Q17" s="353">
        <f t="shared" si="7"/>
        <v>1.1811023622047244E-2</v>
      </c>
      <c r="R17" s="292">
        <f>SUM(AT77:AU77)</f>
        <v>0</v>
      </c>
      <c r="S17" s="353">
        <f t="shared" si="2"/>
        <v>0</v>
      </c>
      <c r="T17" s="292">
        <f>SUM(AW77:AX77)</f>
        <v>0</v>
      </c>
      <c r="U17" s="353">
        <f t="shared" si="3"/>
        <v>0</v>
      </c>
      <c r="V17" s="367">
        <f>AZ77</f>
        <v>23</v>
      </c>
      <c r="W17" s="292">
        <f>BB77</f>
        <v>23</v>
      </c>
      <c r="X17" s="353">
        <f t="shared" si="4"/>
        <v>9.4117647058823528E-2</v>
      </c>
      <c r="Y17" s="375" t="s">
        <v>274</v>
      </c>
      <c r="Z17" s="375" t="s">
        <v>268</v>
      </c>
      <c r="AA17" s="304" t="s">
        <v>269</v>
      </c>
      <c r="AB17" s="207"/>
      <c r="AC17" s="7"/>
      <c r="AG17" s="240">
        <f>SUM(AG14:AG16)</f>
        <v>254</v>
      </c>
      <c r="AH17" s="240">
        <f>SUM(AH14:AH16)</f>
        <v>254</v>
      </c>
      <c r="AI17" s="240">
        <f t="shared" ref="AI17:AL17" si="48">SUM(AI14:AI16)</f>
        <v>254</v>
      </c>
      <c r="AJ17" s="240">
        <f t="shared" si="48"/>
        <v>0</v>
      </c>
      <c r="AK17" s="240">
        <f t="shared" si="48"/>
        <v>0</v>
      </c>
      <c r="AL17" s="240">
        <f t="shared" si="48"/>
        <v>0</v>
      </c>
      <c r="AM17" s="135"/>
      <c r="AN17" s="240">
        <f>SUM(AN14:AN16)</f>
        <v>0</v>
      </c>
      <c r="AO17" s="240">
        <f>SUM(AO14:AO16)</f>
        <v>0</v>
      </c>
      <c r="AP17" s="241"/>
      <c r="AQ17" s="240">
        <f>SUM(AQ14:AQ16)</f>
        <v>4</v>
      </c>
      <c r="AR17" s="240">
        <f>SUM(AR14:AR16)</f>
        <v>0</v>
      </c>
      <c r="AS17" s="241"/>
      <c r="AT17" s="240">
        <f>SUM(AT14:AT16)</f>
        <v>0</v>
      </c>
      <c r="AU17" s="240">
        <f>SUM(AU14:AU16)</f>
        <v>0</v>
      </c>
      <c r="AV17" s="241"/>
      <c r="AW17" s="240">
        <f>SUM(AW14:AW16)</f>
        <v>0</v>
      </c>
      <c r="AX17" s="240">
        <f>SUM(AX14:AX16)</f>
        <v>0</v>
      </c>
      <c r="AY17" s="241"/>
      <c r="AZ17" s="240">
        <f>SUM(AZ14:AZ16)</f>
        <v>4</v>
      </c>
      <c r="BA17" s="240">
        <f>SUM(BA14:BA16)</f>
        <v>0</v>
      </c>
      <c r="BB17" s="240">
        <f>SUM(AZ17:BA17)</f>
        <v>4</v>
      </c>
      <c r="BC17" s="242">
        <f>(BB17+1)/(AI17+1)</f>
        <v>1.9607843137254902E-2</v>
      </c>
      <c r="BD17" s="98"/>
      <c r="BE17" s="98"/>
      <c r="BH17" s="17"/>
    </row>
    <row r="18" spans="1:60" ht="15" customHeight="1" x14ac:dyDescent="0.2">
      <c r="A18" s="354">
        <v>16</v>
      </c>
      <c r="B18" s="358">
        <v>46057</v>
      </c>
      <c r="C18" s="358">
        <v>46058</v>
      </c>
      <c r="D18" s="362">
        <v>1</v>
      </c>
      <c r="E18" s="366">
        <f t="shared" ref="E18:J18" si="49">AG82</f>
        <v>269</v>
      </c>
      <c r="F18" s="366">
        <f t="shared" si="49"/>
        <v>269</v>
      </c>
      <c r="G18" s="366">
        <f t="shared" si="49"/>
        <v>278</v>
      </c>
      <c r="H18" s="366">
        <f t="shared" si="49"/>
        <v>0</v>
      </c>
      <c r="I18" s="366">
        <f t="shared" si="49"/>
        <v>0</v>
      </c>
      <c r="J18" s="366">
        <f t="shared" si="49"/>
        <v>1</v>
      </c>
      <c r="K18" s="387">
        <f>BA82</f>
        <v>0</v>
      </c>
      <c r="L18" s="352">
        <f t="shared" si="6"/>
        <v>1</v>
      </c>
      <c r="M18" s="370">
        <f t="shared" si="19"/>
        <v>3.7174721189591076E-3</v>
      </c>
      <c r="N18" s="292">
        <f>AN82+AO82</f>
        <v>6</v>
      </c>
      <c r="O18" s="353">
        <f t="shared" si="1"/>
        <v>2.1582733812949641E-2</v>
      </c>
      <c r="P18" s="292">
        <f>SUM(AQ82:AR82)</f>
        <v>2</v>
      </c>
      <c r="Q18" s="353">
        <f t="shared" si="7"/>
        <v>7.1942446043165471E-3</v>
      </c>
      <c r="R18" s="292">
        <f>SUM(AT82:AU82)</f>
        <v>0</v>
      </c>
      <c r="S18" s="353">
        <f t="shared" si="2"/>
        <v>0</v>
      </c>
      <c r="T18" s="292">
        <f>SUM(AW82:AX82)</f>
        <v>0</v>
      </c>
      <c r="U18" s="353">
        <f t="shared" si="3"/>
        <v>0</v>
      </c>
      <c r="V18" s="367">
        <f>AZ82</f>
        <v>8</v>
      </c>
      <c r="W18" s="292">
        <f>BB82</f>
        <v>8</v>
      </c>
      <c r="X18" s="353">
        <f t="shared" si="4"/>
        <v>3.2258064516129031E-2</v>
      </c>
      <c r="Y18" s="375" t="s">
        <v>274</v>
      </c>
      <c r="Z18" s="375" t="s">
        <v>268</v>
      </c>
      <c r="AA18" s="304" t="s">
        <v>269</v>
      </c>
      <c r="AB18" s="207"/>
      <c r="AC18" s="212" t="s">
        <v>278</v>
      </c>
      <c r="AD18" s="15"/>
      <c r="AE18" s="23"/>
      <c r="AF18" s="16"/>
      <c r="AG18" s="15"/>
      <c r="AH18" s="15"/>
      <c r="AI18" s="15"/>
      <c r="AJ18" s="15"/>
      <c r="AK18" s="15"/>
      <c r="AL18" s="22"/>
      <c r="AM18" s="213"/>
      <c r="AN18" s="23"/>
      <c r="AO18" s="23"/>
      <c r="AP18" s="7"/>
      <c r="AQ18" s="15"/>
      <c r="AR18" s="15"/>
      <c r="AS18" s="7"/>
      <c r="AT18" s="15"/>
      <c r="AU18" s="15"/>
      <c r="AV18" s="7"/>
      <c r="AW18" s="15"/>
      <c r="AX18" s="15"/>
      <c r="AY18" s="214"/>
      <c r="AZ18" s="215"/>
      <c r="BA18" s="10"/>
      <c r="BB18" s="7"/>
      <c r="BC18" s="7"/>
      <c r="BD18" s="7"/>
      <c r="BE18" s="7"/>
    </row>
    <row r="19" spans="1:60" ht="15" customHeight="1" x14ac:dyDescent="0.2">
      <c r="A19" s="354">
        <v>17</v>
      </c>
      <c r="B19" s="358">
        <v>46057</v>
      </c>
      <c r="C19" s="358">
        <v>46058</v>
      </c>
      <c r="D19" s="362">
        <v>1</v>
      </c>
      <c r="E19" s="366">
        <f t="shared" ref="E19:J19" si="50">AG87</f>
        <v>266</v>
      </c>
      <c r="F19" s="366">
        <f t="shared" si="50"/>
        <v>266</v>
      </c>
      <c r="G19" s="366">
        <f t="shared" si="50"/>
        <v>267</v>
      </c>
      <c r="H19" s="366">
        <f t="shared" si="50"/>
        <v>0</v>
      </c>
      <c r="I19" s="366">
        <f t="shared" si="50"/>
        <v>0</v>
      </c>
      <c r="J19" s="366">
        <f t="shared" si="50"/>
        <v>1</v>
      </c>
      <c r="K19" s="387">
        <f>BA87</f>
        <v>0</v>
      </c>
      <c r="L19" s="352">
        <f t="shared" si="6"/>
        <v>1</v>
      </c>
      <c r="M19" s="370">
        <f t="shared" si="19"/>
        <v>3.7593984962406013E-3</v>
      </c>
      <c r="N19" s="292">
        <f>AN87+AO87</f>
        <v>3</v>
      </c>
      <c r="O19" s="353">
        <f t="shared" si="1"/>
        <v>1.1235955056179775E-2</v>
      </c>
      <c r="P19" s="292">
        <f>SUM(AQ87:AR87)</f>
        <v>4</v>
      </c>
      <c r="Q19" s="353">
        <f t="shared" si="7"/>
        <v>1.4981273408239701E-2</v>
      </c>
      <c r="R19" s="292">
        <f>SUM(AT87:AU87)</f>
        <v>0</v>
      </c>
      <c r="S19" s="353">
        <f t="shared" si="2"/>
        <v>0</v>
      </c>
      <c r="T19" s="292">
        <f>SUM(AW87:AX87)</f>
        <v>0</v>
      </c>
      <c r="U19" s="353">
        <f t="shared" si="3"/>
        <v>0</v>
      </c>
      <c r="V19" s="367">
        <f>AZ87</f>
        <v>7</v>
      </c>
      <c r="W19" s="292">
        <f>BB87</f>
        <v>7</v>
      </c>
      <c r="X19" s="353">
        <f t="shared" si="4"/>
        <v>2.9850746268656716E-2</v>
      </c>
      <c r="Y19" s="375" t="s">
        <v>274</v>
      </c>
      <c r="Z19" s="375" t="s">
        <v>268</v>
      </c>
      <c r="AA19" s="304" t="s">
        <v>269</v>
      </c>
      <c r="AB19" s="207"/>
      <c r="AC19" s="216" t="s">
        <v>271</v>
      </c>
      <c r="AD19" s="217"/>
      <c r="AE19" s="217"/>
      <c r="AF19" s="218"/>
      <c r="AG19" s="218"/>
      <c r="AH19" s="219"/>
      <c r="AI19" s="218"/>
      <c r="AJ19" s="218"/>
      <c r="AK19" s="218"/>
      <c r="AL19" s="218"/>
      <c r="AM19" s="220" t="e">
        <f>SUM(AJ19:AL19)/AH19</f>
        <v>#DIV/0!</v>
      </c>
      <c r="AN19" s="218"/>
      <c r="AO19" s="218"/>
      <c r="AP19" s="221" t="e">
        <f>SUM(AN19:AO19)/AI19</f>
        <v>#DIV/0!</v>
      </c>
      <c r="AQ19" s="218"/>
      <c r="AR19" s="218"/>
      <c r="AS19" s="221" t="e">
        <f>(AQ19+AR19)/$AG19</f>
        <v>#DIV/0!</v>
      </c>
      <c r="AT19" s="218"/>
      <c r="AU19" s="218"/>
      <c r="AV19" s="221" t="e">
        <f>(AT19+AU19)/$AG19</f>
        <v>#DIV/0!</v>
      </c>
      <c r="AW19" s="218"/>
      <c r="AX19" s="218"/>
      <c r="AY19" s="221" t="e">
        <f>(AW19+AX19)/$AG19</f>
        <v>#DIV/0!</v>
      </c>
      <c r="AZ19" s="222">
        <f>SUM(AN19,AQ19,AT19,AW19)</f>
        <v>0</v>
      </c>
      <c r="BA19" s="222">
        <f>SUM(AO19,AR19,AU19,AX19)</f>
        <v>0</v>
      </c>
      <c r="BB19" s="222">
        <f>SUM(AZ19:BA19)</f>
        <v>0</v>
      </c>
      <c r="BC19" s="221">
        <f>(BB19+1)/(AI19+1)</f>
        <v>1</v>
      </c>
      <c r="BD19" s="223"/>
      <c r="BE19" s="223"/>
    </row>
    <row r="20" spans="1:60" ht="15" customHeight="1" x14ac:dyDescent="0.2">
      <c r="A20" s="354">
        <v>18</v>
      </c>
      <c r="B20" s="358">
        <v>46061</v>
      </c>
      <c r="C20" s="358">
        <v>46062</v>
      </c>
      <c r="D20" s="362">
        <v>2</v>
      </c>
      <c r="E20" s="366">
        <f t="shared" ref="E20:J20" si="51">AG92</f>
        <v>253</v>
      </c>
      <c r="F20" s="366">
        <f t="shared" si="51"/>
        <v>252</v>
      </c>
      <c r="G20" s="366">
        <f t="shared" si="51"/>
        <v>252</v>
      </c>
      <c r="H20" s="366">
        <f t="shared" si="51"/>
        <v>0</v>
      </c>
      <c r="I20" s="366">
        <f t="shared" si="51"/>
        <v>0</v>
      </c>
      <c r="J20" s="366">
        <f t="shared" si="51"/>
        <v>0</v>
      </c>
      <c r="K20" s="387">
        <f>BA92</f>
        <v>0</v>
      </c>
      <c r="L20" s="352">
        <f t="shared" si="6"/>
        <v>0</v>
      </c>
      <c r="M20" s="370">
        <f t="shared" si="19"/>
        <v>0</v>
      </c>
      <c r="N20" s="292">
        <f>AN92+AO92</f>
        <v>8</v>
      </c>
      <c r="O20" s="353">
        <f t="shared" si="1"/>
        <v>3.1746031746031744E-2</v>
      </c>
      <c r="P20" s="292">
        <f>SUM(AQ92:AR92)</f>
        <v>5</v>
      </c>
      <c r="Q20" s="353">
        <f t="shared" si="7"/>
        <v>1.984126984126984E-2</v>
      </c>
      <c r="R20" s="292">
        <f>SUM(AT92:AU92)</f>
        <v>2</v>
      </c>
      <c r="S20" s="353">
        <f t="shared" si="2"/>
        <v>7.9365079365079361E-3</v>
      </c>
      <c r="T20" s="292">
        <f>SUM(AW92:AX92)</f>
        <v>0</v>
      </c>
      <c r="U20" s="353">
        <f t="shared" si="3"/>
        <v>0</v>
      </c>
      <c r="V20" s="367">
        <f>AZ92</f>
        <v>15</v>
      </c>
      <c r="W20" s="292">
        <f>BB92</f>
        <v>15</v>
      </c>
      <c r="X20" s="353">
        <f t="shared" si="4"/>
        <v>6.3241106719367585E-2</v>
      </c>
      <c r="Y20" s="375" t="s">
        <v>274</v>
      </c>
      <c r="Z20" s="375" t="s">
        <v>268</v>
      </c>
      <c r="AA20" s="304" t="s">
        <v>269</v>
      </c>
      <c r="AB20" s="207"/>
      <c r="AC20" s="224" t="s">
        <v>273</v>
      </c>
      <c r="AD20" s="225"/>
      <c r="AE20" s="225"/>
      <c r="AF20" s="226"/>
      <c r="AG20" s="226"/>
      <c r="AH20" s="227"/>
      <c r="AI20" s="226"/>
      <c r="AJ20" s="226"/>
      <c r="AK20" s="226"/>
      <c r="AL20" s="226"/>
      <c r="AM20" s="228" t="e">
        <f t="shared" ref="AM20:AM21" si="52">SUM(AJ20:AL20)/AH20</f>
        <v>#DIV/0!</v>
      </c>
      <c r="AN20" s="226"/>
      <c r="AO20" s="226"/>
      <c r="AP20" s="229" t="e">
        <f t="shared" ref="AP20:AP21" si="53">SUM(AN20:AO20)/AI20</f>
        <v>#DIV/0!</v>
      </c>
      <c r="AQ20" s="226"/>
      <c r="AR20" s="226"/>
      <c r="AS20" s="229" t="e">
        <f t="shared" ref="AS20:AS21" si="54">(AQ20+AR20)/$AG20</f>
        <v>#DIV/0!</v>
      </c>
      <c r="AT20" s="226"/>
      <c r="AU20" s="226"/>
      <c r="AV20" s="229" t="e">
        <f t="shared" ref="AV20:AV21" si="55">(AT20+AU20)/$AG20</f>
        <v>#DIV/0!</v>
      </c>
      <c r="AW20" s="226"/>
      <c r="AX20" s="226"/>
      <c r="AY20" s="229" t="e">
        <f t="shared" ref="AY20:AY21" si="56">(AW20+AX20)/$AG20</f>
        <v>#DIV/0!</v>
      </c>
      <c r="AZ20" s="230">
        <f t="shared" ref="AZ20:BA21" si="57">SUM(AN20,AQ20,AT20,AW20)</f>
        <v>0</v>
      </c>
      <c r="BA20" s="230">
        <f t="shared" si="57"/>
        <v>0</v>
      </c>
      <c r="BB20" s="230">
        <f t="shared" ref="BB20:BB21" si="58">SUM(AZ20:BA20)</f>
        <v>0</v>
      </c>
      <c r="BC20" s="229">
        <f t="shared" ref="BC20:BC21" si="59">(BB20+1)/(AI20+1)</f>
        <v>1</v>
      </c>
      <c r="BD20" s="231"/>
      <c r="BE20" s="231"/>
    </row>
    <row r="21" spans="1:60" ht="15" customHeight="1" x14ac:dyDescent="0.2">
      <c r="A21" s="354">
        <v>19</v>
      </c>
      <c r="B21" s="358">
        <v>46061</v>
      </c>
      <c r="C21" s="358">
        <v>46062</v>
      </c>
      <c r="D21" s="362">
        <v>2</v>
      </c>
      <c r="E21" s="366">
        <f t="shared" ref="E21:J21" si="60">AG97</f>
        <v>253</v>
      </c>
      <c r="F21" s="366">
        <f t="shared" si="60"/>
        <v>250</v>
      </c>
      <c r="G21" s="366">
        <f t="shared" si="60"/>
        <v>250</v>
      </c>
      <c r="H21" s="366">
        <f t="shared" si="60"/>
        <v>1</v>
      </c>
      <c r="I21" s="366">
        <f t="shared" si="60"/>
        <v>0</v>
      </c>
      <c r="J21" s="366">
        <f t="shared" si="60"/>
        <v>0</v>
      </c>
      <c r="K21" s="387">
        <f>BA97</f>
        <v>0</v>
      </c>
      <c r="L21" s="352">
        <f t="shared" si="6"/>
        <v>1</v>
      </c>
      <c r="M21" s="370">
        <f t="shared" si="19"/>
        <v>3.952569169960474E-3</v>
      </c>
      <c r="N21" s="292">
        <f>AN97+AO97</f>
        <v>6</v>
      </c>
      <c r="O21" s="353">
        <f t="shared" si="1"/>
        <v>2.4E-2</v>
      </c>
      <c r="P21" s="292">
        <f>SUM(AQ97:AR97)</f>
        <v>7</v>
      </c>
      <c r="Q21" s="353">
        <f t="shared" si="7"/>
        <v>2.8000000000000001E-2</v>
      </c>
      <c r="R21" s="292">
        <f>SUM(AT97:AU97)</f>
        <v>0</v>
      </c>
      <c r="S21" s="353">
        <f t="shared" si="2"/>
        <v>0</v>
      </c>
      <c r="T21" s="292">
        <f>SUM(AW97:AX97)</f>
        <v>0</v>
      </c>
      <c r="U21" s="353">
        <f t="shared" si="3"/>
        <v>0</v>
      </c>
      <c r="V21" s="367">
        <f>AZ97</f>
        <v>13</v>
      </c>
      <c r="W21" s="292">
        <f>BB97</f>
        <v>13</v>
      </c>
      <c r="X21" s="353">
        <f t="shared" si="4"/>
        <v>5.5776892430278883E-2</v>
      </c>
      <c r="Y21" s="375" t="s">
        <v>274</v>
      </c>
      <c r="Z21" s="375" t="s">
        <v>268</v>
      </c>
      <c r="AA21" s="304" t="s">
        <v>269</v>
      </c>
      <c r="AB21" s="207"/>
      <c r="AC21" s="232" t="s">
        <v>275</v>
      </c>
      <c r="AD21" s="233">
        <v>46036</v>
      </c>
      <c r="AE21" s="233">
        <v>46037</v>
      </c>
      <c r="AF21" s="234">
        <v>1</v>
      </c>
      <c r="AG21" s="234">
        <v>263</v>
      </c>
      <c r="AH21" s="235">
        <v>263</v>
      </c>
      <c r="AI21" s="234">
        <v>263</v>
      </c>
      <c r="AJ21" s="234">
        <v>0</v>
      </c>
      <c r="AK21" s="234"/>
      <c r="AL21" s="234">
        <v>0</v>
      </c>
      <c r="AM21" s="236">
        <f t="shared" si="52"/>
        <v>0</v>
      </c>
      <c r="AN21" s="234">
        <v>6</v>
      </c>
      <c r="AO21" s="234">
        <v>0</v>
      </c>
      <c r="AP21" s="237">
        <f t="shared" si="53"/>
        <v>2.2813688212927757E-2</v>
      </c>
      <c r="AQ21" s="234">
        <v>4</v>
      </c>
      <c r="AR21" s="234">
        <v>0</v>
      </c>
      <c r="AS21" s="237">
        <f t="shared" si="54"/>
        <v>1.5209125475285171E-2</v>
      </c>
      <c r="AT21" s="234">
        <v>0</v>
      </c>
      <c r="AU21" s="234">
        <v>0</v>
      </c>
      <c r="AV21" s="237">
        <f t="shared" si="55"/>
        <v>0</v>
      </c>
      <c r="AW21" s="234">
        <v>0</v>
      </c>
      <c r="AX21" s="234">
        <v>0</v>
      </c>
      <c r="AY21" s="237">
        <f t="shared" si="56"/>
        <v>0</v>
      </c>
      <c r="AZ21" s="238">
        <f t="shared" si="57"/>
        <v>10</v>
      </c>
      <c r="BA21" s="238">
        <f t="shared" si="57"/>
        <v>0</v>
      </c>
      <c r="BB21" s="238">
        <f t="shared" si="58"/>
        <v>10</v>
      </c>
      <c r="BC21" s="237">
        <f t="shared" si="59"/>
        <v>4.1666666666666664E-2</v>
      </c>
      <c r="BD21" s="239" t="s">
        <v>274</v>
      </c>
      <c r="BE21" s="239" t="s">
        <v>268</v>
      </c>
    </row>
    <row r="22" spans="1:60" ht="15" customHeight="1" x14ac:dyDescent="0.2">
      <c r="A22" s="354">
        <v>20</v>
      </c>
      <c r="B22" s="358">
        <v>46064</v>
      </c>
      <c r="C22" s="358">
        <v>46065</v>
      </c>
      <c r="D22" s="362">
        <v>1</v>
      </c>
      <c r="E22" s="366">
        <f t="shared" ref="E22:J22" si="61">AG102</f>
        <v>502</v>
      </c>
      <c r="F22" s="366">
        <f t="shared" si="61"/>
        <v>502</v>
      </c>
      <c r="G22" s="366">
        <f t="shared" si="61"/>
        <v>495</v>
      </c>
      <c r="H22" s="366">
        <f t="shared" si="61"/>
        <v>0</v>
      </c>
      <c r="I22" s="366">
        <f t="shared" si="61"/>
        <v>0</v>
      </c>
      <c r="J22" s="366">
        <f t="shared" si="61"/>
        <v>7</v>
      </c>
      <c r="K22" s="387">
        <f>BA102</f>
        <v>0</v>
      </c>
      <c r="L22" s="352">
        <f>SUM(H22:K22)</f>
        <v>7</v>
      </c>
      <c r="M22" s="370">
        <f t="shared" si="19"/>
        <v>1.3944223107569721E-2</v>
      </c>
      <c r="N22" s="292">
        <f>AN102+AO102</f>
        <v>16</v>
      </c>
      <c r="O22" s="353">
        <f t="shared" si="1"/>
        <v>3.2323232323232323E-2</v>
      </c>
      <c r="P22" s="292">
        <f>SUM(AQ102:AR102)</f>
        <v>2</v>
      </c>
      <c r="Q22" s="353">
        <f t="shared" si="7"/>
        <v>4.0404040404040404E-3</v>
      </c>
      <c r="R22" s="292">
        <f>SUM(AT102:AU102)</f>
        <v>2</v>
      </c>
      <c r="S22" s="353">
        <f t="shared" si="2"/>
        <v>4.0404040404040404E-3</v>
      </c>
      <c r="T22" s="292">
        <f>SUM(AW102:AX102)</f>
        <v>0</v>
      </c>
      <c r="U22" s="353">
        <f t="shared" si="3"/>
        <v>0</v>
      </c>
      <c r="V22" s="367">
        <f>AZ102</f>
        <v>20</v>
      </c>
      <c r="W22" s="292">
        <f>BB102</f>
        <v>20</v>
      </c>
      <c r="X22" s="353">
        <f t="shared" si="4"/>
        <v>4.2338709677419352E-2</v>
      </c>
      <c r="Y22" s="375" t="s">
        <v>274</v>
      </c>
      <c r="Z22" s="375" t="s">
        <v>268</v>
      </c>
      <c r="AA22" s="304" t="s">
        <v>269</v>
      </c>
      <c r="AB22" s="207"/>
      <c r="AC22" s="7"/>
      <c r="AG22" s="240">
        <f>SUM(AG19:AG21)</f>
        <v>263</v>
      </c>
      <c r="AH22" s="240">
        <f>SUM(AH19:AH21)</f>
        <v>263</v>
      </c>
      <c r="AI22" s="240">
        <f t="shared" ref="AI22:AL22" si="62">SUM(AI19:AI21)</f>
        <v>263</v>
      </c>
      <c r="AJ22" s="240">
        <f t="shared" si="62"/>
        <v>0</v>
      </c>
      <c r="AK22" s="240">
        <f t="shared" si="62"/>
        <v>0</v>
      </c>
      <c r="AL22" s="240">
        <f t="shared" si="62"/>
        <v>0</v>
      </c>
      <c r="AM22" s="135"/>
      <c r="AN22" s="240">
        <f>SUM(AN19:AN21)</f>
        <v>6</v>
      </c>
      <c r="AO22" s="240">
        <f>SUM(AO19:AO21)</f>
        <v>0</v>
      </c>
      <c r="AP22" s="241"/>
      <c r="AQ22" s="240">
        <f>SUM(AQ19:AQ21)</f>
        <v>4</v>
      </c>
      <c r="AR22" s="240">
        <f>SUM(AR19:AR21)</f>
        <v>0</v>
      </c>
      <c r="AS22" s="241"/>
      <c r="AT22" s="240">
        <f>SUM(AT19:AT21)</f>
        <v>0</v>
      </c>
      <c r="AU22" s="240">
        <f>SUM(AU19:AU21)</f>
        <v>0</v>
      </c>
      <c r="AV22" s="241"/>
      <c r="AW22" s="240">
        <f>SUM(AW19:AW21)</f>
        <v>0</v>
      </c>
      <c r="AX22" s="240">
        <f>SUM(AX19:AX21)</f>
        <v>0</v>
      </c>
      <c r="AY22" s="241"/>
      <c r="AZ22" s="240">
        <f>SUM(AZ19:AZ21)</f>
        <v>10</v>
      </c>
      <c r="BA22" s="240">
        <f>SUM(BA19:BA21)</f>
        <v>0</v>
      </c>
      <c r="BB22" s="240">
        <f>SUM(AZ22:BA22)</f>
        <v>10</v>
      </c>
      <c r="BC22" s="242">
        <f>(BB22+1)/(AI22+1)</f>
        <v>4.1666666666666664E-2</v>
      </c>
      <c r="BD22" s="98"/>
      <c r="BE22" s="98"/>
    </row>
    <row r="23" spans="1:60" ht="15" customHeight="1" x14ac:dyDescent="0.2">
      <c r="A23" s="354">
        <v>21</v>
      </c>
      <c r="B23" s="358">
        <v>46064</v>
      </c>
      <c r="C23" s="358">
        <v>46065</v>
      </c>
      <c r="D23" s="361">
        <v>1</v>
      </c>
      <c r="E23" s="365">
        <f t="shared" ref="E23:J23" si="63">AG107</f>
        <v>509</v>
      </c>
      <c r="F23" s="365">
        <f t="shared" si="63"/>
        <v>281</v>
      </c>
      <c r="G23" s="365">
        <f t="shared" si="63"/>
        <v>279</v>
      </c>
      <c r="H23" s="365">
        <f t="shared" si="63"/>
        <v>228</v>
      </c>
      <c r="I23" s="365">
        <f t="shared" si="63"/>
        <v>0</v>
      </c>
      <c r="J23" s="365">
        <f t="shared" si="63"/>
        <v>2</v>
      </c>
      <c r="K23" s="386">
        <f>BA107</f>
        <v>0</v>
      </c>
      <c r="L23" s="352">
        <f>SUM(H23:K23)</f>
        <v>230</v>
      </c>
      <c r="M23" s="370">
        <f>L23/E23</f>
        <v>0.45186640471512768</v>
      </c>
      <c r="N23" s="292">
        <f>AN107+AO107</f>
        <v>8</v>
      </c>
      <c r="O23" s="353">
        <f t="shared" si="1"/>
        <v>2.8673835125448029E-2</v>
      </c>
      <c r="P23" s="292">
        <f>SUM(AQ107:AR107)</f>
        <v>0</v>
      </c>
      <c r="Q23" s="353">
        <f>P23/G23</f>
        <v>0</v>
      </c>
      <c r="R23" s="292">
        <f>SUM(AT107:AU107)</f>
        <v>1</v>
      </c>
      <c r="S23" s="353">
        <f t="shared" si="2"/>
        <v>3.5842293906810036E-3</v>
      </c>
      <c r="T23" s="292">
        <f>SUM(AW107:AX107)</f>
        <v>0</v>
      </c>
      <c r="U23" s="353">
        <f t="shared" si="3"/>
        <v>0</v>
      </c>
      <c r="V23" s="367">
        <f>AZ107</f>
        <v>9</v>
      </c>
      <c r="W23" s="292">
        <f>BB107</f>
        <v>9</v>
      </c>
      <c r="X23" s="353">
        <f t="shared" si="4"/>
        <v>3.5714285714285712E-2</v>
      </c>
      <c r="Y23" s="375" t="s">
        <v>274</v>
      </c>
      <c r="Z23" s="375" t="s">
        <v>268</v>
      </c>
      <c r="AA23" s="304" t="s">
        <v>269</v>
      </c>
      <c r="AB23" s="18"/>
      <c r="AC23" s="33" t="s">
        <v>279</v>
      </c>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row>
    <row r="24" spans="1:60" ht="15" customHeight="1" x14ac:dyDescent="0.2">
      <c r="A24" s="354">
        <v>22</v>
      </c>
      <c r="B24" s="358">
        <v>46085</v>
      </c>
      <c r="C24" s="358">
        <v>46086</v>
      </c>
      <c r="D24" s="361">
        <v>1</v>
      </c>
      <c r="E24" s="365">
        <f t="shared" ref="E24:J24" si="64">AG112</f>
        <v>252</v>
      </c>
      <c r="F24" s="365">
        <f t="shared" si="64"/>
        <v>252</v>
      </c>
      <c r="G24" s="365">
        <f t="shared" si="64"/>
        <v>251</v>
      </c>
      <c r="H24" s="365">
        <f t="shared" si="64"/>
        <v>1</v>
      </c>
      <c r="I24" s="365">
        <f t="shared" si="64"/>
        <v>0</v>
      </c>
      <c r="J24" s="365">
        <f t="shared" si="64"/>
        <v>1</v>
      </c>
      <c r="K24" s="386">
        <f>BA112</f>
        <v>0</v>
      </c>
      <c r="L24" s="352">
        <f t="shared" ref="L24:L42" si="65">SUM(H24:K24)</f>
        <v>2</v>
      </c>
      <c r="M24" s="370">
        <f>L24/E24</f>
        <v>7.9365079365079361E-3</v>
      </c>
      <c r="N24" s="292">
        <f>AO112+AN112</f>
        <v>26</v>
      </c>
      <c r="O24" s="353">
        <f t="shared" si="1"/>
        <v>0.10358565737051793</v>
      </c>
      <c r="P24" s="292">
        <f>SUM(AQ112:AR112)</f>
        <v>0</v>
      </c>
      <c r="Q24" s="353">
        <f t="shared" ref="Q24:Q42" si="66">P24/G24</f>
        <v>0</v>
      </c>
      <c r="R24" s="292">
        <f>SUM(AT112:AU112)</f>
        <v>0</v>
      </c>
      <c r="S24" s="353">
        <f t="shared" si="2"/>
        <v>0</v>
      </c>
      <c r="T24" s="292">
        <f>SUM(AW112:AX112)</f>
        <v>0</v>
      </c>
      <c r="U24" s="353">
        <f t="shared" si="3"/>
        <v>0</v>
      </c>
      <c r="V24" s="367">
        <f>AZ112</f>
        <v>26</v>
      </c>
      <c r="W24" s="292">
        <f>BB112</f>
        <v>26</v>
      </c>
      <c r="X24" s="353">
        <f t="shared" si="4"/>
        <v>0.10714285714285714</v>
      </c>
      <c r="Y24" s="375" t="s">
        <v>274</v>
      </c>
      <c r="Z24" s="375" t="s">
        <v>268</v>
      </c>
      <c r="AA24" s="304" t="s">
        <v>269</v>
      </c>
      <c r="AB24" s="18"/>
      <c r="AC24" s="216" t="s">
        <v>271</v>
      </c>
      <c r="AD24" s="217"/>
      <c r="AE24" s="217"/>
      <c r="AF24" s="218"/>
      <c r="AG24" s="218"/>
      <c r="AH24" s="219"/>
      <c r="AI24" s="218"/>
      <c r="AJ24" s="218"/>
      <c r="AK24" s="218"/>
      <c r="AL24" s="218"/>
      <c r="AM24" s="220" t="e">
        <f>SUM(AJ24:AL24)/AH24</f>
        <v>#DIV/0!</v>
      </c>
      <c r="AN24" s="218"/>
      <c r="AO24" s="218"/>
      <c r="AP24" s="221" t="e">
        <f>SUM(AN24:AO24)/AI24</f>
        <v>#DIV/0!</v>
      </c>
      <c r="AQ24" s="218"/>
      <c r="AR24" s="218"/>
      <c r="AS24" s="221" t="e">
        <f>(AQ24+AR24)/$AG24</f>
        <v>#DIV/0!</v>
      </c>
      <c r="AT24" s="218"/>
      <c r="AU24" s="218"/>
      <c r="AV24" s="221" t="e">
        <f>(AT24+AU24)/$AG24</f>
        <v>#DIV/0!</v>
      </c>
      <c r="AW24" s="218"/>
      <c r="AX24" s="218"/>
      <c r="AY24" s="221" t="e">
        <f>(AW24+AX24)/$AG24</f>
        <v>#DIV/0!</v>
      </c>
      <c r="AZ24" s="222">
        <f>SUM(AN24,AQ24,AT24,AW24)</f>
        <v>0</v>
      </c>
      <c r="BA24" s="222">
        <f>SUM(AO24,AR24,AU24,AX24)</f>
        <v>0</v>
      </c>
      <c r="BB24" s="222">
        <f>SUM(AZ24:BA24)</f>
        <v>0</v>
      </c>
      <c r="BC24" s="221">
        <f>(BB24+1)/(AI24+1)</f>
        <v>1</v>
      </c>
      <c r="BD24" s="223"/>
      <c r="BE24" s="223"/>
    </row>
    <row r="25" spans="1:60" ht="15" customHeight="1" x14ac:dyDescent="0.2">
      <c r="A25" s="354">
        <v>23</v>
      </c>
      <c r="B25" s="358">
        <v>46085</v>
      </c>
      <c r="C25" s="358">
        <v>46086</v>
      </c>
      <c r="D25" s="361">
        <v>1</v>
      </c>
      <c r="E25" s="365">
        <f t="shared" ref="E25:J25" si="67">AG117</f>
        <v>253</v>
      </c>
      <c r="F25" s="365">
        <f t="shared" si="67"/>
        <v>253</v>
      </c>
      <c r="G25" s="365">
        <f t="shared" si="67"/>
        <v>253</v>
      </c>
      <c r="H25" s="365">
        <f t="shared" si="67"/>
        <v>0</v>
      </c>
      <c r="I25" s="365">
        <f t="shared" si="67"/>
        <v>0</v>
      </c>
      <c r="J25" s="365">
        <f t="shared" si="67"/>
        <v>0</v>
      </c>
      <c r="K25" s="386">
        <f>BA117</f>
        <v>0</v>
      </c>
      <c r="L25" s="352">
        <f t="shared" si="65"/>
        <v>0</v>
      </c>
      <c r="M25" s="370">
        <f>L25/E25</f>
        <v>0</v>
      </c>
      <c r="N25" s="292">
        <f>AN117+AO117</f>
        <v>19</v>
      </c>
      <c r="O25" s="353">
        <f t="shared" si="1"/>
        <v>7.5098814229249009E-2</v>
      </c>
      <c r="P25" s="292">
        <f>SUM(AQ117:AR117)</f>
        <v>0</v>
      </c>
      <c r="Q25" s="353">
        <f t="shared" si="66"/>
        <v>0</v>
      </c>
      <c r="R25" s="292">
        <f>SUM(AT117:AU117)</f>
        <v>0</v>
      </c>
      <c r="S25" s="353">
        <f t="shared" si="2"/>
        <v>0</v>
      </c>
      <c r="T25" s="292">
        <f>SUM(AW117:AX117)</f>
        <v>0</v>
      </c>
      <c r="U25" s="353">
        <f t="shared" si="3"/>
        <v>0</v>
      </c>
      <c r="V25" s="367">
        <f>AZ117</f>
        <v>19</v>
      </c>
      <c r="W25" s="292">
        <f>BB117</f>
        <v>19</v>
      </c>
      <c r="X25" s="353">
        <f t="shared" si="4"/>
        <v>7.874015748031496E-2</v>
      </c>
      <c r="Y25" s="375" t="s">
        <v>274</v>
      </c>
      <c r="Z25" s="375" t="s">
        <v>268</v>
      </c>
      <c r="AA25" s="304" t="s">
        <v>269</v>
      </c>
      <c r="AB25" s="18"/>
      <c r="AC25" s="224" t="s">
        <v>273</v>
      </c>
      <c r="AD25" s="225">
        <v>46036</v>
      </c>
      <c r="AE25" s="225">
        <v>46037</v>
      </c>
      <c r="AF25" s="226">
        <v>1</v>
      </c>
      <c r="AG25" s="226">
        <v>254</v>
      </c>
      <c r="AH25" s="227">
        <v>254</v>
      </c>
      <c r="AI25" s="226">
        <v>254</v>
      </c>
      <c r="AJ25" s="226">
        <v>0</v>
      </c>
      <c r="AK25" s="226"/>
      <c r="AL25" s="226">
        <v>0</v>
      </c>
      <c r="AM25" s="228">
        <f t="shared" ref="AM25:AM26" si="68">SUM(AJ25:AL25)/AH25</f>
        <v>0</v>
      </c>
      <c r="AN25" s="226">
        <v>8</v>
      </c>
      <c r="AO25" s="226">
        <v>0</v>
      </c>
      <c r="AP25" s="229">
        <f t="shared" ref="AP25:AP26" si="69">SUM(AN25:AO25)/AI25</f>
        <v>3.1496062992125984E-2</v>
      </c>
      <c r="AQ25" s="226">
        <v>2</v>
      </c>
      <c r="AR25" s="226">
        <v>0</v>
      </c>
      <c r="AS25" s="229">
        <f>(AQ25+AR25)/$AG25</f>
        <v>7.874015748031496E-3</v>
      </c>
      <c r="AT25" s="226">
        <v>0</v>
      </c>
      <c r="AU25" s="226">
        <v>0</v>
      </c>
      <c r="AV25" s="229">
        <f>(AT25+AU25)/$AG25</f>
        <v>0</v>
      </c>
      <c r="AW25" s="226">
        <v>0</v>
      </c>
      <c r="AX25" s="226">
        <v>0</v>
      </c>
      <c r="AY25" s="229">
        <f>(AW25+AX25)/$AG25</f>
        <v>0</v>
      </c>
      <c r="AZ25" s="230">
        <f t="shared" ref="AZ25:BA26" si="70">SUM(AN25,AQ25,AT25,AW25)</f>
        <v>10</v>
      </c>
      <c r="BA25" s="230">
        <f t="shared" si="70"/>
        <v>0</v>
      </c>
      <c r="BB25" s="230">
        <f t="shared" ref="BB25:BB26" si="71">SUM(AZ25:BA25)</f>
        <v>10</v>
      </c>
      <c r="BC25" s="229">
        <f t="shared" ref="BC25:BC26" si="72">(BB25+1)/(AI25+1)</f>
        <v>4.3137254901960784E-2</v>
      </c>
      <c r="BD25" s="231" t="s">
        <v>274</v>
      </c>
      <c r="BE25" s="231" t="s">
        <v>268</v>
      </c>
    </row>
    <row r="26" spans="1:60" ht="12.75" x14ac:dyDescent="0.2">
      <c r="A26" s="354">
        <v>24</v>
      </c>
      <c r="B26" s="358">
        <v>46090</v>
      </c>
      <c r="C26" s="358">
        <v>46091</v>
      </c>
      <c r="D26" s="361">
        <v>1</v>
      </c>
      <c r="E26" s="365">
        <f t="shared" ref="E26:J26" si="73">AG122</f>
        <v>266</v>
      </c>
      <c r="F26" s="365">
        <f t="shared" si="73"/>
        <v>265</v>
      </c>
      <c r="G26" s="365">
        <f t="shared" si="73"/>
        <v>264</v>
      </c>
      <c r="H26" s="365">
        <f t="shared" si="73"/>
        <v>0</v>
      </c>
      <c r="I26" s="365">
        <f t="shared" si="73"/>
        <v>0</v>
      </c>
      <c r="J26" s="365">
        <f t="shared" si="73"/>
        <v>0</v>
      </c>
      <c r="K26" s="386">
        <f>BA122</f>
        <v>0</v>
      </c>
      <c r="L26" s="352">
        <f t="shared" si="65"/>
        <v>0</v>
      </c>
      <c r="M26" s="370">
        <f>L26/E26</f>
        <v>0</v>
      </c>
      <c r="N26" s="292">
        <f>AN122+AO122</f>
        <v>19</v>
      </c>
      <c r="O26" s="353">
        <f t="shared" si="1"/>
        <v>7.1969696969696975E-2</v>
      </c>
      <c r="P26" s="292">
        <f>SUM(AQ122:AR122)</f>
        <v>6</v>
      </c>
      <c r="Q26" s="353">
        <f t="shared" si="66"/>
        <v>2.2727272727272728E-2</v>
      </c>
      <c r="R26" s="292">
        <f>SUM(AT122:AU122)</f>
        <v>2</v>
      </c>
      <c r="S26" s="353">
        <f t="shared" si="2"/>
        <v>7.575757575757576E-3</v>
      </c>
      <c r="T26" s="292">
        <f>SUM(AW122:AX122)</f>
        <v>0</v>
      </c>
      <c r="U26" s="353">
        <f t="shared" si="3"/>
        <v>0</v>
      </c>
      <c r="V26" s="367">
        <f>AZ122</f>
        <v>27</v>
      </c>
      <c r="W26" s="292">
        <f>BB122</f>
        <v>27</v>
      </c>
      <c r="X26" s="353">
        <f t="shared" si="4"/>
        <v>0.10566037735849057</v>
      </c>
      <c r="Y26" s="375" t="s">
        <v>274</v>
      </c>
      <c r="Z26" s="375" t="s">
        <v>268</v>
      </c>
      <c r="AA26" s="304" t="s">
        <v>269</v>
      </c>
      <c r="AB26" s="18"/>
      <c r="AC26" s="232" t="s">
        <v>275</v>
      </c>
      <c r="AD26" s="233"/>
      <c r="AE26" s="233"/>
      <c r="AF26" s="234"/>
      <c r="AG26" s="234"/>
      <c r="AH26" s="235"/>
      <c r="AI26" s="234"/>
      <c r="AJ26" s="234"/>
      <c r="AK26" s="234"/>
      <c r="AL26" s="234"/>
      <c r="AM26" s="236" t="e">
        <f t="shared" si="68"/>
        <v>#DIV/0!</v>
      </c>
      <c r="AN26" s="234"/>
      <c r="AO26" s="234"/>
      <c r="AP26" s="237" t="e">
        <f t="shared" si="69"/>
        <v>#DIV/0!</v>
      </c>
      <c r="AQ26" s="234"/>
      <c r="AR26" s="234"/>
      <c r="AS26" s="237" t="e">
        <f>(AQ26+AR26)/$AG26</f>
        <v>#DIV/0!</v>
      </c>
      <c r="AT26" s="234"/>
      <c r="AU26" s="234"/>
      <c r="AV26" s="237" t="e">
        <f>(AT26+AU26)/$AG26</f>
        <v>#DIV/0!</v>
      </c>
      <c r="AW26" s="234"/>
      <c r="AX26" s="234"/>
      <c r="AY26" s="237" t="e">
        <f>(AW26+AX26)/$AG26</f>
        <v>#DIV/0!</v>
      </c>
      <c r="AZ26" s="238">
        <f t="shared" si="70"/>
        <v>0</v>
      </c>
      <c r="BA26" s="238">
        <f t="shared" si="70"/>
        <v>0</v>
      </c>
      <c r="BB26" s="238">
        <f t="shared" si="71"/>
        <v>0</v>
      </c>
      <c r="BC26" s="237">
        <f t="shared" si="72"/>
        <v>1</v>
      </c>
      <c r="BD26" s="239"/>
      <c r="BE26" s="239"/>
    </row>
    <row r="27" spans="1:60" ht="12.75" x14ac:dyDescent="0.2">
      <c r="A27" s="354">
        <v>25</v>
      </c>
      <c r="B27" s="358">
        <v>46090</v>
      </c>
      <c r="C27" s="358">
        <v>46091</v>
      </c>
      <c r="D27" s="362">
        <v>1</v>
      </c>
      <c r="E27" s="365">
        <f t="shared" ref="E27:J27" si="74">AG127</f>
        <v>252</v>
      </c>
      <c r="F27" s="365">
        <f t="shared" si="74"/>
        <v>251</v>
      </c>
      <c r="G27" s="365">
        <f t="shared" si="74"/>
        <v>251</v>
      </c>
      <c r="H27" s="365">
        <f t="shared" si="74"/>
        <v>1</v>
      </c>
      <c r="I27" s="365">
        <f t="shared" si="74"/>
        <v>0</v>
      </c>
      <c r="J27" s="365">
        <f t="shared" si="74"/>
        <v>0</v>
      </c>
      <c r="K27" s="386">
        <f>BA127</f>
        <v>0</v>
      </c>
      <c r="L27" s="352">
        <f t="shared" si="65"/>
        <v>1</v>
      </c>
      <c r="M27" s="370">
        <f t="shared" ref="M27:M42" si="75">L27/E27</f>
        <v>3.968253968253968E-3</v>
      </c>
      <c r="N27" s="292">
        <f>AN127+AO127</f>
        <v>18</v>
      </c>
      <c r="O27" s="353">
        <f t="shared" si="1"/>
        <v>7.1713147410358571E-2</v>
      </c>
      <c r="P27" s="292">
        <f>SUM(AQ127:AR127)</f>
        <v>4</v>
      </c>
      <c r="Q27" s="353">
        <f t="shared" si="66"/>
        <v>1.5936254980079681E-2</v>
      </c>
      <c r="R27" s="292">
        <f>SUM(AT127:AU127)</f>
        <v>4</v>
      </c>
      <c r="S27" s="353">
        <f t="shared" si="2"/>
        <v>1.5936254980079681E-2</v>
      </c>
      <c r="T27" s="292">
        <f>SUM(AW127:AX127)</f>
        <v>0</v>
      </c>
      <c r="U27" s="353">
        <f t="shared" si="3"/>
        <v>0</v>
      </c>
      <c r="V27" s="367">
        <f>AZ127</f>
        <v>26</v>
      </c>
      <c r="W27" s="292">
        <f>BB127</f>
        <v>26</v>
      </c>
      <c r="X27" s="353">
        <f t="shared" si="4"/>
        <v>0.10714285714285714</v>
      </c>
      <c r="Y27" s="375" t="s">
        <v>274</v>
      </c>
      <c r="Z27" s="375" t="s">
        <v>268</v>
      </c>
      <c r="AA27" s="304" t="s">
        <v>269</v>
      </c>
      <c r="AB27" s="18"/>
      <c r="AC27" s="7"/>
      <c r="AG27" s="240">
        <f>SUM(AG24:AG26)</f>
        <v>254</v>
      </c>
      <c r="AH27" s="240">
        <f>SUM(AH24:AH26)</f>
        <v>254</v>
      </c>
      <c r="AI27" s="240">
        <f t="shared" ref="AI27:AL27" si="76">SUM(AI24:AI26)</f>
        <v>254</v>
      </c>
      <c r="AJ27" s="240">
        <f t="shared" si="76"/>
        <v>0</v>
      </c>
      <c r="AK27" s="240">
        <f t="shared" si="76"/>
        <v>0</v>
      </c>
      <c r="AL27" s="240">
        <f t="shared" si="76"/>
        <v>0</v>
      </c>
      <c r="AM27" s="135"/>
      <c r="AN27" s="240">
        <f>SUM(AN24:AN26)</f>
        <v>8</v>
      </c>
      <c r="AO27" s="240">
        <f>SUM(AO24:AO26)</f>
        <v>0</v>
      </c>
      <c r="AP27" s="241"/>
      <c r="AQ27" s="240">
        <f>SUM(AQ24:AQ26)</f>
        <v>2</v>
      </c>
      <c r="AR27" s="240">
        <f>SUM(AR24:AR26)</f>
        <v>0</v>
      </c>
      <c r="AS27" s="241"/>
      <c r="AT27" s="240">
        <f>SUM(AT24:AT26)</f>
        <v>0</v>
      </c>
      <c r="AU27" s="240">
        <f>SUM(AU24:AU26)</f>
        <v>0</v>
      </c>
      <c r="AV27" s="241"/>
      <c r="AW27" s="240">
        <f>SUM(AW24:AW26)</f>
        <v>0</v>
      </c>
      <c r="AX27" s="240">
        <f>SUM(AX24:AX26)</f>
        <v>0</v>
      </c>
      <c r="AY27" s="241"/>
      <c r="AZ27" s="240">
        <f>SUM(AZ24:AZ26)</f>
        <v>10</v>
      </c>
      <c r="BA27" s="240">
        <f>SUM(BA24:BA26)</f>
        <v>0</v>
      </c>
      <c r="BB27" s="240">
        <f>SUM(AZ27:BA27)</f>
        <v>10</v>
      </c>
      <c r="BC27" s="242">
        <f>(BB27+1)/(AI27+1)</f>
        <v>4.3137254901960784E-2</v>
      </c>
      <c r="BD27" s="98"/>
      <c r="BE27" s="98"/>
    </row>
    <row r="28" spans="1:60" ht="12.75" x14ac:dyDescent="0.2">
      <c r="A28" s="354">
        <v>26</v>
      </c>
      <c r="B28" s="358">
        <v>46093</v>
      </c>
      <c r="C28" s="358">
        <v>46094</v>
      </c>
      <c r="D28" s="362">
        <v>1</v>
      </c>
      <c r="E28" s="365">
        <f t="shared" ref="E28:J28" si="77">AG132</f>
        <v>261</v>
      </c>
      <c r="F28" s="365">
        <f t="shared" si="77"/>
        <v>261</v>
      </c>
      <c r="G28" s="365">
        <f t="shared" si="77"/>
        <v>260</v>
      </c>
      <c r="H28" s="365">
        <f t="shared" si="77"/>
        <v>0</v>
      </c>
      <c r="I28" s="365">
        <f t="shared" si="77"/>
        <v>0</v>
      </c>
      <c r="J28" s="365">
        <f t="shared" si="77"/>
        <v>1</v>
      </c>
      <c r="K28" s="386">
        <f>BA132</f>
        <v>0</v>
      </c>
      <c r="L28" s="352">
        <f t="shared" si="65"/>
        <v>1</v>
      </c>
      <c r="M28" s="370">
        <f t="shared" si="75"/>
        <v>3.8314176245210726E-3</v>
      </c>
      <c r="N28" s="292">
        <f>AN132+AO132</f>
        <v>15</v>
      </c>
      <c r="O28" s="353">
        <f t="shared" si="1"/>
        <v>5.7692307692307696E-2</v>
      </c>
      <c r="P28" s="292">
        <f>SUM(AQ132:AR132)</f>
        <v>2</v>
      </c>
      <c r="Q28" s="353">
        <f t="shared" si="66"/>
        <v>7.6923076923076927E-3</v>
      </c>
      <c r="R28" s="292">
        <f>SUM(AT132:AU132)</f>
        <v>0</v>
      </c>
      <c r="S28" s="353">
        <f t="shared" si="2"/>
        <v>0</v>
      </c>
      <c r="T28" s="292">
        <f>SUM(AW132:AX132)</f>
        <v>0</v>
      </c>
      <c r="U28" s="353">
        <f t="shared" si="3"/>
        <v>0</v>
      </c>
      <c r="V28" s="367">
        <f>AZ132</f>
        <v>17</v>
      </c>
      <c r="W28" s="292">
        <f>BB132</f>
        <v>17</v>
      </c>
      <c r="X28" s="353">
        <f t="shared" si="4"/>
        <v>6.8965517241379309E-2</v>
      </c>
      <c r="Y28" s="375" t="s">
        <v>274</v>
      </c>
      <c r="Z28" s="375" t="s">
        <v>268</v>
      </c>
      <c r="AA28" s="304" t="s">
        <v>269</v>
      </c>
      <c r="AB28" s="18"/>
      <c r="AC28" s="212" t="s">
        <v>280</v>
      </c>
      <c r="AD28" s="15"/>
      <c r="AE28" s="23"/>
      <c r="AF28" s="16"/>
      <c r="AG28" s="15"/>
      <c r="AH28" s="15"/>
      <c r="AI28" s="15"/>
      <c r="AJ28" s="15"/>
      <c r="AK28" s="15"/>
      <c r="AL28" s="22"/>
      <c r="AM28" s="213"/>
      <c r="AN28" s="23"/>
      <c r="AO28" s="23"/>
      <c r="AP28" s="7"/>
      <c r="AQ28" s="15"/>
      <c r="AR28" s="15"/>
      <c r="AS28" s="7"/>
      <c r="AT28" s="15"/>
      <c r="AU28" s="15"/>
      <c r="AV28" s="7"/>
      <c r="AW28" s="15"/>
      <c r="AX28" s="15"/>
      <c r="AY28" s="214"/>
      <c r="AZ28" s="215"/>
      <c r="BA28" s="10"/>
      <c r="BB28" s="7"/>
      <c r="BC28" s="7"/>
      <c r="BD28" s="7"/>
      <c r="BE28" s="7"/>
    </row>
    <row r="29" spans="1:60" ht="15" customHeight="1" x14ac:dyDescent="0.2">
      <c r="A29" s="354">
        <v>27</v>
      </c>
      <c r="B29" s="358">
        <v>46093</v>
      </c>
      <c r="C29" s="358">
        <v>46094</v>
      </c>
      <c r="D29" s="362">
        <v>1</v>
      </c>
      <c r="E29" s="365">
        <f t="shared" ref="E29:J29" si="78">AG137</f>
        <v>237</v>
      </c>
      <c r="F29" s="365">
        <f t="shared" si="78"/>
        <v>237</v>
      </c>
      <c r="G29" s="365">
        <f t="shared" si="78"/>
        <v>237</v>
      </c>
      <c r="H29" s="365">
        <f t="shared" si="78"/>
        <v>0</v>
      </c>
      <c r="I29" s="365">
        <f t="shared" si="78"/>
        <v>0</v>
      </c>
      <c r="J29" s="365">
        <f t="shared" si="78"/>
        <v>0</v>
      </c>
      <c r="K29" s="386">
        <f>BA137</f>
        <v>0</v>
      </c>
      <c r="L29" s="352">
        <f t="shared" si="65"/>
        <v>0</v>
      </c>
      <c r="M29" s="370">
        <f t="shared" si="75"/>
        <v>0</v>
      </c>
      <c r="N29" s="292">
        <f>AN137+AO137</f>
        <v>24</v>
      </c>
      <c r="O29" s="353">
        <f t="shared" si="1"/>
        <v>0.10126582278481013</v>
      </c>
      <c r="P29" s="292">
        <f>SUM(AQ137:AR137)</f>
        <v>11</v>
      </c>
      <c r="Q29" s="353">
        <f t="shared" si="66"/>
        <v>4.6413502109704644E-2</v>
      </c>
      <c r="R29" s="292">
        <f>SUM(AT137:AU137)</f>
        <v>0</v>
      </c>
      <c r="S29" s="353">
        <f t="shared" si="2"/>
        <v>0</v>
      </c>
      <c r="T29" s="292">
        <f>SUM(AW137:AX137)</f>
        <v>0</v>
      </c>
      <c r="U29" s="353">
        <f t="shared" si="3"/>
        <v>0</v>
      </c>
      <c r="V29" s="367">
        <f>AZ137</f>
        <v>35</v>
      </c>
      <c r="W29" s="292">
        <f>BB137</f>
        <v>35</v>
      </c>
      <c r="X29" s="353">
        <f t="shared" si="4"/>
        <v>0.15126050420168066</v>
      </c>
      <c r="Y29" s="375" t="s">
        <v>274</v>
      </c>
      <c r="Z29" s="375" t="s">
        <v>268</v>
      </c>
      <c r="AA29" s="304" t="s">
        <v>269</v>
      </c>
      <c r="AB29" s="18"/>
      <c r="AC29" s="216" t="s">
        <v>271</v>
      </c>
      <c r="AD29" s="217"/>
      <c r="AE29" s="217"/>
      <c r="AF29" s="218"/>
      <c r="AG29" s="218"/>
      <c r="AH29" s="219"/>
      <c r="AI29" s="218"/>
      <c r="AJ29" s="218"/>
      <c r="AK29" s="218"/>
      <c r="AL29" s="218"/>
      <c r="AM29" s="220" t="e">
        <f>SUM(AJ29:AL29)/AH29</f>
        <v>#DIV/0!</v>
      </c>
      <c r="AN29" s="218"/>
      <c r="AO29" s="218"/>
      <c r="AP29" s="221" t="e">
        <f>SUM(AN29:AO29)/AI29</f>
        <v>#DIV/0!</v>
      </c>
      <c r="AQ29" s="218"/>
      <c r="AR29" s="218"/>
      <c r="AS29" s="221" t="e">
        <f>(AQ29+AR29)/$AG29</f>
        <v>#DIV/0!</v>
      </c>
      <c r="AT29" s="218"/>
      <c r="AU29" s="218"/>
      <c r="AV29" s="221" t="e">
        <f>(AT29+AU29)/$AG29</f>
        <v>#DIV/0!</v>
      </c>
      <c r="AW29" s="218"/>
      <c r="AX29" s="218"/>
      <c r="AY29" s="221" t="e">
        <f>(AW29+AX29)/$AG29</f>
        <v>#DIV/0!</v>
      </c>
      <c r="AZ29" s="222">
        <f>SUM(AN29,AQ29,AT29,AW29)</f>
        <v>0</v>
      </c>
      <c r="BA29" s="222">
        <f>SUM(AO29,AR29,AU29,AX29)</f>
        <v>0</v>
      </c>
      <c r="BB29" s="222">
        <f>SUM(AZ29:BA29)</f>
        <v>0</v>
      </c>
      <c r="BC29" s="221">
        <f>(BB29+1)/(AI29+1)</f>
        <v>1</v>
      </c>
      <c r="BD29" s="223"/>
      <c r="BE29" s="223"/>
    </row>
    <row r="30" spans="1:60" ht="15" customHeight="1" x14ac:dyDescent="0.2">
      <c r="A30" s="354">
        <v>28</v>
      </c>
      <c r="B30" s="358">
        <v>46097</v>
      </c>
      <c r="C30" s="358">
        <v>46098</v>
      </c>
      <c r="D30" s="362">
        <v>5</v>
      </c>
      <c r="E30" s="365">
        <f t="shared" ref="E30:J30" si="79">AG142</f>
        <v>261</v>
      </c>
      <c r="F30" s="365">
        <f t="shared" si="79"/>
        <v>260</v>
      </c>
      <c r="G30" s="365">
        <f t="shared" si="79"/>
        <v>260</v>
      </c>
      <c r="H30" s="365">
        <f t="shared" si="79"/>
        <v>1</v>
      </c>
      <c r="I30" s="365">
        <f t="shared" si="79"/>
        <v>0</v>
      </c>
      <c r="J30" s="365">
        <f t="shared" si="79"/>
        <v>0</v>
      </c>
      <c r="K30" s="386">
        <f>BA142</f>
        <v>0</v>
      </c>
      <c r="L30" s="352">
        <f t="shared" si="65"/>
        <v>1</v>
      </c>
      <c r="M30" s="370">
        <f t="shared" si="75"/>
        <v>3.8314176245210726E-3</v>
      </c>
      <c r="N30" s="292">
        <f>AN142+AO142</f>
        <v>52</v>
      </c>
      <c r="O30" s="353">
        <f t="shared" si="1"/>
        <v>0.2</v>
      </c>
      <c r="P30" s="292">
        <f>SUM(AQ142:AR142)</f>
        <v>3</v>
      </c>
      <c r="Q30" s="353">
        <f t="shared" si="66"/>
        <v>1.1538461538461539E-2</v>
      </c>
      <c r="R30" s="292">
        <f>SUM(AT142:AU142)</f>
        <v>0</v>
      </c>
      <c r="S30" s="353">
        <f t="shared" si="2"/>
        <v>0</v>
      </c>
      <c r="T30" s="292">
        <f>SUM(AW142:AX142)</f>
        <v>0</v>
      </c>
      <c r="U30" s="353">
        <f t="shared" si="3"/>
        <v>0</v>
      </c>
      <c r="V30" s="367">
        <f>AZ142</f>
        <v>55</v>
      </c>
      <c r="W30" s="292">
        <f>BB142</f>
        <v>55</v>
      </c>
      <c r="X30" s="353">
        <f t="shared" si="4"/>
        <v>0.21455938697318008</v>
      </c>
      <c r="Y30" s="375" t="s">
        <v>274</v>
      </c>
      <c r="Z30" s="375" t="s">
        <v>268</v>
      </c>
      <c r="AA30" s="304" t="s">
        <v>269</v>
      </c>
      <c r="AB30" s="18"/>
      <c r="AC30" s="224" t="s">
        <v>273</v>
      </c>
      <c r="AD30" s="225"/>
      <c r="AE30" s="225"/>
      <c r="AF30" s="226"/>
      <c r="AG30" s="226"/>
      <c r="AH30" s="227"/>
      <c r="AI30" s="226"/>
      <c r="AJ30" s="226"/>
      <c r="AK30" s="226"/>
      <c r="AL30" s="226"/>
      <c r="AM30" s="228" t="e">
        <f t="shared" ref="AM30:AM31" si="80">SUM(AJ30:AL30)/AH30</f>
        <v>#DIV/0!</v>
      </c>
      <c r="AN30" s="226"/>
      <c r="AO30" s="226"/>
      <c r="AP30" s="229" t="e">
        <f t="shared" ref="AP30:AP31" si="81">SUM(AN30:AO30)/AI30</f>
        <v>#DIV/0!</v>
      </c>
      <c r="AQ30" s="226"/>
      <c r="AR30" s="226"/>
      <c r="AS30" s="229" t="e">
        <f>(AQ30+AR30)/$AG30</f>
        <v>#DIV/0!</v>
      </c>
      <c r="AT30" s="226"/>
      <c r="AU30" s="226"/>
      <c r="AV30" s="229" t="e">
        <f>(AT30+AU30)/$AG30</f>
        <v>#DIV/0!</v>
      </c>
      <c r="AW30" s="226"/>
      <c r="AX30" s="226"/>
      <c r="AY30" s="229" t="e">
        <f>(AW30+AX30)/$AG30</f>
        <v>#DIV/0!</v>
      </c>
      <c r="AZ30" s="230">
        <f t="shared" ref="AZ30:BA31" si="82">SUM(AN30,AQ30,AT30,AW30)</f>
        <v>0</v>
      </c>
      <c r="BA30" s="230">
        <f t="shared" si="82"/>
        <v>0</v>
      </c>
      <c r="BB30" s="230">
        <f t="shared" ref="BB30:BB31" si="83">SUM(AZ30:BA30)</f>
        <v>0</v>
      </c>
      <c r="BC30" s="229">
        <f t="shared" ref="BC30:BC31" si="84">(BB30+1)/(AI30+1)</f>
        <v>1</v>
      </c>
      <c r="BD30" s="231"/>
      <c r="BE30" s="231"/>
    </row>
    <row r="31" spans="1:60" ht="15" customHeight="1" x14ac:dyDescent="0.2">
      <c r="A31" s="354">
        <v>29</v>
      </c>
      <c r="B31" s="358">
        <v>46097</v>
      </c>
      <c r="C31" s="358">
        <v>46098</v>
      </c>
      <c r="D31" s="362">
        <v>5</v>
      </c>
      <c r="E31" s="365">
        <f t="shared" ref="E31:J31" si="85">AG147</f>
        <v>251</v>
      </c>
      <c r="F31" s="365">
        <f t="shared" si="85"/>
        <v>250</v>
      </c>
      <c r="G31" s="365">
        <f t="shared" si="85"/>
        <v>248</v>
      </c>
      <c r="H31" s="365">
        <f t="shared" si="85"/>
        <v>0</v>
      </c>
      <c r="I31" s="365">
        <f t="shared" si="85"/>
        <v>0</v>
      </c>
      <c r="J31" s="365">
        <f t="shared" si="85"/>
        <v>0</v>
      </c>
      <c r="K31" s="386">
        <f>BA147</f>
        <v>0</v>
      </c>
      <c r="L31" s="352">
        <f t="shared" si="65"/>
        <v>0</v>
      </c>
      <c r="M31" s="370">
        <f t="shared" si="75"/>
        <v>0</v>
      </c>
      <c r="N31" s="292">
        <f>AN147+AO147</f>
        <v>27</v>
      </c>
      <c r="O31" s="353">
        <f t="shared" si="1"/>
        <v>0.10887096774193548</v>
      </c>
      <c r="P31" s="292">
        <f>SUM(AQ147:AR147)</f>
        <v>3</v>
      </c>
      <c r="Q31" s="353">
        <f t="shared" si="66"/>
        <v>1.2096774193548387E-2</v>
      </c>
      <c r="R31" s="292">
        <f>SUM(AT147:AU147)</f>
        <v>0</v>
      </c>
      <c r="S31" s="353">
        <f t="shared" si="2"/>
        <v>0</v>
      </c>
      <c r="T31" s="292">
        <f>SUM(AW147:AX147)</f>
        <v>0</v>
      </c>
      <c r="U31" s="353">
        <f t="shared" si="3"/>
        <v>0</v>
      </c>
      <c r="V31" s="367">
        <f>AZ147</f>
        <v>30</v>
      </c>
      <c r="W31" s="292">
        <f>BB147</f>
        <v>30</v>
      </c>
      <c r="X31" s="353">
        <f t="shared" si="4"/>
        <v>0.12449799196787148</v>
      </c>
      <c r="Y31" s="375" t="s">
        <v>274</v>
      </c>
      <c r="Z31" s="375" t="s">
        <v>268</v>
      </c>
      <c r="AA31" s="304" t="s">
        <v>269</v>
      </c>
      <c r="AC31" s="232" t="s">
        <v>275</v>
      </c>
      <c r="AD31" s="233">
        <v>46040</v>
      </c>
      <c r="AE31" s="233">
        <v>46041</v>
      </c>
      <c r="AF31" s="234">
        <v>4</v>
      </c>
      <c r="AG31" s="234">
        <v>253</v>
      </c>
      <c r="AH31" s="235">
        <v>252</v>
      </c>
      <c r="AI31" s="234">
        <v>251</v>
      </c>
      <c r="AJ31" s="234">
        <v>1</v>
      </c>
      <c r="AK31" s="234">
        <v>0</v>
      </c>
      <c r="AL31" s="234"/>
      <c r="AM31" s="236">
        <f t="shared" si="80"/>
        <v>3.968253968253968E-3</v>
      </c>
      <c r="AN31" s="234">
        <v>10</v>
      </c>
      <c r="AO31" s="234">
        <v>0</v>
      </c>
      <c r="AP31" s="237">
        <f t="shared" si="81"/>
        <v>3.9840637450199202E-2</v>
      </c>
      <c r="AQ31" s="234">
        <v>2</v>
      </c>
      <c r="AR31" s="234">
        <v>0</v>
      </c>
      <c r="AS31" s="237">
        <f>(AQ31+AR31)/$AG31</f>
        <v>7.9051383399209481E-3</v>
      </c>
      <c r="AT31" s="234">
        <v>1</v>
      </c>
      <c r="AU31" s="234">
        <v>0</v>
      </c>
      <c r="AV31" s="237">
        <f>(AT31+AU31)/$AG31</f>
        <v>3.952569169960474E-3</v>
      </c>
      <c r="AW31" s="234">
        <v>0</v>
      </c>
      <c r="AX31" s="234">
        <v>0</v>
      </c>
      <c r="AY31" s="237">
        <f>(AW31+AX31)/$AG31</f>
        <v>0</v>
      </c>
      <c r="AZ31" s="238">
        <f t="shared" si="82"/>
        <v>13</v>
      </c>
      <c r="BA31" s="238">
        <f t="shared" si="82"/>
        <v>0</v>
      </c>
      <c r="BB31" s="238">
        <f t="shared" si="83"/>
        <v>13</v>
      </c>
      <c r="BC31" s="237">
        <f t="shared" si="84"/>
        <v>5.5555555555555552E-2</v>
      </c>
      <c r="BD31" s="239" t="s">
        <v>274</v>
      </c>
      <c r="BE31" s="239" t="s">
        <v>268</v>
      </c>
    </row>
    <row r="32" spans="1:60" ht="15" customHeight="1" x14ac:dyDescent="0.2">
      <c r="A32" s="354">
        <v>30</v>
      </c>
      <c r="B32" s="358">
        <v>46100</v>
      </c>
      <c r="C32" s="358">
        <v>46101</v>
      </c>
      <c r="D32" s="362">
        <v>1</v>
      </c>
      <c r="E32" s="365">
        <f t="shared" ref="E32:J32" si="86">AG152</f>
        <v>250</v>
      </c>
      <c r="F32" s="365">
        <f t="shared" si="86"/>
        <v>250</v>
      </c>
      <c r="G32" s="365">
        <f t="shared" si="86"/>
        <v>249</v>
      </c>
      <c r="H32" s="365">
        <f t="shared" si="86"/>
        <v>0</v>
      </c>
      <c r="I32" s="365">
        <f t="shared" si="86"/>
        <v>0</v>
      </c>
      <c r="J32" s="365">
        <f t="shared" si="86"/>
        <v>1</v>
      </c>
      <c r="K32" s="386">
        <f>BA152</f>
        <v>0</v>
      </c>
      <c r="L32" s="352">
        <f t="shared" si="65"/>
        <v>1</v>
      </c>
      <c r="M32" s="370">
        <f t="shared" si="75"/>
        <v>4.0000000000000001E-3</v>
      </c>
      <c r="N32" s="292">
        <f>AN152+AO152</f>
        <v>28</v>
      </c>
      <c r="O32" s="353">
        <f t="shared" si="1"/>
        <v>0.11244979919678715</v>
      </c>
      <c r="P32" s="292">
        <f>SUM(AQ152:AR152)</f>
        <v>1</v>
      </c>
      <c r="Q32" s="353">
        <f t="shared" si="66"/>
        <v>4.0160642570281121E-3</v>
      </c>
      <c r="R32" s="292">
        <f>SUM(AT152:AU152)</f>
        <v>0</v>
      </c>
      <c r="S32" s="353">
        <f t="shared" si="2"/>
        <v>0</v>
      </c>
      <c r="T32" s="292">
        <f>SUM(AW152:AX152)</f>
        <v>1</v>
      </c>
      <c r="U32" s="353">
        <f t="shared" si="3"/>
        <v>4.0160642570281121E-3</v>
      </c>
      <c r="V32" s="367">
        <f>AZ152</f>
        <v>30</v>
      </c>
      <c r="W32" s="292">
        <f>BB152</f>
        <v>30</v>
      </c>
      <c r="X32" s="353">
        <f t="shared" si="4"/>
        <v>0.124</v>
      </c>
      <c r="Y32" s="375" t="s">
        <v>274</v>
      </c>
      <c r="Z32" s="375" t="s">
        <v>268</v>
      </c>
      <c r="AA32" s="304" t="s">
        <v>269</v>
      </c>
      <c r="AC32" s="7"/>
      <c r="AG32" s="240">
        <f>SUM(AG29:AG31)</f>
        <v>253</v>
      </c>
      <c r="AH32" s="240">
        <f>SUM(AH29:AH31)</f>
        <v>252</v>
      </c>
      <c r="AI32" s="240">
        <f t="shared" ref="AI32:AL32" si="87">SUM(AI29:AI31)</f>
        <v>251</v>
      </c>
      <c r="AJ32" s="240">
        <f t="shared" si="87"/>
        <v>1</v>
      </c>
      <c r="AK32" s="240">
        <f t="shared" si="87"/>
        <v>0</v>
      </c>
      <c r="AL32" s="240">
        <f t="shared" si="87"/>
        <v>0</v>
      </c>
      <c r="AM32" s="135"/>
      <c r="AN32" s="240">
        <f>SUM(AN29:AN31)</f>
        <v>10</v>
      </c>
      <c r="AO32" s="240">
        <f>SUM(AO29:AO31)</f>
        <v>0</v>
      </c>
      <c r="AP32" s="241"/>
      <c r="AQ32" s="240">
        <f>SUM(AQ29:AQ31)</f>
        <v>2</v>
      </c>
      <c r="AR32" s="240">
        <f>SUM(AR29:AR31)</f>
        <v>0</v>
      </c>
      <c r="AS32" s="241"/>
      <c r="AT32" s="240">
        <f>SUM(AT29:AT31)</f>
        <v>1</v>
      </c>
      <c r="AU32" s="240">
        <f>SUM(AU29:AU31)</f>
        <v>0</v>
      </c>
      <c r="AV32" s="241"/>
      <c r="AW32" s="240">
        <f>SUM(AW29:AW31)</f>
        <v>0</v>
      </c>
      <c r="AX32" s="240">
        <f>SUM(AX29:AX31)</f>
        <v>0</v>
      </c>
      <c r="AY32" s="241"/>
      <c r="AZ32" s="240">
        <f>SUM(AZ29:AZ31)</f>
        <v>13</v>
      </c>
      <c r="BA32" s="240">
        <f>SUM(BA29:BA31)</f>
        <v>0</v>
      </c>
      <c r="BB32" s="240">
        <f>SUM(AZ32:BA32)</f>
        <v>13</v>
      </c>
      <c r="BC32" s="242">
        <f>(BB32+1)/(AI32+1)</f>
        <v>5.5555555555555552E-2</v>
      </c>
      <c r="BD32" s="98"/>
      <c r="BE32" s="98"/>
    </row>
    <row r="33" spans="1:59" ht="15" customHeight="1" x14ac:dyDescent="0.2">
      <c r="A33" s="354">
        <v>31</v>
      </c>
      <c r="B33" s="358">
        <v>46100</v>
      </c>
      <c r="C33" s="358">
        <v>46101</v>
      </c>
      <c r="D33" s="362">
        <v>1</v>
      </c>
      <c r="E33" s="365">
        <f t="shared" ref="E33:J33" si="88">AG157</f>
        <v>247</v>
      </c>
      <c r="F33" s="365">
        <f t="shared" si="88"/>
        <v>240</v>
      </c>
      <c r="G33" s="365">
        <f t="shared" si="88"/>
        <v>239</v>
      </c>
      <c r="H33" s="365">
        <f t="shared" si="88"/>
        <v>0</v>
      </c>
      <c r="I33" s="365">
        <f t="shared" si="88"/>
        <v>5</v>
      </c>
      <c r="J33" s="365">
        <f t="shared" si="88"/>
        <v>1</v>
      </c>
      <c r="K33" s="386">
        <f>BA157</f>
        <v>0</v>
      </c>
      <c r="L33" s="352">
        <f t="shared" si="65"/>
        <v>6</v>
      </c>
      <c r="M33" s="370">
        <f t="shared" si="75"/>
        <v>2.4291497975708502E-2</v>
      </c>
      <c r="N33" s="292">
        <f>AN157+AO157</f>
        <v>26</v>
      </c>
      <c r="O33" s="353">
        <f t="shared" si="1"/>
        <v>0.10878661087866109</v>
      </c>
      <c r="P33" s="292">
        <f>SUM(AQ157:AR157)</f>
        <v>1</v>
      </c>
      <c r="Q33" s="353">
        <f t="shared" si="66"/>
        <v>4.1841004184100415E-3</v>
      </c>
      <c r="R33" s="292">
        <f>SUM(AT157:AU157)</f>
        <v>0</v>
      </c>
      <c r="S33" s="353">
        <f t="shared" si="2"/>
        <v>0</v>
      </c>
      <c r="T33" s="292">
        <f>SUM(AW157:AX157)</f>
        <v>0</v>
      </c>
      <c r="U33" s="353">
        <f t="shared" si="3"/>
        <v>0</v>
      </c>
      <c r="V33" s="367">
        <f>AZ157</f>
        <v>27</v>
      </c>
      <c r="W33" s="292">
        <f>BB157</f>
        <v>27</v>
      </c>
      <c r="X33" s="353">
        <f t="shared" si="4"/>
        <v>0.11666666666666667</v>
      </c>
      <c r="Y33" s="375" t="s">
        <v>274</v>
      </c>
      <c r="Z33" s="375" t="s">
        <v>268</v>
      </c>
      <c r="AA33" s="304" t="s">
        <v>269</v>
      </c>
      <c r="AC33" s="212" t="s">
        <v>281</v>
      </c>
      <c r="AD33" s="15"/>
      <c r="AE33" s="23"/>
      <c r="AF33" s="16"/>
      <c r="AG33" s="15"/>
      <c r="AH33" s="15"/>
      <c r="AI33" s="15"/>
      <c r="AJ33" s="15"/>
      <c r="AK33" s="15"/>
      <c r="AL33" s="22"/>
      <c r="AM33" s="213"/>
      <c r="AN33" s="23"/>
      <c r="AO33" s="23"/>
      <c r="AP33" s="7"/>
      <c r="AQ33" s="15"/>
      <c r="AR33" s="15"/>
      <c r="AS33" s="7"/>
      <c r="AT33" s="15"/>
      <c r="AU33" s="15"/>
      <c r="AV33" s="7"/>
      <c r="AW33" s="15"/>
      <c r="AX33" s="15"/>
      <c r="AY33" s="214"/>
      <c r="AZ33" s="215"/>
      <c r="BA33" s="10"/>
      <c r="BB33" s="7"/>
      <c r="BC33" s="7"/>
      <c r="BD33" s="7"/>
      <c r="BE33" s="7"/>
    </row>
    <row r="34" spans="1:59" ht="15" customHeight="1" x14ac:dyDescent="0.2">
      <c r="A34" s="354">
        <v>32</v>
      </c>
      <c r="B34" s="358">
        <v>46107</v>
      </c>
      <c r="C34" s="358">
        <v>46108</v>
      </c>
      <c r="D34" s="362">
        <v>1</v>
      </c>
      <c r="E34" s="365">
        <f t="shared" ref="E34:J34" si="89">AG162</f>
        <v>256</v>
      </c>
      <c r="F34" s="365">
        <f t="shared" si="89"/>
        <v>256</v>
      </c>
      <c r="G34" s="365">
        <f t="shared" si="89"/>
        <v>252</v>
      </c>
      <c r="H34" s="365">
        <f t="shared" si="89"/>
        <v>0</v>
      </c>
      <c r="I34" s="365">
        <f t="shared" si="89"/>
        <v>0</v>
      </c>
      <c r="J34" s="365">
        <f t="shared" si="89"/>
        <v>0</v>
      </c>
      <c r="K34" s="386">
        <f>BA162</f>
        <v>0</v>
      </c>
      <c r="L34" s="352">
        <f t="shared" si="65"/>
        <v>0</v>
      </c>
      <c r="M34" s="370">
        <f t="shared" si="75"/>
        <v>0</v>
      </c>
      <c r="N34" s="292">
        <f>AN162+AO162</f>
        <v>21</v>
      </c>
      <c r="O34" s="353">
        <f t="shared" si="1"/>
        <v>8.3333333333333329E-2</v>
      </c>
      <c r="P34" s="292">
        <f>SUM(AQ162:AR162)</f>
        <v>2</v>
      </c>
      <c r="Q34" s="353">
        <f t="shared" si="66"/>
        <v>7.9365079365079361E-3</v>
      </c>
      <c r="R34" s="292">
        <f>SUM(AT162:AU162)</f>
        <v>5</v>
      </c>
      <c r="S34" s="353">
        <f t="shared" si="2"/>
        <v>1.984126984126984E-2</v>
      </c>
      <c r="T34" s="292">
        <f>SUM(AW162:AX162)</f>
        <v>0</v>
      </c>
      <c r="U34" s="353">
        <f t="shared" si="3"/>
        <v>0</v>
      </c>
      <c r="V34" s="367">
        <f>AZ162</f>
        <v>28</v>
      </c>
      <c r="W34" s="292">
        <f>BB162</f>
        <v>28</v>
      </c>
      <c r="X34" s="353">
        <f t="shared" si="4"/>
        <v>0.11462450592885376</v>
      </c>
      <c r="Y34" s="375" t="s">
        <v>274</v>
      </c>
      <c r="Z34" s="375" t="s">
        <v>268</v>
      </c>
      <c r="AA34" s="304" t="s">
        <v>269</v>
      </c>
      <c r="AC34" s="216" t="s">
        <v>271</v>
      </c>
      <c r="AD34" s="217"/>
      <c r="AE34" s="217"/>
      <c r="AF34" s="218"/>
      <c r="AG34" s="218"/>
      <c r="AH34" s="219"/>
      <c r="AI34" s="218"/>
      <c r="AJ34" s="218"/>
      <c r="AK34" s="218"/>
      <c r="AL34" s="218"/>
      <c r="AM34" s="220" t="e">
        <f>SUM(AJ34:AL34)/AH34</f>
        <v>#DIV/0!</v>
      </c>
      <c r="AN34" s="218"/>
      <c r="AO34" s="218"/>
      <c r="AP34" s="221" t="e">
        <f>SUM(AN34:AO34)/AI34</f>
        <v>#DIV/0!</v>
      </c>
      <c r="AQ34" s="218"/>
      <c r="AR34" s="218"/>
      <c r="AS34" s="221" t="e">
        <f>(AQ34+AR34)/$AG34</f>
        <v>#DIV/0!</v>
      </c>
      <c r="AT34" s="218"/>
      <c r="AU34" s="218"/>
      <c r="AV34" s="221" t="e">
        <f>(AT34+AU34)/$AG34</f>
        <v>#DIV/0!</v>
      </c>
      <c r="AW34" s="218"/>
      <c r="AX34" s="218"/>
      <c r="AY34" s="221" t="e">
        <f>(AW34+AX34)/$AG34</f>
        <v>#DIV/0!</v>
      </c>
      <c r="AZ34" s="222">
        <f>SUM(AN34,AQ34,AT34,AW34)</f>
        <v>0</v>
      </c>
      <c r="BA34" s="222">
        <f>SUM(AO34,AR34,AU34,AX34)</f>
        <v>0</v>
      </c>
      <c r="BB34" s="222">
        <f>SUM(AZ34:BA34)</f>
        <v>0</v>
      </c>
      <c r="BC34" s="221">
        <f>(BB34+1)/(AI34+1)</f>
        <v>1</v>
      </c>
      <c r="BD34" s="223"/>
      <c r="BE34" s="223"/>
    </row>
    <row r="35" spans="1:59" ht="15" customHeight="1" x14ac:dyDescent="0.2">
      <c r="A35" s="354">
        <v>33</v>
      </c>
      <c r="B35" s="358">
        <v>46107</v>
      </c>
      <c r="C35" s="358">
        <v>46108</v>
      </c>
      <c r="D35" s="362">
        <v>1</v>
      </c>
      <c r="E35" s="365">
        <f t="shared" ref="E35:J35" si="90">AG167</f>
        <v>250</v>
      </c>
      <c r="F35" s="365">
        <f t="shared" si="90"/>
        <v>250</v>
      </c>
      <c r="G35" s="365">
        <f t="shared" si="90"/>
        <v>250</v>
      </c>
      <c r="H35" s="365">
        <f t="shared" si="90"/>
        <v>0</v>
      </c>
      <c r="I35" s="365">
        <f t="shared" si="90"/>
        <v>0</v>
      </c>
      <c r="J35" s="365">
        <f t="shared" si="90"/>
        <v>0</v>
      </c>
      <c r="K35" s="386">
        <f>BA167</f>
        <v>0</v>
      </c>
      <c r="L35" s="352">
        <f t="shared" si="65"/>
        <v>0</v>
      </c>
      <c r="M35" s="370">
        <f t="shared" si="75"/>
        <v>0</v>
      </c>
      <c r="N35" s="292">
        <f>AN167+AO167</f>
        <v>19</v>
      </c>
      <c r="O35" s="353">
        <f t="shared" si="1"/>
        <v>7.5999999999999998E-2</v>
      </c>
      <c r="P35" s="292">
        <f>SUM(AQ167:AR167)</f>
        <v>4</v>
      </c>
      <c r="Q35" s="353">
        <f t="shared" si="66"/>
        <v>1.6E-2</v>
      </c>
      <c r="R35" s="292">
        <f>SUM(AT167:AU167)</f>
        <v>2</v>
      </c>
      <c r="S35" s="353">
        <f t="shared" si="2"/>
        <v>8.0000000000000002E-3</v>
      </c>
      <c r="T35" s="292">
        <f>SUM(AW167:AX167)</f>
        <v>0</v>
      </c>
      <c r="U35" s="353">
        <f t="shared" si="3"/>
        <v>0</v>
      </c>
      <c r="V35" s="367">
        <f>AZ167</f>
        <v>25</v>
      </c>
      <c r="W35" s="292">
        <f>BB167</f>
        <v>25</v>
      </c>
      <c r="X35" s="353">
        <f t="shared" si="4"/>
        <v>0.10358565737051793</v>
      </c>
      <c r="Y35" s="375" t="s">
        <v>274</v>
      </c>
      <c r="Z35" s="375" t="s">
        <v>268</v>
      </c>
      <c r="AA35" s="304" t="s">
        <v>269</v>
      </c>
      <c r="AC35" s="224" t="s">
        <v>273</v>
      </c>
      <c r="AD35" s="225">
        <v>46040</v>
      </c>
      <c r="AE35" s="225">
        <v>46041</v>
      </c>
      <c r="AF35" s="226">
        <v>4</v>
      </c>
      <c r="AG35" s="226">
        <v>257</v>
      </c>
      <c r="AH35" s="227">
        <v>257</v>
      </c>
      <c r="AI35" s="226">
        <v>257</v>
      </c>
      <c r="AJ35" s="226">
        <v>0</v>
      </c>
      <c r="AK35" s="226">
        <v>0</v>
      </c>
      <c r="AL35" s="226"/>
      <c r="AM35" s="228">
        <f t="shared" ref="AM35:AM36" si="91">SUM(AJ35:AL35)/AH35</f>
        <v>0</v>
      </c>
      <c r="AN35" s="226">
        <v>13</v>
      </c>
      <c r="AO35" s="226">
        <v>0</v>
      </c>
      <c r="AP35" s="229">
        <f t="shared" ref="AP35:AP36" si="92">SUM(AN35:AO35)/AI35</f>
        <v>5.0583657587548639E-2</v>
      </c>
      <c r="AQ35" s="226">
        <v>3</v>
      </c>
      <c r="AR35" s="226">
        <v>0</v>
      </c>
      <c r="AS35" s="229">
        <f>(AQ35+AR35)/$AG35</f>
        <v>1.1673151750972763E-2</v>
      </c>
      <c r="AT35" s="226">
        <v>2</v>
      </c>
      <c r="AU35" s="226">
        <v>0</v>
      </c>
      <c r="AV35" s="229">
        <f>(AT35+AU35)/$AG35</f>
        <v>7.7821011673151752E-3</v>
      </c>
      <c r="AW35" s="226">
        <v>0</v>
      </c>
      <c r="AX35" s="226">
        <v>0</v>
      </c>
      <c r="AY35" s="229">
        <f>(AW35+AX35)/$AG35</f>
        <v>0</v>
      </c>
      <c r="AZ35" s="230">
        <f t="shared" ref="AZ35:BA36" si="93">SUM(AN35,AQ35,AT35,AW35)</f>
        <v>18</v>
      </c>
      <c r="BA35" s="230">
        <f t="shared" si="93"/>
        <v>0</v>
      </c>
      <c r="BB35" s="230">
        <f t="shared" ref="BB35:BB36" si="94">SUM(AZ35:BA35)</f>
        <v>18</v>
      </c>
      <c r="BC35" s="229">
        <f t="shared" ref="BC35:BC36" si="95">(BB35+1)/(AI35+1)</f>
        <v>7.3643410852713184E-2</v>
      </c>
      <c r="BD35" s="231" t="s">
        <v>274</v>
      </c>
      <c r="BE35" s="231" t="s">
        <v>268</v>
      </c>
    </row>
    <row r="36" spans="1:59" ht="15" customHeight="1" x14ac:dyDescent="0.2">
      <c r="A36" s="354">
        <v>34</v>
      </c>
      <c r="B36" s="358">
        <v>46111</v>
      </c>
      <c r="C36" s="358">
        <v>46112</v>
      </c>
      <c r="D36" s="362">
        <v>1</v>
      </c>
      <c r="E36" s="365">
        <f t="shared" ref="E36:J36" si="96">AG172</f>
        <v>244</v>
      </c>
      <c r="F36" s="365">
        <f t="shared" si="96"/>
        <v>244</v>
      </c>
      <c r="G36" s="365">
        <f t="shared" si="96"/>
        <v>245</v>
      </c>
      <c r="H36" s="365">
        <f t="shared" si="96"/>
        <v>0</v>
      </c>
      <c r="I36" s="365">
        <f t="shared" si="96"/>
        <v>0</v>
      </c>
      <c r="J36" s="365">
        <f t="shared" si="96"/>
        <v>1</v>
      </c>
      <c r="K36" s="386">
        <f>BA172</f>
        <v>0</v>
      </c>
      <c r="L36" s="352">
        <f t="shared" si="65"/>
        <v>1</v>
      </c>
      <c r="M36" s="370">
        <f t="shared" si="75"/>
        <v>4.0983606557377051E-3</v>
      </c>
      <c r="N36" s="292">
        <f>AN172+AO172</f>
        <v>25</v>
      </c>
      <c r="O36" s="353">
        <f t="shared" si="1"/>
        <v>0.10204081632653061</v>
      </c>
      <c r="P36" s="292">
        <f>SUM(AQ172:AR172)</f>
        <v>6</v>
      </c>
      <c r="Q36" s="353">
        <f t="shared" si="66"/>
        <v>2.4489795918367346E-2</v>
      </c>
      <c r="R36" s="292">
        <f>SUM(AT172:AU172)</f>
        <v>2</v>
      </c>
      <c r="S36" s="353">
        <f t="shared" si="2"/>
        <v>8.1632653061224497E-3</v>
      </c>
      <c r="T36" s="292">
        <f>SUM(AW172:AX172)</f>
        <v>0</v>
      </c>
      <c r="U36" s="353">
        <f t="shared" si="3"/>
        <v>0</v>
      </c>
      <c r="V36" s="367">
        <f>AZ172</f>
        <v>33</v>
      </c>
      <c r="W36" s="292">
        <f>BB172</f>
        <v>33</v>
      </c>
      <c r="X36" s="353">
        <f t="shared" si="4"/>
        <v>0.13821138211382114</v>
      </c>
      <c r="Y36" s="375" t="s">
        <v>274</v>
      </c>
      <c r="Z36" s="375" t="s">
        <v>268</v>
      </c>
      <c r="AA36" s="304" t="s">
        <v>269</v>
      </c>
      <c r="AB36" s="18"/>
      <c r="AC36" s="232" t="s">
        <v>275</v>
      </c>
      <c r="AD36" s="233"/>
      <c r="AE36" s="233"/>
      <c r="AF36" s="234"/>
      <c r="AG36" s="234"/>
      <c r="AH36" s="235"/>
      <c r="AI36" s="234"/>
      <c r="AJ36" s="234"/>
      <c r="AK36" s="234"/>
      <c r="AL36" s="234"/>
      <c r="AM36" s="236" t="e">
        <f t="shared" si="91"/>
        <v>#DIV/0!</v>
      </c>
      <c r="AN36" s="234"/>
      <c r="AO36" s="234"/>
      <c r="AP36" s="237" t="e">
        <f t="shared" si="92"/>
        <v>#DIV/0!</v>
      </c>
      <c r="AQ36" s="234"/>
      <c r="AR36" s="234"/>
      <c r="AS36" s="237" t="e">
        <f>(AQ36+AR36)/$AG36</f>
        <v>#DIV/0!</v>
      </c>
      <c r="AT36" s="234"/>
      <c r="AU36" s="234"/>
      <c r="AV36" s="237" t="e">
        <f>(AT36+AU36)/$AG36</f>
        <v>#DIV/0!</v>
      </c>
      <c r="AW36" s="234"/>
      <c r="AX36" s="234"/>
      <c r="AY36" s="237" t="e">
        <f>(AW36+AX36)/$AG36</f>
        <v>#DIV/0!</v>
      </c>
      <c r="AZ36" s="238">
        <f t="shared" si="93"/>
        <v>0</v>
      </c>
      <c r="BA36" s="238">
        <f t="shared" si="93"/>
        <v>0</v>
      </c>
      <c r="BB36" s="238">
        <f t="shared" si="94"/>
        <v>0</v>
      </c>
      <c r="BC36" s="237">
        <f t="shared" si="95"/>
        <v>1</v>
      </c>
      <c r="BD36" s="239"/>
      <c r="BE36" s="239"/>
    </row>
    <row r="37" spans="1:59" ht="15" customHeight="1" x14ac:dyDescent="0.2">
      <c r="A37" s="354">
        <v>35</v>
      </c>
      <c r="B37" s="358">
        <v>46111</v>
      </c>
      <c r="C37" s="358">
        <v>46112</v>
      </c>
      <c r="D37" s="362">
        <v>1</v>
      </c>
      <c r="E37" s="365">
        <f t="shared" ref="E37:J37" si="97">AG177</f>
        <v>257</v>
      </c>
      <c r="F37" s="365">
        <f t="shared" si="97"/>
        <v>257</v>
      </c>
      <c r="G37" s="365">
        <f t="shared" si="97"/>
        <v>257</v>
      </c>
      <c r="H37" s="365">
        <f t="shared" si="97"/>
        <v>0</v>
      </c>
      <c r="I37" s="365">
        <f t="shared" si="97"/>
        <v>0</v>
      </c>
      <c r="J37" s="365">
        <f t="shared" si="97"/>
        <v>0</v>
      </c>
      <c r="K37" s="386">
        <f>BA177</f>
        <v>0</v>
      </c>
      <c r="L37" s="352">
        <f t="shared" si="65"/>
        <v>0</v>
      </c>
      <c r="M37" s="370">
        <f t="shared" si="75"/>
        <v>0</v>
      </c>
      <c r="N37" s="292">
        <f>AN177+AO177</f>
        <v>21</v>
      </c>
      <c r="O37" s="353">
        <f t="shared" si="1"/>
        <v>8.171206225680934E-2</v>
      </c>
      <c r="P37" s="292">
        <f>SUM(AQ177:AR177)</f>
        <v>5</v>
      </c>
      <c r="Q37" s="353">
        <f t="shared" si="66"/>
        <v>1.9455252918287938E-2</v>
      </c>
      <c r="R37" s="292">
        <f>SUM(AT177:AU177)</f>
        <v>3</v>
      </c>
      <c r="S37" s="353">
        <f t="shared" si="2"/>
        <v>1.1673151750972763E-2</v>
      </c>
      <c r="T37" s="292">
        <f>SUM(AW177:AX177)</f>
        <v>0</v>
      </c>
      <c r="U37" s="353">
        <f t="shared" si="3"/>
        <v>0</v>
      </c>
      <c r="V37" s="367">
        <f>AZ177</f>
        <v>29</v>
      </c>
      <c r="W37" s="292">
        <f>BB177</f>
        <v>29</v>
      </c>
      <c r="X37" s="353">
        <f t="shared" si="4"/>
        <v>0.11627906976744186</v>
      </c>
      <c r="Y37" s="375" t="s">
        <v>274</v>
      </c>
      <c r="Z37" s="375" t="s">
        <v>268</v>
      </c>
      <c r="AA37" s="304" t="s">
        <v>269</v>
      </c>
      <c r="AC37" s="7"/>
      <c r="AG37" s="240">
        <f>SUM(AG34:AG36)</f>
        <v>257</v>
      </c>
      <c r="AH37" s="240">
        <f>SUM(AH34:AH36)</f>
        <v>257</v>
      </c>
      <c r="AI37" s="240">
        <f t="shared" ref="AI37:AL37" si="98">SUM(AI34:AI36)</f>
        <v>257</v>
      </c>
      <c r="AJ37" s="240">
        <f t="shared" si="98"/>
        <v>0</v>
      </c>
      <c r="AK37" s="240">
        <f t="shared" si="98"/>
        <v>0</v>
      </c>
      <c r="AL37" s="240">
        <f t="shared" si="98"/>
        <v>0</v>
      </c>
      <c r="AM37" s="135"/>
      <c r="AN37" s="240">
        <f>SUM(AN34:AN36)</f>
        <v>13</v>
      </c>
      <c r="AO37" s="240">
        <f>SUM(AO34:AO36)</f>
        <v>0</v>
      </c>
      <c r="AP37" s="241"/>
      <c r="AQ37" s="240">
        <f>SUM(AQ34:AQ36)</f>
        <v>3</v>
      </c>
      <c r="AR37" s="240">
        <f>SUM(AR34:AR36)</f>
        <v>0</v>
      </c>
      <c r="AS37" s="241"/>
      <c r="AT37" s="240">
        <f>SUM(AT34:AT36)</f>
        <v>2</v>
      </c>
      <c r="AU37" s="240">
        <f>SUM(AU34:AU36)</f>
        <v>0</v>
      </c>
      <c r="AV37" s="241"/>
      <c r="AW37" s="240">
        <f>SUM(AW34:AW36)</f>
        <v>0</v>
      </c>
      <c r="AX37" s="240">
        <f>SUM(AX34:AX36)</f>
        <v>0</v>
      </c>
      <c r="AY37" s="241"/>
      <c r="AZ37" s="240">
        <f>SUM(AZ34:AZ36)</f>
        <v>18</v>
      </c>
      <c r="BA37" s="240">
        <f>SUM(BA34:BA36)</f>
        <v>0</v>
      </c>
      <c r="BB37" s="240">
        <f>SUM(AZ37:BA37)</f>
        <v>18</v>
      </c>
      <c r="BC37" s="242">
        <f>(BB37+1)/(AI37+1)</f>
        <v>7.3643410852713184E-2</v>
      </c>
      <c r="BD37" s="98"/>
      <c r="BE37" s="98"/>
    </row>
    <row r="38" spans="1:59" ht="15" customHeight="1" x14ac:dyDescent="0.2">
      <c r="A38" s="354">
        <v>36</v>
      </c>
      <c r="B38" s="358">
        <v>46114</v>
      </c>
      <c r="C38" s="358">
        <v>46115</v>
      </c>
      <c r="D38" s="362">
        <v>1</v>
      </c>
      <c r="E38" s="365">
        <f t="shared" ref="E38:J38" si="99">AG182</f>
        <v>250</v>
      </c>
      <c r="F38" s="365">
        <f t="shared" si="99"/>
        <v>249</v>
      </c>
      <c r="G38" s="365">
        <f t="shared" si="99"/>
        <v>249</v>
      </c>
      <c r="H38" s="365">
        <f t="shared" si="99"/>
        <v>1</v>
      </c>
      <c r="I38" s="365">
        <f t="shared" si="99"/>
        <v>0</v>
      </c>
      <c r="J38" s="365">
        <f t="shared" si="99"/>
        <v>0</v>
      </c>
      <c r="K38" s="386">
        <f>BA182</f>
        <v>0</v>
      </c>
      <c r="L38" s="352">
        <f t="shared" si="65"/>
        <v>1</v>
      </c>
      <c r="M38" s="370">
        <f t="shared" si="75"/>
        <v>4.0000000000000001E-3</v>
      </c>
      <c r="N38" s="292">
        <f>AN182+AO182</f>
        <v>22</v>
      </c>
      <c r="O38" s="353">
        <f t="shared" si="1"/>
        <v>8.8353413654618476E-2</v>
      </c>
      <c r="P38" s="292">
        <f>SUM(AQ182:AR182)</f>
        <v>3</v>
      </c>
      <c r="Q38" s="353">
        <f t="shared" si="66"/>
        <v>1.2048192771084338E-2</v>
      </c>
      <c r="R38" s="292">
        <f>SUM(AT182:AU182)</f>
        <v>0</v>
      </c>
      <c r="S38" s="353">
        <f t="shared" si="2"/>
        <v>0</v>
      </c>
      <c r="T38" s="292">
        <f>SUM(AW182:AX182)</f>
        <v>1</v>
      </c>
      <c r="U38" s="353">
        <f t="shared" si="3"/>
        <v>4.0160642570281121E-3</v>
      </c>
      <c r="V38" s="367">
        <f>AZ182</f>
        <v>26</v>
      </c>
      <c r="W38" s="292">
        <f>BB182</f>
        <v>26</v>
      </c>
      <c r="X38" s="353">
        <f t="shared" si="4"/>
        <v>0.108</v>
      </c>
      <c r="Y38" s="375" t="s">
        <v>274</v>
      </c>
      <c r="Z38" s="375" t="s">
        <v>268</v>
      </c>
      <c r="AA38" s="304" t="s">
        <v>269</v>
      </c>
      <c r="AC38" s="212" t="s">
        <v>282</v>
      </c>
      <c r="AD38" s="15"/>
      <c r="AE38" s="23"/>
      <c r="AF38" s="16"/>
      <c r="AG38" s="15"/>
      <c r="AH38" s="15"/>
      <c r="AI38" s="15"/>
      <c r="AJ38" s="15"/>
      <c r="AK38" s="15"/>
      <c r="AL38" s="22"/>
      <c r="AM38" s="213"/>
      <c r="AN38" s="23"/>
      <c r="AO38" s="23"/>
      <c r="AP38" s="7"/>
      <c r="AQ38" s="15"/>
      <c r="AR38" s="15"/>
      <c r="AS38" s="7"/>
      <c r="AT38" s="15"/>
      <c r="AU38" s="15"/>
      <c r="AV38" s="7"/>
      <c r="AW38" s="15"/>
      <c r="AX38" s="15"/>
      <c r="AY38" s="214"/>
      <c r="AZ38" s="215"/>
      <c r="BA38" s="10"/>
      <c r="BB38" s="7"/>
      <c r="BC38" s="7"/>
      <c r="BD38" s="7"/>
      <c r="BE38" s="7"/>
    </row>
    <row r="39" spans="1:59" ht="15" customHeight="1" x14ac:dyDescent="0.2">
      <c r="A39" s="354">
        <v>37</v>
      </c>
      <c r="B39" s="358">
        <v>46114</v>
      </c>
      <c r="C39" s="358">
        <v>46115</v>
      </c>
      <c r="D39" s="362">
        <v>1</v>
      </c>
      <c r="E39" s="365">
        <f t="shared" ref="E39:J39" si="100">AG187</f>
        <v>252</v>
      </c>
      <c r="F39" s="365">
        <f t="shared" si="100"/>
        <v>252</v>
      </c>
      <c r="G39" s="365">
        <f t="shared" si="100"/>
        <v>251</v>
      </c>
      <c r="H39" s="365">
        <f t="shared" si="100"/>
        <v>0</v>
      </c>
      <c r="I39" s="365">
        <f t="shared" si="100"/>
        <v>0</v>
      </c>
      <c r="J39" s="365">
        <f t="shared" si="100"/>
        <v>1</v>
      </c>
      <c r="K39" s="386">
        <f>BA187</f>
        <v>0</v>
      </c>
      <c r="L39" s="352">
        <f t="shared" si="65"/>
        <v>1</v>
      </c>
      <c r="M39" s="370">
        <f t="shared" si="75"/>
        <v>3.968253968253968E-3</v>
      </c>
      <c r="N39" s="292">
        <f>AN187+AO187</f>
        <v>24</v>
      </c>
      <c r="O39" s="353">
        <f t="shared" si="1"/>
        <v>9.5617529880478086E-2</v>
      </c>
      <c r="P39" s="292">
        <f>SUM(AQ187:AR187)</f>
        <v>0</v>
      </c>
      <c r="Q39" s="353">
        <f t="shared" si="66"/>
        <v>0</v>
      </c>
      <c r="R39" s="292">
        <f>SUM(AT187:AU187)</f>
        <v>0</v>
      </c>
      <c r="S39" s="353">
        <f t="shared" si="2"/>
        <v>0</v>
      </c>
      <c r="T39" s="292">
        <f>SUM(AW187:AX187)</f>
        <v>7</v>
      </c>
      <c r="U39" s="353">
        <f t="shared" si="3"/>
        <v>2.7888446215139442E-2</v>
      </c>
      <c r="V39" s="367">
        <f>AZ187</f>
        <v>31</v>
      </c>
      <c r="W39" s="292">
        <f>BB187</f>
        <v>31</v>
      </c>
      <c r="X39" s="353">
        <f t="shared" si="4"/>
        <v>0.12698412698412698</v>
      </c>
      <c r="Y39" s="375" t="s">
        <v>274</v>
      </c>
      <c r="Z39" s="375" t="s">
        <v>268</v>
      </c>
      <c r="AA39" s="304" t="s">
        <v>269</v>
      </c>
      <c r="AC39" s="216" t="s">
        <v>271</v>
      </c>
      <c r="AD39" s="217"/>
      <c r="AE39" s="217"/>
      <c r="AF39" s="218"/>
      <c r="AG39" s="218"/>
      <c r="AH39" s="219"/>
      <c r="AI39" s="218"/>
      <c r="AJ39" s="218"/>
      <c r="AK39" s="218"/>
      <c r="AL39" s="218"/>
      <c r="AM39" s="220" t="e">
        <f>SUM(AJ39:AL39)/AH39</f>
        <v>#DIV/0!</v>
      </c>
      <c r="AN39" s="218"/>
      <c r="AO39" s="218"/>
      <c r="AP39" s="221" t="e">
        <f>SUM(AN39:AO39)/AI39</f>
        <v>#DIV/0!</v>
      </c>
      <c r="AQ39" s="218"/>
      <c r="AR39" s="218"/>
      <c r="AS39" s="221" t="e">
        <f>(AQ39+AR39)/$AG39</f>
        <v>#DIV/0!</v>
      </c>
      <c r="AT39" s="218"/>
      <c r="AU39" s="218"/>
      <c r="AV39" s="221" t="e">
        <f>(AT39+AU39)/$AG39</f>
        <v>#DIV/0!</v>
      </c>
      <c r="AW39" s="218"/>
      <c r="AX39" s="218"/>
      <c r="AY39" s="221" t="e">
        <f>(AW39+AX39)/$AG39</f>
        <v>#DIV/0!</v>
      </c>
      <c r="AZ39" s="222">
        <f>SUM(AN39,AQ39,AT39,AW39)</f>
        <v>0</v>
      </c>
      <c r="BA39" s="222">
        <f>SUM(AO39,AR39,AU39,AX39)</f>
        <v>0</v>
      </c>
      <c r="BB39" s="222">
        <f>SUM(AZ39:BA39)</f>
        <v>0</v>
      </c>
      <c r="BC39" s="221">
        <f>(BB39+1)/(AI39+1)</f>
        <v>1</v>
      </c>
      <c r="BD39" s="223"/>
      <c r="BE39" s="223"/>
    </row>
    <row r="40" spans="1:59" ht="15" customHeight="1" x14ac:dyDescent="0.2">
      <c r="A40" s="354">
        <v>38</v>
      </c>
      <c r="B40" s="358">
        <v>46118</v>
      </c>
      <c r="C40" s="358">
        <v>46119</v>
      </c>
      <c r="D40" s="362">
        <v>5</v>
      </c>
      <c r="E40" s="365">
        <f t="shared" ref="E40:J40" si="101">AG192</f>
        <v>504</v>
      </c>
      <c r="F40" s="365">
        <f t="shared" si="101"/>
        <v>504</v>
      </c>
      <c r="G40" s="365">
        <f t="shared" si="101"/>
        <v>478</v>
      </c>
      <c r="H40" s="365">
        <f t="shared" si="101"/>
        <v>0</v>
      </c>
      <c r="I40" s="365">
        <f t="shared" si="101"/>
        <v>4</v>
      </c>
      <c r="J40" s="365">
        <f t="shared" si="101"/>
        <v>26</v>
      </c>
      <c r="K40" s="386">
        <f>BA192</f>
        <v>0</v>
      </c>
      <c r="L40" s="352">
        <f t="shared" si="65"/>
        <v>30</v>
      </c>
      <c r="M40" s="370">
        <f t="shared" si="75"/>
        <v>5.9523809523809521E-2</v>
      </c>
      <c r="N40" s="292">
        <f>AN192+AO192</f>
        <v>47</v>
      </c>
      <c r="O40" s="353">
        <f t="shared" si="1"/>
        <v>9.832635983263599E-2</v>
      </c>
      <c r="P40" s="292">
        <f>SUM(AQ192:AR192)</f>
        <v>8</v>
      </c>
      <c r="Q40" s="353">
        <f t="shared" si="66"/>
        <v>1.6736401673640166E-2</v>
      </c>
      <c r="R40" s="292">
        <f>SUM(AT192:AU192)</f>
        <v>1</v>
      </c>
      <c r="S40" s="353">
        <f t="shared" si="2"/>
        <v>2.0920502092050207E-3</v>
      </c>
      <c r="T40" s="292">
        <f>SUM(AW192:AX192)</f>
        <v>5</v>
      </c>
      <c r="U40" s="353">
        <f t="shared" si="3"/>
        <v>1.0460251046025104E-2</v>
      </c>
      <c r="V40" s="367">
        <f>AZ192</f>
        <v>61</v>
      </c>
      <c r="W40" s="292">
        <f>BB192</f>
        <v>61</v>
      </c>
      <c r="X40" s="353">
        <f t="shared" si="4"/>
        <v>0.12943632567849686</v>
      </c>
      <c r="Y40" s="375" t="s">
        <v>274</v>
      </c>
      <c r="Z40" s="375" t="s">
        <v>268</v>
      </c>
      <c r="AA40" s="304" t="s">
        <v>269</v>
      </c>
      <c r="AB40" s="18"/>
      <c r="AC40" s="224" t="s">
        <v>273</v>
      </c>
      <c r="AD40" s="225"/>
      <c r="AE40" s="225"/>
      <c r="AF40" s="226"/>
      <c r="AG40" s="226"/>
      <c r="AH40" s="227"/>
      <c r="AI40" s="226"/>
      <c r="AJ40" s="226"/>
      <c r="AK40" s="226"/>
      <c r="AL40" s="226"/>
      <c r="AM40" s="228" t="e">
        <f t="shared" ref="AM40:AM41" si="102">SUM(AJ40:AL40)/AH40</f>
        <v>#DIV/0!</v>
      </c>
      <c r="AN40" s="226"/>
      <c r="AO40" s="226"/>
      <c r="AP40" s="229" t="e">
        <f t="shared" ref="AP40:AP41" si="103">SUM(AN40:AO40)/AI40</f>
        <v>#DIV/0!</v>
      </c>
      <c r="AQ40" s="226"/>
      <c r="AR40" s="226"/>
      <c r="AS40" s="229" t="e">
        <f>(AQ40+AR40)/$AG40</f>
        <v>#DIV/0!</v>
      </c>
      <c r="AT40" s="226"/>
      <c r="AU40" s="226"/>
      <c r="AV40" s="229" t="e">
        <f>(AT40+AU40)/$AG40</f>
        <v>#DIV/0!</v>
      </c>
      <c r="AW40" s="226"/>
      <c r="AX40" s="226"/>
      <c r="AY40" s="229" t="e">
        <f>(AW40+AX40)/$AG40</f>
        <v>#DIV/0!</v>
      </c>
      <c r="AZ40" s="230">
        <f t="shared" ref="AZ40:BA41" si="104">SUM(AN40,AQ40,AT40,AW40)</f>
        <v>0</v>
      </c>
      <c r="BA40" s="230">
        <f t="shared" si="104"/>
        <v>0</v>
      </c>
      <c r="BB40" s="230">
        <f t="shared" ref="BB40:BB41" si="105">SUM(AZ40:BA40)</f>
        <v>0</v>
      </c>
      <c r="BC40" s="229">
        <f t="shared" ref="BC40:BC41" si="106">(BB40+1)/(AI40+1)</f>
        <v>1</v>
      </c>
      <c r="BD40" s="231"/>
      <c r="BE40" s="231"/>
    </row>
    <row r="41" spans="1:59" ht="15" customHeight="1" x14ac:dyDescent="0.2">
      <c r="A41" s="354">
        <v>39</v>
      </c>
      <c r="B41" s="358">
        <v>46132</v>
      </c>
      <c r="C41" s="358">
        <v>46133</v>
      </c>
      <c r="D41" s="362">
        <v>1</v>
      </c>
      <c r="E41" s="365">
        <f t="shared" ref="E41:J41" si="107">AG197</f>
        <v>495</v>
      </c>
      <c r="F41" s="365">
        <f t="shared" si="107"/>
        <v>495</v>
      </c>
      <c r="G41" s="365">
        <f t="shared" si="107"/>
        <v>487</v>
      </c>
      <c r="H41" s="365">
        <f t="shared" si="107"/>
        <v>3</v>
      </c>
      <c r="I41" s="365">
        <f t="shared" si="107"/>
        <v>1</v>
      </c>
      <c r="J41" s="365">
        <f t="shared" si="107"/>
        <v>3</v>
      </c>
      <c r="K41" s="386">
        <f>BA197</f>
        <v>12</v>
      </c>
      <c r="L41" s="352">
        <f t="shared" si="65"/>
        <v>19</v>
      </c>
      <c r="M41" s="370">
        <f t="shared" si="75"/>
        <v>3.8383838383838381E-2</v>
      </c>
      <c r="N41" s="292">
        <f>AN197+AO197</f>
        <v>14</v>
      </c>
      <c r="O41" s="353">
        <f t="shared" si="1"/>
        <v>2.8747433264887063E-2</v>
      </c>
      <c r="P41" s="292">
        <f>SUM(AQ197:AR197)</f>
        <v>0</v>
      </c>
      <c r="Q41" s="353">
        <f t="shared" si="66"/>
        <v>0</v>
      </c>
      <c r="R41" s="292">
        <f>SUM(AT197:AU197)</f>
        <v>0</v>
      </c>
      <c r="S41" s="353">
        <f t="shared" si="2"/>
        <v>0</v>
      </c>
      <c r="T41" s="292">
        <f>SUM(AW197:AX197)</f>
        <v>0</v>
      </c>
      <c r="U41" s="353">
        <f t="shared" si="3"/>
        <v>0</v>
      </c>
      <c r="V41" s="367">
        <f>AZ197</f>
        <v>2</v>
      </c>
      <c r="W41" s="292">
        <f>BB197</f>
        <v>14</v>
      </c>
      <c r="X41" s="353">
        <f t="shared" si="4"/>
        <v>3.0737704918032786E-2</v>
      </c>
      <c r="Y41" s="375" t="s">
        <v>283</v>
      </c>
      <c r="Z41" s="375" t="s">
        <v>268</v>
      </c>
      <c r="AA41" s="304" t="s">
        <v>269</v>
      </c>
      <c r="AC41" s="232" t="s">
        <v>275</v>
      </c>
      <c r="AD41" s="233">
        <v>46043</v>
      </c>
      <c r="AE41" s="233">
        <v>46044</v>
      </c>
      <c r="AF41" s="234">
        <v>1</v>
      </c>
      <c r="AG41" s="234">
        <v>269</v>
      </c>
      <c r="AH41" s="235">
        <v>269</v>
      </c>
      <c r="AI41" s="234">
        <v>266</v>
      </c>
      <c r="AJ41" s="234">
        <v>0</v>
      </c>
      <c r="AK41" s="234">
        <v>0</v>
      </c>
      <c r="AL41" s="234">
        <v>2</v>
      </c>
      <c r="AM41" s="236">
        <f t="shared" si="102"/>
        <v>7.4349442379182153E-3</v>
      </c>
      <c r="AN41" s="234">
        <v>25</v>
      </c>
      <c r="AO41" s="234">
        <v>0</v>
      </c>
      <c r="AP41" s="237">
        <f t="shared" si="103"/>
        <v>9.3984962406015032E-2</v>
      </c>
      <c r="AQ41" s="234">
        <v>0</v>
      </c>
      <c r="AR41" s="234">
        <v>0</v>
      </c>
      <c r="AS41" s="237">
        <f>(AQ41+AR41)/$AG41</f>
        <v>0</v>
      </c>
      <c r="AT41" s="234">
        <v>0</v>
      </c>
      <c r="AU41" s="234">
        <v>0</v>
      </c>
      <c r="AV41" s="237">
        <f>(AT41+AU41)/$AG41</f>
        <v>0</v>
      </c>
      <c r="AW41" s="234">
        <v>0</v>
      </c>
      <c r="AX41" s="234">
        <v>0</v>
      </c>
      <c r="AY41" s="237">
        <f>(AW41+AX41)/$AG41</f>
        <v>0</v>
      </c>
      <c r="AZ41" s="238">
        <f t="shared" si="104"/>
        <v>25</v>
      </c>
      <c r="BA41" s="238">
        <f t="shared" si="104"/>
        <v>0</v>
      </c>
      <c r="BB41" s="238">
        <f t="shared" si="105"/>
        <v>25</v>
      </c>
      <c r="BC41" s="237">
        <f t="shared" si="106"/>
        <v>9.7378277153558054E-2</v>
      </c>
      <c r="BD41" s="239" t="s">
        <v>274</v>
      </c>
      <c r="BE41" s="239" t="s">
        <v>268</v>
      </c>
    </row>
    <row r="42" spans="1:59" ht="15" customHeight="1" x14ac:dyDescent="0.2">
      <c r="A42" s="354">
        <v>40</v>
      </c>
      <c r="B42" s="358">
        <v>46168</v>
      </c>
      <c r="C42" s="358">
        <v>46169</v>
      </c>
      <c r="D42" s="362">
        <v>1</v>
      </c>
      <c r="E42" s="365">
        <f t="shared" ref="E42:J42" si="108">AG202</f>
        <v>328</v>
      </c>
      <c r="F42" s="365">
        <f t="shared" si="108"/>
        <v>327</v>
      </c>
      <c r="G42" s="365">
        <f t="shared" si="108"/>
        <v>328</v>
      </c>
      <c r="H42" s="365">
        <f t="shared" si="108"/>
        <v>1</v>
      </c>
      <c r="I42" s="365">
        <f t="shared" si="108"/>
        <v>0</v>
      </c>
      <c r="J42" s="365">
        <f t="shared" si="108"/>
        <v>4</v>
      </c>
      <c r="K42" s="386">
        <f>BA202</f>
        <v>0</v>
      </c>
      <c r="L42" s="352">
        <f t="shared" si="65"/>
        <v>5</v>
      </c>
      <c r="M42" s="370">
        <f t="shared" si="75"/>
        <v>1.524390243902439E-2</v>
      </c>
      <c r="N42" s="292">
        <f>AN202+AO202</f>
        <v>47</v>
      </c>
      <c r="O42" s="353">
        <f t="shared" si="1"/>
        <v>0.14329268292682926</v>
      </c>
      <c r="P42" s="292">
        <f>SUM(AQ202:AR202)</f>
        <v>14</v>
      </c>
      <c r="Q42" s="353">
        <f t="shared" si="66"/>
        <v>4.2682926829268296E-2</v>
      </c>
      <c r="R42" s="292">
        <f>SUM(AT202:AU202)</f>
        <v>0</v>
      </c>
      <c r="S42" s="353">
        <f t="shared" si="2"/>
        <v>0</v>
      </c>
      <c r="T42" s="292">
        <f>SUM(AW202:AX202)</f>
        <v>0</v>
      </c>
      <c r="U42" s="353">
        <f t="shared" si="3"/>
        <v>0</v>
      </c>
      <c r="V42" s="367">
        <f>AZ202</f>
        <v>61</v>
      </c>
      <c r="W42" s="292">
        <f>BB202</f>
        <v>61</v>
      </c>
      <c r="X42" s="353">
        <f t="shared" si="4"/>
        <v>0.18844984802431611</v>
      </c>
      <c r="Y42" s="375" t="s">
        <v>283</v>
      </c>
      <c r="Z42" s="375" t="s">
        <v>268</v>
      </c>
      <c r="AA42" s="304" t="s">
        <v>269</v>
      </c>
      <c r="AC42" s="7"/>
      <c r="AG42" s="240">
        <f>SUM(AG39:AG41)</f>
        <v>269</v>
      </c>
      <c r="AH42" s="240">
        <f>SUM(AH39:AH41)</f>
        <v>269</v>
      </c>
      <c r="AI42" s="240">
        <f t="shared" ref="AI42:AL42" si="109">SUM(AI39:AI41)</f>
        <v>266</v>
      </c>
      <c r="AJ42" s="240">
        <f t="shared" si="109"/>
        <v>0</v>
      </c>
      <c r="AK42" s="240">
        <f t="shared" si="109"/>
        <v>0</v>
      </c>
      <c r="AL42" s="240">
        <f t="shared" si="109"/>
        <v>2</v>
      </c>
      <c r="AM42" s="135"/>
      <c r="AN42" s="240">
        <f>SUM(AN39:AN41)</f>
        <v>25</v>
      </c>
      <c r="AO42" s="240">
        <f>SUM(AO39:AO41)</f>
        <v>0</v>
      </c>
      <c r="AP42" s="241"/>
      <c r="AQ42" s="240">
        <f>SUM(AQ39:AQ41)</f>
        <v>0</v>
      </c>
      <c r="AR42" s="240">
        <f>SUM(AR39:AR41)</f>
        <v>0</v>
      </c>
      <c r="AS42" s="241"/>
      <c r="AT42" s="240">
        <f>SUM(AT39:AT41)</f>
        <v>0</v>
      </c>
      <c r="AU42" s="240">
        <f>SUM(AU39:AU41)</f>
        <v>0</v>
      </c>
      <c r="AV42" s="241"/>
      <c r="AW42" s="240">
        <f>SUM(AW39:AW41)</f>
        <v>0</v>
      </c>
      <c r="AX42" s="240">
        <f>SUM(AX39:AX41)</f>
        <v>0</v>
      </c>
      <c r="AY42" s="241"/>
      <c r="AZ42" s="240">
        <f>SUM(AZ39:AZ41)</f>
        <v>25</v>
      </c>
      <c r="BA42" s="240">
        <f>SUM(BA39:BA41)</f>
        <v>0</v>
      </c>
      <c r="BB42" s="240">
        <f>SUM(AZ42:BA42)</f>
        <v>25</v>
      </c>
      <c r="BC42" s="242">
        <f>(BB42+1)/(AI42+1)</f>
        <v>9.7378277153558054E-2</v>
      </c>
      <c r="BD42" s="98"/>
      <c r="BE42" s="98"/>
    </row>
    <row r="43" spans="1:59" ht="15" customHeight="1" x14ac:dyDescent="0.2">
      <c r="A43" s="354">
        <v>41</v>
      </c>
      <c r="B43" s="358">
        <v>46168</v>
      </c>
      <c r="C43" s="358">
        <v>46169</v>
      </c>
      <c r="D43" s="361">
        <v>1</v>
      </c>
      <c r="E43" s="365">
        <f t="shared" ref="E43:J43" si="110">AG207</f>
        <v>278</v>
      </c>
      <c r="F43" s="365">
        <f t="shared" si="110"/>
        <v>278</v>
      </c>
      <c r="G43" s="365">
        <f t="shared" si="110"/>
        <v>244</v>
      </c>
      <c r="H43" s="365">
        <f t="shared" si="110"/>
        <v>0</v>
      </c>
      <c r="I43" s="365">
        <f t="shared" si="110"/>
        <v>8</v>
      </c>
      <c r="J43" s="365">
        <f t="shared" si="110"/>
        <v>1</v>
      </c>
      <c r="K43" s="386">
        <f>BA207</f>
        <v>0</v>
      </c>
      <c r="L43" s="352">
        <f>SUM(H43:K43)</f>
        <v>9</v>
      </c>
      <c r="M43" s="370">
        <f>L43/E43</f>
        <v>3.237410071942446E-2</v>
      </c>
      <c r="N43" s="292">
        <f>AN207+AO207</f>
        <v>33</v>
      </c>
      <c r="O43" s="353">
        <f t="shared" si="1"/>
        <v>0.13524590163934427</v>
      </c>
      <c r="P43" s="292">
        <f>SUM(AQ207:AR207)</f>
        <v>3</v>
      </c>
      <c r="Q43" s="353">
        <f>P43/G43</f>
        <v>1.2295081967213115E-2</v>
      </c>
      <c r="R43" s="292">
        <f>SUM(AT207:AU207)</f>
        <v>0</v>
      </c>
      <c r="S43" s="353">
        <f t="shared" si="2"/>
        <v>0</v>
      </c>
      <c r="T43" s="292">
        <f>SUM(AW207:AX207)</f>
        <v>0</v>
      </c>
      <c r="U43" s="353">
        <f t="shared" si="3"/>
        <v>0</v>
      </c>
      <c r="V43" s="367">
        <f>AZ207</f>
        <v>36</v>
      </c>
      <c r="W43" s="292">
        <f>BB207</f>
        <v>36</v>
      </c>
      <c r="X43" s="353">
        <f t="shared" si="4"/>
        <v>0.15102040816326531</v>
      </c>
      <c r="Y43" s="375" t="s">
        <v>283</v>
      </c>
      <c r="Z43" s="375" t="s">
        <v>268</v>
      </c>
      <c r="AA43" s="304" t="s">
        <v>269</v>
      </c>
      <c r="AC43" s="212" t="s">
        <v>284</v>
      </c>
      <c r="AD43" s="15"/>
      <c r="AE43" s="23"/>
      <c r="AF43" s="16"/>
      <c r="AG43" s="15"/>
      <c r="AH43" s="15"/>
      <c r="AI43" s="15"/>
      <c r="AJ43" s="15"/>
      <c r="AK43" s="15"/>
      <c r="AL43" s="22"/>
      <c r="AM43" s="213"/>
      <c r="AN43" s="23"/>
      <c r="AO43" s="23"/>
      <c r="AP43" s="7"/>
      <c r="AQ43" s="15"/>
      <c r="AR43" s="15"/>
      <c r="AS43" s="7"/>
      <c r="AT43" s="15"/>
      <c r="AU43" s="15"/>
      <c r="AV43" s="7"/>
      <c r="AW43" s="15"/>
      <c r="AX43" s="15"/>
      <c r="AY43" s="214"/>
      <c r="AZ43" s="215"/>
      <c r="BA43" s="10"/>
      <c r="BB43" s="7"/>
      <c r="BC43" s="7"/>
      <c r="BD43" s="7"/>
      <c r="BE43" s="7"/>
    </row>
    <row r="44" spans="1:59" ht="15" customHeight="1" x14ac:dyDescent="0.2">
      <c r="A44" s="354">
        <v>42</v>
      </c>
      <c r="B44" s="358">
        <v>46176</v>
      </c>
      <c r="C44" s="358">
        <v>46177</v>
      </c>
      <c r="D44" s="361">
        <v>1</v>
      </c>
      <c r="E44" s="365">
        <f t="shared" ref="E44:J44" si="111">AG212</f>
        <v>255</v>
      </c>
      <c r="F44" s="365">
        <f t="shared" si="111"/>
        <v>226</v>
      </c>
      <c r="G44" s="365">
        <f t="shared" si="111"/>
        <v>215</v>
      </c>
      <c r="H44" s="365">
        <f t="shared" si="111"/>
        <v>0</v>
      </c>
      <c r="I44" s="365">
        <f t="shared" si="111"/>
        <v>29</v>
      </c>
      <c r="J44" s="365">
        <f t="shared" si="111"/>
        <v>11</v>
      </c>
      <c r="K44" s="386">
        <f>BA212</f>
        <v>0</v>
      </c>
      <c r="L44" s="352">
        <f t="shared" ref="L44:L61" si="112">SUM(H44:K44)</f>
        <v>40</v>
      </c>
      <c r="M44" s="370">
        <f>L44/E44</f>
        <v>0.15686274509803921</v>
      </c>
      <c r="N44" s="292">
        <f>AN212+AO212</f>
        <v>10</v>
      </c>
      <c r="O44" s="353">
        <f t="shared" si="1"/>
        <v>4.6511627906976744E-2</v>
      </c>
      <c r="P44" s="292">
        <f>SUM(AQ212:AR212)</f>
        <v>2</v>
      </c>
      <c r="Q44" s="353">
        <f t="shared" ref="Q44:Q62" si="113">P44/G44</f>
        <v>9.3023255813953487E-3</v>
      </c>
      <c r="R44" s="292">
        <f>SUM(AT212:AU212)</f>
        <v>0</v>
      </c>
      <c r="S44" s="353">
        <f t="shared" si="2"/>
        <v>0</v>
      </c>
      <c r="T44" s="292">
        <f>SUM(AW212:AX212)</f>
        <v>0</v>
      </c>
      <c r="U44" s="353">
        <f t="shared" si="3"/>
        <v>0</v>
      </c>
      <c r="V44" s="367">
        <f>AZ212</f>
        <v>12</v>
      </c>
      <c r="W44" s="292">
        <f>BB212</f>
        <v>12</v>
      </c>
      <c r="X44" s="353">
        <f t="shared" si="4"/>
        <v>6.0185185185185182E-2</v>
      </c>
      <c r="Y44" s="375" t="s">
        <v>283</v>
      </c>
      <c r="Z44" s="375" t="s">
        <v>268</v>
      </c>
      <c r="AA44" s="304" t="s">
        <v>269</v>
      </c>
      <c r="AC44" s="216" t="s">
        <v>271</v>
      </c>
      <c r="AD44" s="217"/>
      <c r="AE44" s="217"/>
      <c r="AF44" s="218"/>
      <c r="AG44" s="218"/>
      <c r="AH44" s="219"/>
      <c r="AI44" s="218"/>
      <c r="AJ44" s="218"/>
      <c r="AK44" s="218"/>
      <c r="AL44" s="218"/>
      <c r="AM44" s="220" t="e">
        <f>SUM(AJ44:AL44)/AH44</f>
        <v>#DIV/0!</v>
      </c>
      <c r="AN44" s="218"/>
      <c r="AO44" s="218"/>
      <c r="AP44" s="221" t="e">
        <f>SUM(AN44:AO44)/AI44</f>
        <v>#DIV/0!</v>
      </c>
      <c r="AQ44" s="218"/>
      <c r="AR44" s="218"/>
      <c r="AS44" s="221" t="e">
        <f>(AQ44+AR44)/$AG44</f>
        <v>#DIV/0!</v>
      </c>
      <c r="AT44" s="218"/>
      <c r="AU44" s="218"/>
      <c r="AV44" s="221" t="e">
        <f>(AT44+AU44)/$AG44</f>
        <v>#DIV/0!</v>
      </c>
      <c r="AW44" s="218"/>
      <c r="AX44" s="218"/>
      <c r="AY44" s="221" t="e">
        <f>(AW44+AX44)/$AG44</f>
        <v>#DIV/0!</v>
      </c>
      <c r="AZ44" s="222">
        <f>SUM(AN44,AQ44,AT44,AW44)</f>
        <v>0</v>
      </c>
      <c r="BA44" s="222">
        <f>SUM(AO44,AR44,AU44,AX44)</f>
        <v>0</v>
      </c>
      <c r="BB44" s="222">
        <f>SUM(AZ44:BA44)</f>
        <v>0</v>
      </c>
      <c r="BC44" s="221">
        <f>(BB44+1)/(AI44+1)</f>
        <v>1</v>
      </c>
      <c r="BD44" s="223"/>
      <c r="BE44" s="223"/>
    </row>
    <row r="45" spans="1:59" ht="15" customHeight="1" x14ac:dyDescent="0.2">
      <c r="A45" s="354">
        <v>43</v>
      </c>
      <c r="B45" s="358">
        <v>46176</v>
      </c>
      <c r="C45" s="358">
        <v>46177</v>
      </c>
      <c r="D45" s="361">
        <v>1</v>
      </c>
      <c r="E45" s="365">
        <f t="shared" ref="E45:J45" si="114">AG217</f>
        <v>248</v>
      </c>
      <c r="F45" s="365">
        <f t="shared" si="114"/>
        <v>242</v>
      </c>
      <c r="G45" s="365">
        <f t="shared" si="114"/>
        <v>226</v>
      </c>
      <c r="H45" s="365">
        <f t="shared" si="114"/>
        <v>0</v>
      </c>
      <c r="I45" s="365">
        <f t="shared" si="114"/>
        <v>6</v>
      </c>
      <c r="J45" s="365">
        <f t="shared" si="114"/>
        <v>13</v>
      </c>
      <c r="K45" s="386">
        <f>BA217</f>
        <v>0</v>
      </c>
      <c r="L45" s="352">
        <f t="shared" si="112"/>
        <v>19</v>
      </c>
      <c r="M45" s="370">
        <f>L45/E45</f>
        <v>7.6612903225806453E-2</v>
      </c>
      <c r="N45" s="292">
        <f>AN217+AO217</f>
        <v>16</v>
      </c>
      <c r="O45" s="353">
        <f t="shared" si="1"/>
        <v>7.0796460176991149E-2</v>
      </c>
      <c r="P45" s="292">
        <f>SUM(AQ217:AR217)</f>
        <v>0</v>
      </c>
      <c r="Q45" s="353">
        <f t="shared" si="113"/>
        <v>0</v>
      </c>
      <c r="R45" s="292">
        <f>SUM(AT217:AU217)</f>
        <v>0</v>
      </c>
      <c r="S45" s="353">
        <f t="shared" si="2"/>
        <v>0</v>
      </c>
      <c r="T45" s="292">
        <f>SUM(AW217:AX217)</f>
        <v>0</v>
      </c>
      <c r="U45" s="353">
        <f t="shared" si="3"/>
        <v>0</v>
      </c>
      <c r="V45" s="367">
        <f>AZ217</f>
        <v>16</v>
      </c>
      <c r="W45" s="292">
        <f>BB217</f>
        <v>16</v>
      </c>
      <c r="X45" s="353">
        <f t="shared" si="4"/>
        <v>7.4889867841409691E-2</v>
      </c>
      <c r="Y45" s="375" t="s">
        <v>283</v>
      </c>
      <c r="Z45" s="375" t="s">
        <v>268</v>
      </c>
      <c r="AA45" s="304" t="s">
        <v>269</v>
      </c>
      <c r="AC45" s="224" t="s">
        <v>273</v>
      </c>
      <c r="AD45" s="225">
        <v>46043</v>
      </c>
      <c r="AE45" s="225">
        <v>46044</v>
      </c>
      <c r="AF45" s="226">
        <v>1</v>
      </c>
      <c r="AG45" s="226">
        <v>244</v>
      </c>
      <c r="AH45" s="227">
        <v>239</v>
      </c>
      <c r="AI45" s="226">
        <v>238</v>
      </c>
      <c r="AJ45" s="226">
        <v>0</v>
      </c>
      <c r="AK45" s="226">
        <v>0</v>
      </c>
      <c r="AL45" s="226">
        <v>1</v>
      </c>
      <c r="AM45" s="228">
        <f t="shared" ref="AM45:AM46" si="115">SUM(AJ45:AL45)/AH45</f>
        <v>4.1841004184100415E-3</v>
      </c>
      <c r="AN45" s="226">
        <v>23</v>
      </c>
      <c r="AO45" s="226">
        <v>0</v>
      </c>
      <c r="AP45" s="229">
        <f t="shared" ref="AP45:AP46" si="116">SUM(AN45:AO45)/AI45</f>
        <v>9.6638655462184878E-2</v>
      </c>
      <c r="AQ45" s="226">
        <v>0</v>
      </c>
      <c r="AR45" s="226">
        <v>0</v>
      </c>
      <c r="AS45" s="229">
        <f>(AQ45+AR45)/$AG45</f>
        <v>0</v>
      </c>
      <c r="AT45" s="226">
        <v>1</v>
      </c>
      <c r="AU45" s="226">
        <v>0</v>
      </c>
      <c r="AV45" s="229">
        <f>(AT45+AU45)/$AG45</f>
        <v>4.0983606557377051E-3</v>
      </c>
      <c r="AW45" s="226">
        <v>0</v>
      </c>
      <c r="AX45" s="226">
        <v>0</v>
      </c>
      <c r="AY45" s="229">
        <f>(AW45+AX45)/$AG45</f>
        <v>0</v>
      </c>
      <c r="AZ45" s="230">
        <f t="shared" ref="AZ45:BA46" si="117">SUM(AN45,AQ45,AT45,AW45)</f>
        <v>24</v>
      </c>
      <c r="BA45" s="230">
        <f t="shared" si="117"/>
        <v>0</v>
      </c>
      <c r="BB45" s="230">
        <f t="shared" ref="BB45:BB46" si="118">SUM(AZ45:BA45)</f>
        <v>24</v>
      </c>
      <c r="BC45" s="229">
        <f t="shared" ref="BC45:BC46" si="119">(BB45+1)/(AI45+1)</f>
        <v>0.10460251046025104</v>
      </c>
      <c r="BD45" s="231" t="s">
        <v>274</v>
      </c>
      <c r="BE45" s="231" t="s">
        <v>268</v>
      </c>
    </row>
    <row r="46" spans="1:59" ht="12.75" x14ac:dyDescent="0.2">
      <c r="A46" s="354">
        <v>44</v>
      </c>
      <c r="B46" s="358"/>
      <c r="C46" s="358"/>
      <c r="D46" s="361"/>
      <c r="E46" s="365">
        <f t="shared" ref="E46:J46" si="120">AG222</f>
        <v>0</v>
      </c>
      <c r="F46" s="365">
        <f t="shared" si="120"/>
        <v>0</v>
      </c>
      <c r="G46" s="365">
        <f t="shared" si="120"/>
        <v>0</v>
      </c>
      <c r="H46" s="365">
        <f t="shared" si="120"/>
        <v>0</v>
      </c>
      <c r="I46" s="365">
        <f t="shared" si="120"/>
        <v>0</v>
      </c>
      <c r="J46" s="365">
        <f t="shared" si="120"/>
        <v>0</v>
      </c>
      <c r="K46" s="386">
        <f>BA222</f>
        <v>0</v>
      </c>
      <c r="L46" s="352">
        <f t="shared" si="112"/>
        <v>0</v>
      </c>
      <c r="M46" s="370" t="e">
        <f>L46/E46</f>
        <v>#DIV/0!</v>
      </c>
      <c r="N46" s="292">
        <f>AN222+AO222</f>
        <v>0</v>
      </c>
      <c r="O46" s="353" t="e">
        <f t="shared" si="1"/>
        <v>#DIV/0!</v>
      </c>
      <c r="P46" s="292">
        <f>SUM(AQ222:AR222)</f>
        <v>0</v>
      </c>
      <c r="Q46" s="353" t="e">
        <f t="shared" si="113"/>
        <v>#DIV/0!</v>
      </c>
      <c r="R46" s="292">
        <f>SUM(AT222:AU222)</f>
        <v>0</v>
      </c>
      <c r="S46" s="353" t="e">
        <f t="shared" si="2"/>
        <v>#DIV/0!</v>
      </c>
      <c r="T46" s="292">
        <f>SUM(AW222:AX222)</f>
        <v>0</v>
      </c>
      <c r="U46" s="353" t="e">
        <f t="shared" si="3"/>
        <v>#DIV/0!</v>
      </c>
      <c r="V46" s="367">
        <f>AZ222</f>
        <v>0</v>
      </c>
      <c r="W46" s="292">
        <f>BB222</f>
        <v>0</v>
      </c>
      <c r="X46" s="353">
        <f t="shared" si="4"/>
        <v>1</v>
      </c>
      <c r="Y46" s="375"/>
      <c r="Z46" s="375"/>
      <c r="AA46" s="304"/>
      <c r="AC46" s="232" t="s">
        <v>275</v>
      </c>
      <c r="AD46" s="233"/>
      <c r="AE46" s="233"/>
      <c r="AF46" s="234"/>
      <c r="AG46" s="234"/>
      <c r="AH46" s="235"/>
      <c r="AI46" s="234"/>
      <c r="AJ46" s="234"/>
      <c r="AK46" s="234"/>
      <c r="AL46" s="234"/>
      <c r="AM46" s="236" t="e">
        <f t="shared" si="115"/>
        <v>#DIV/0!</v>
      </c>
      <c r="AN46" s="234"/>
      <c r="AO46" s="234"/>
      <c r="AP46" s="237" t="e">
        <f t="shared" si="116"/>
        <v>#DIV/0!</v>
      </c>
      <c r="AQ46" s="234"/>
      <c r="AR46" s="234"/>
      <c r="AS46" s="237" t="e">
        <f>(AQ46+AR46)/$AG46</f>
        <v>#DIV/0!</v>
      </c>
      <c r="AT46" s="234"/>
      <c r="AU46" s="234"/>
      <c r="AV46" s="237" t="e">
        <f>(AT46+AU46)/$AG46</f>
        <v>#DIV/0!</v>
      </c>
      <c r="AW46" s="234"/>
      <c r="AX46" s="234"/>
      <c r="AY46" s="237" t="e">
        <f>(AW46+AX46)/$AG46</f>
        <v>#DIV/0!</v>
      </c>
      <c r="AZ46" s="238">
        <f t="shared" si="117"/>
        <v>0</v>
      </c>
      <c r="BA46" s="238">
        <f t="shared" si="117"/>
        <v>0</v>
      </c>
      <c r="BB46" s="238">
        <f t="shared" si="118"/>
        <v>0</v>
      </c>
      <c r="BC46" s="237">
        <f t="shared" si="119"/>
        <v>1</v>
      </c>
      <c r="BD46" s="239"/>
      <c r="BE46" s="239"/>
      <c r="BG46" s="17"/>
    </row>
    <row r="47" spans="1:59" ht="15" customHeight="1" x14ac:dyDescent="0.2">
      <c r="A47" s="354">
        <v>45</v>
      </c>
      <c r="B47" s="358"/>
      <c r="C47" s="358"/>
      <c r="D47" s="362"/>
      <c r="E47" s="365">
        <f t="shared" ref="E47:J47" si="121">AG227</f>
        <v>0</v>
      </c>
      <c r="F47" s="365">
        <f t="shared" si="121"/>
        <v>0</v>
      </c>
      <c r="G47" s="365">
        <f t="shared" si="121"/>
        <v>0</v>
      </c>
      <c r="H47" s="365">
        <f t="shared" si="121"/>
        <v>0</v>
      </c>
      <c r="I47" s="365">
        <f t="shared" si="121"/>
        <v>0</v>
      </c>
      <c r="J47" s="365">
        <f t="shared" si="121"/>
        <v>0</v>
      </c>
      <c r="K47" s="386">
        <f>BA227</f>
        <v>0</v>
      </c>
      <c r="L47" s="352">
        <f t="shared" si="112"/>
        <v>0</v>
      </c>
      <c r="M47" s="370" t="e">
        <f t="shared" ref="M47:M62" si="122">L47/E47</f>
        <v>#DIV/0!</v>
      </c>
      <c r="N47" s="292">
        <f>AN227+AO227</f>
        <v>0</v>
      </c>
      <c r="O47" s="353" t="e">
        <f t="shared" si="1"/>
        <v>#DIV/0!</v>
      </c>
      <c r="P47" s="292">
        <f>SUM(AQ227:AR227)</f>
        <v>0</v>
      </c>
      <c r="Q47" s="353" t="e">
        <f t="shared" si="113"/>
        <v>#DIV/0!</v>
      </c>
      <c r="R47" s="292">
        <f>SUM(AT227:AU227)</f>
        <v>0</v>
      </c>
      <c r="S47" s="353" t="e">
        <f t="shared" si="2"/>
        <v>#DIV/0!</v>
      </c>
      <c r="T47" s="292">
        <f>SUM(AW227:AX227)</f>
        <v>0</v>
      </c>
      <c r="U47" s="353" t="e">
        <f t="shared" si="3"/>
        <v>#DIV/0!</v>
      </c>
      <c r="V47" s="367">
        <f>AZ227</f>
        <v>0</v>
      </c>
      <c r="W47" s="292">
        <f>BB227</f>
        <v>0</v>
      </c>
      <c r="X47" s="353">
        <f t="shared" si="4"/>
        <v>1</v>
      </c>
      <c r="Y47" s="375"/>
      <c r="Z47" s="375"/>
      <c r="AA47" s="304"/>
      <c r="AC47" s="7"/>
      <c r="AG47" s="240">
        <f>SUM(AG44:AG46)</f>
        <v>244</v>
      </c>
      <c r="AH47" s="240">
        <f>SUM(AH44:AH46)</f>
        <v>239</v>
      </c>
      <c r="AI47" s="240">
        <f t="shared" ref="AI47:AL47" si="123">SUM(AI44:AI46)</f>
        <v>238</v>
      </c>
      <c r="AJ47" s="240">
        <f t="shared" si="123"/>
        <v>0</v>
      </c>
      <c r="AK47" s="240">
        <f t="shared" si="123"/>
        <v>0</v>
      </c>
      <c r="AL47" s="240">
        <f t="shared" si="123"/>
        <v>1</v>
      </c>
      <c r="AM47" s="135"/>
      <c r="AN47" s="240">
        <f>SUM(AN44:AN46)</f>
        <v>23</v>
      </c>
      <c r="AO47" s="240">
        <f>SUM(AO44:AO46)</f>
        <v>0</v>
      </c>
      <c r="AP47" s="241"/>
      <c r="AQ47" s="240">
        <f>SUM(AQ44:AQ46)</f>
        <v>0</v>
      </c>
      <c r="AR47" s="240">
        <f>SUM(AR44:AR46)</f>
        <v>0</v>
      </c>
      <c r="AS47" s="241"/>
      <c r="AT47" s="240">
        <f>SUM(AT44:AT46)</f>
        <v>1</v>
      </c>
      <c r="AU47" s="240">
        <f>SUM(AU44:AU46)</f>
        <v>0</v>
      </c>
      <c r="AV47" s="241"/>
      <c r="AW47" s="240">
        <f>SUM(AW44:AW46)</f>
        <v>0</v>
      </c>
      <c r="AX47" s="240">
        <f>SUM(AX44:AX46)</f>
        <v>0</v>
      </c>
      <c r="AY47" s="241"/>
      <c r="AZ47" s="240">
        <f>SUM(AZ44:AZ46)</f>
        <v>24</v>
      </c>
      <c r="BA47" s="240">
        <f>SUM(BA44:BA46)</f>
        <v>0</v>
      </c>
      <c r="BB47" s="240">
        <f>SUM(AZ47:BA47)</f>
        <v>24</v>
      </c>
      <c r="BC47" s="242">
        <f>(BB47+1)/(AI47+1)</f>
        <v>0.10460251046025104</v>
      </c>
      <c r="BD47" s="98"/>
      <c r="BE47" s="98"/>
      <c r="BG47" s="17"/>
    </row>
    <row r="48" spans="1:59" ht="15" customHeight="1" x14ac:dyDescent="0.2">
      <c r="A48" s="354">
        <v>46</v>
      </c>
      <c r="B48" s="358"/>
      <c r="C48" s="358"/>
      <c r="D48" s="362"/>
      <c r="E48" s="365">
        <f t="shared" ref="E48:J48" si="124">AG232</f>
        <v>0</v>
      </c>
      <c r="F48" s="365">
        <f t="shared" si="124"/>
        <v>0</v>
      </c>
      <c r="G48" s="365">
        <f t="shared" si="124"/>
        <v>0</v>
      </c>
      <c r="H48" s="365">
        <f t="shared" si="124"/>
        <v>0</v>
      </c>
      <c r="I48" s="365">
        <f t="shared" si="124"/>
        <v>0</v>
      </c>
      <c r="J48" s="365">
        <f t="shared" si="124"/>
        <v>0</v>
      </c>
      <c r="K48" s="386">
        <f>BA232</f>
        <v>0</v>
      </c>
      <c r="L48" s="352">
        <f t="shared" si="112"/>
        <v>0</v>
      </c>
      <c r="M48" s="370" t="e">
        <f t="shared" si="122"/>
        <v>#DIV/0!</v>
      </c>
      <c r="N48" s="292">
        <f>AN232+AO232</f>
        <v>0</v>
      </c>
      <c r="O48" s="353" t="e">
        <f t="shared" si="1"/>
        <v>#DIV/0!</v>
      </c>
      <c r="P48" s="292">
        <f>SUM(AQ232:AR232)</f>
        <v>0</v>
      </c>
      <c r="Q48" s="353" t="e">
        <f t="shared" si="113"/>
        <v>#DIV/0!</v>
      </c>
      <c r="R48" s="292">
        <f>SUM(AT232:AU232)</f>
        <v>0</v>
      </c>
      <c r="S48" s="353" t="e">
        <f t="shared" si="2"/>
        <v>#DIV/0!</v>
      </c>
      <c r="T48" s="292">
        <f>SUM(AW232:AX232)</f>
        <v>0</v>
      </c>
      <c r="U48" s="353" t="e">
        <f t="shared" si="3"/>
        <v>#DIV/0!</v>
      </c>
      <c r="V48" s="367">
        <f>AZ232</f>
        <v>0</v>
      </c>
      <c r="W48" s="292">
        <f>BB232</f>
        <v>0</v>
      </c>
      <c r="X48" s="353">
        <f t="shared" si="4"/>
        <v>1</v>
      </c>
      <c r="Y48" s="375"/>
      <c r="Z48" s="375"/>
      <c r="AA48" s="304"/>
      <c r="AC48" s="212" t="s">
        <v>285</v>
      </c>
      <c r="AD48" s="15"/>
      <c r="AE48" s="23"/>
      <c r="AF48" s="16"/>
      <c r="AG48" s="15"/>
      <c r="AH48" s="15"/>
      <c r="AI48" s="15"/>
      <c r="AJ48" s="15"/>
      <c r="AK48" s="15"/>
      <c r="AL48" s="22"/>
      <c r="AM48" s="213"/>
      <c r="AN48" s="23"/>
      <c r="AO48" s="23"/>
      <c r="AP48" s="7"/>
      <c r="AQ48" s="15"/>
      <c r="AR48" s="15"/>
      <c r="AS48" s="7"/>
      <c r="AT48" s="15"/>
      <c r="AU48" s="15"/>
      <c r="AV48" s="7"/>
      <c r="AW48" s="15"/>
      <c r="AX48" s="15"/>
      <c r="AY48" s="214"/>
      <c r="AZ48" s="215"/>
      <c r="BA48" s="10"/>
      <c r="BB48" s="7"/>
      <c r="BC48" s="7"/>
      <c r="BD48" s="7"/>
      <c r="BE48" s="7"/>
      <c r="BG48" s="17"/>
    </row>
    <row r="49" spans="1:60" ht="15" customHeight="1" x14ac:dyDescent="0.2">
      <c r="A49" s="354">
        <v>47</v>
      </c>
      <c r="B49" s="358"/>
      <c r="C49" s="358"/>
      <c r="D49" s="362"/>
      <c r="E49" s="365">
        <f t="shared" ref="E49:J49" si="125">AG237</f>
        <v>0</v>
      </c>
      <c r="F49" s="365">
        <f t="shared" si="125"/>
        <v>0</v>
      </c>
      <c r="G49" s="365">
        <f t="shared" si="125"/>
        <v>0</v>
      </c>
      <c r="H49" s="365">
        <f t="shared" si="125"/>
        <v>0</v>
      </c>
      <c r="I49" s="365">
        <f t="shared" si="125"/>
        <v>0</v>
      </c>
      <c r="J49" s="365">
        <f t="shared" si="125"/>
        <v>0</v>
      </c>
      <c r="K49" s="386">
        <f>BA237</f>
        <v>0</v>
      </c>
      <c r="L49" s="352">
        <f t="shared" si="112"/>
        <v>0</v>
      </c>
      <c r="M49" s="370" t="e">
        <f t="shared" si="122"/>
        <v>#DIV/0!</v>
      </c>
      <c r="N49" s="292">
        <f>AN237+AO237</f>
        <v>0</v>
      </c>
      <c r="O49" s="353" t="e">
        <f t="shared" si="1"/>
        <v>#DIV/0!</v>
      </c>
      <c r="P49" s="292">
        <f>SUM(AQ237:AR237)</f>
        <v>0</v>
      </c>
      <c r="Q49" s="353" t="e">
        <f t="shared" si="113"/>
        <v>#DIV/0!</v>
      </c>
      <c r="R49" s="292">
        <f>SUM(AT237:AU237)</f>
        <v>0</v>
      </c>
      <c r="S49" s="353" t="e">
        <f t="shared" si="2"/>
        <v>#DIV/0!</v>
      </c>
      <c r="T49" s="292">
        <f>SUM(AW237:AX237)</f>
        <v>0</v>
      </c>
      <c r="U49" s="353" t="e">
        <f t="shared" si="3"/>
        <v>#DIV/0!</v>
      </c>
      <c r="V49" s="367">
        <f>AZ237</f>
        <v>0</v>
      </c>
      <c r="W49" s="292">
        <f>BB237</f>
        <v>0</v>
      </c>
      <c r="X49" s="353">
        <f t="shared" si="4"/>
        <v>1</v>
      </c>
      <c r="Y49" s="375"/>
      <c r="Z49" s="375"/>
      <c r="AA49" s="304"/>
      <c r="AC49" s="216" t="s">
        <v>271</v>
      </c>
      <c r="AD49" s="217"/>
      <c r="AE49" s="217"/>
      <c r="AF49" s="218"/>
      <c r="AG49" s="218"/>
      <c r="AH49" s="219"/>
      <c r="AI49" s="218"/>
      <c r="AJ49" s="218"/>
      <c r="AK49" s="218"/>
      <c r="AL49" s="218"/>
      <c r="AM49" s="220" t="e">
        <f>SUM(AJ49:AL49)/AH49</f>
        <v>#DIV/0!</v>
      </c>
      <c r="AN49" s="218"/>
      <c r="AO49" s="218"/>
      <c r="AP49" s="221" t="e">
        <f>SUM(AN49:AO49)/AI49</f>
        <v>#DIV/0!</v>
      </c>
      <c r="AQ49" s="218"/>
      <c r="AR49" s="218"/>
      <c r="AS49" s="221" t="e">
        <f>(AQ49+AR49)/$AG49</f>
        <v>#DIV/0!</v>
      </c>
      <c r="AT49" s="218"/>
      <c r="AU49" s="218"/>
      <c r="AV49" s="221" t="e">
        <f>(AT49+AU49)/$AG49</f>
        <v>#DIV/0!</v>
      </c>
      <c r="AW49" s="218"/>
      <c r="AX49" s="218"/>
      <c r="AY49" s="221" t="e">
        <f>(AW49+AX49)/$AG49</f>
        <v>#DIV/0!</v>
      </c>
      <c r="AZ49" s="222">
        <f>SUM(AN49,AQ49,AT49,AW49)</f>
        <v>0</v>
      </c>
      <c r="BA49" s="222">
        <f>SUM(AO49,AR49,AU49,AX49)</f>
        <v>0</v>
      </c>
      <c r="BB49" s="222">
        <f>SUM(AZ49:BA49)</f>
        <v>0</v>
      </c>
      <c r="BC49" s="221">
        <f>(BB49+1)/(AI49+1)</f>
        <v>1</v>
      </c>
      <c r="BD49" s="223"/>
      <c r="BE49" s="223"/>
      <c r="BG49" s="17"/>
    </row>
    <row r="50" spans="1:60" ht="15" customHeight="1" x14ac:dyDescent="0.2">
      <c r="A50" s="354">
        <v>48</v>
      </c>
      <c r="B50" s="358"/>
      <c r="C50" s="358"/>
      <c r="D50" s="362"/>
      <c r="E50" s="365">
        <f t="shared" ref="E50:J50" si="126">AG242</f>
        <v>0</v>
      </c>
      <c r="F50" s="365">
        <f t="shared" si="126"/>
        <v>0</v>
      </c>
      <c r="G50" s="365">
        <f t="shared" si="126"/>
        <v>0</v>
      </c>
      <c r="H50" s="365">
        <f t="shared" si="126"/>
        <v>0</v>
      </c>
      <c r="I50" s="365">
        <f t="shared" si="126"/>
        <v>0</v>
      </c>
      <c r="J50" s="365">
        <f t="shared" si="126"/>
        <v>0</v>
      </c>
      <c r="K50" s="386">
        <f>BA242</f>
        <v>0</v>
      </c>
      <c r="L50" s="352">
        <f t="shared" si="112"/>
        <v>0</v>
      </c>
      <c r="M50" s="370" t="e">
        <f t="shared" si="122"/>
        <v>#DIV/0!</v>
      </c>
      <c r="N50" s="292">
        <f>AN242+AO242</f>
        <v>0</v>
      </c>
      <c r="O50" s="353" t="e">
        <f t="shared" si="1"/>
        <v>#DIV/0!</v>
      </c>
      <c r="P50" s="292">
        <f>SUM(AQ242:AR242)</f>
        <v>0</v>
      </c>
      <c r="Q50" s="353" t="e">
        <f t="shared" si="113"/>
        <v>#DIV/0!</v>
      </c>
      <c r="R50" s="292">
        <f>SUM(AT242:AU242)</f>
        <v>0</v>
      </c>
      <c r="S50" s="353" t="e">
        <f t="shared" si="2"/>
        <v>#DIV/0!</v>
      </c>
      <c r="T50" s="292">
        <f>SUM(AW242:AX242)</f>
        <v>0</v>
      </c>
      <c r="U50" s="353" t="e">
        <f t="shared" si="3"/>
        <v>#DIV/0!</v>
      </c>
      <c r="V50" s="367">
        <f>AZ242</f>
        <v>0</v>
      </c>
      <c r="W50" s="292">
        <f>BB242</f>
        <v>0</v>
      </c>
      <c r="X50" s="353">
        <f t="shared" si="4"/>
        <v>1</v>
      </c>
      <c r="Y50" s="375"/>
      <c r="Z50" s="375"/>
      <c r="AA50" s="304"/>
      <c r="AC50" s="224" t="s">
        <v>273</v>
      </c>
      <c r="AD50" s="225"/>
      <c r="AE50" s="225"/>
      <c r="AF50" s="226"/>
      <c r="AG50" s="226"/>
      <c r="AH50" s="227"/>
      <c r="AI50" s="226"/>
      <c r="AJ50" s="226"/>
      <c r="AK50" s="226"/>
      <c r="AL50" s="226"/>
      <c r="AM50" s="228" t="e">
        <f t="shared" ref="AM50:AM51" si="127">SUM(AJ50:AL50)/AH50</f>
        <v>#DIV/0!</v>
      </c>
      <c r="AN50" s="226"/>
      <c r="AO50" s="226"/>
      <c r="AP50" s="229" t="e">
        <f t="shared" ref="AP50:AP51" si="128">SUM(AN50:AO50)/AI50</f>
        <v>#DIV/0!</v>
      </c>
      <c r="AQ50" s="226"/>
      <c r="AR50" s="226"/>
      <c r="AS50" s="229" t="e">
        <f>(AQ50+AR50)/$AG50</f>
        <v>#DIV/0!</v>
      </c>
      <c r="AT50" s="226"/>
      <c r="AU50" s="226"/>
      <c r="AV50" s="229" t="e">
        <f>(AT50+AU50)/$AG50</f>
        <v>#DIV/0!</v>
      </c>
      <c r="AW50" s="226"/>
      <c r="AX50" s="226"/>
      <c r="AY50" s="229" t="e">
        <f>(AW50+AX50)/$AG50</f>
        <v>#DIV/0!</v>
      </c>
      <c r="AZ50" s="230">
        <f t="shared" ref="AZ50:BA51" si="129">SUM(AN50,AQ50,AT50,AW50)</f>
        <v>0</v>
      </c>
      <c r="BA50" s="230">
        <f t="shared" si="129"/>
        <v>0</v>
      </c>
      <c r="BB50" s="230">
        <f t="shared" ref="BB50:BB51" si="130">SUM(AZ50:BA50)</f>
        <v>0</v>
      </c>
      <c r="BC50" s="229">
        <f t="shared" ref="BC50:BC51" si="131">(BB50+1)/(AI50+1)</f>
        <v>1</v>
      </c>
      <c r="BD50" s="231"/>
      <c r="BE50" s="231"/>
      <c r="BG50" s="17"/>
    </row>
    <row r="51" spans="1:60" ht="15" customHeight="1" x14ac:dyDescent="0.2">
      <c r="A51" s="354">
        <v>49</v>
      </c>
      <c r="B51" s="358"/>
      <c r="C51" s="358"/>
      <c r="D51" s="362"/>
      <c r="E51" s="365">
        <f t="shared" ref="E51:J51" si="132">AG247</f>
        <v>0</v>
      </c>
      <c r="F51" s="365">
        <f t="shared" si="132"/>
        <v>0</v>
      </c>
      <c r="G51" s="365">
        <f t="shared" si="132"/>
        <v>0</v>
      </c>
      <c r="H51" s="365">
        <f t="shared" si="132"/>
        <v>0</v>
      </c>
      <c r="I51" s="365">
        <f t="shared" si="132"/>
        <v>0</v>
      </c>
      <c r="J51" s="365">
        <f t="shared" si="132"/>
        <v>0</v>
      </c>
      <c r="K51" s="386">
        <f>BA247</f>
        <v>0</v>
      </c>
      <c r="L51" s="352">
        <f t="shared" si="112"/>
        <v>0</v>
      </c>
      <c r="M51" s="370" t="e">
        <f t="shared" si="122"/>
        <v>#DIV/0!</v>
      </c>
      <c r="N51" s="292">
        <f>AN247+AO247</f>
        <v>0</v>
      </c>
      <c r="O51" s="353" t="e">
        <f t="shared" si="1"/>
        <v>#DIV/0!</v>
      </c>
      <c r="P51" s="292">
        <f>SUM(AQ247:AR247)</f>
        <v>0</v>
      </c>
      <c r="Q51" s="353" t="e">
        <f t="shared" si="113"/>
        <v>#DIV/0!</v>
      </c>
      <c r="R51" s="292">
        <f>SUM(AT247:AU247)</f>
        <v>0</v>
      </c>
      <c r="S51" s="353" t="e">
        <f t="shared" si="2"/>
        <v>#DIV/0!</v>
      </c>
      <c r="T51" s="292">
        <f>SUM(AW247:AX247)</f>
        <v>0</v>
      </c>
      <c r="U51" s="353" t="e">
        <f t="shared" si="3"/>
        <v>#DIV/0!</v>
      </c>
      <c r="V51" s="367">
        <f>AZ247</f>
        <v>0</v>
      </c>
      <c r="W51" s="292">
        <f>BB247</f>
        <v>0</v>
      </c>
      <c r="X51" s="353">
        <f t="shared" si="4"/>
        <v>1</v>
      </c>
      <c r="Y51" s="375"/>
      <c r="Z51" s="375"/>
      <c r="AA51" s="304"/>
      <c r="AC51" s="232" t="s">
        <v>275</v>
      </c>
      <c r="AD51" s="233">
        <v>46047</v>
      </c>
      <c r="AE51" s="233">
        <v>46048</v>
      </c>
      <c r="AF51" s="234">
        <v>5</v>
      </c>
      <c r="AG51" s="234">
        <v>259</v>
      </c>
      <c r="AH51" s="235">
        <v>259</v>
      </c>
      <c r="AI51" s="234">
        <v>259</v>
      </c>
      <c r="AJ51" s="234">
        <v>0</v>
      </c>
      <c r="AK51" s="234">
        <v>0</v>
      </c>
      <c r="AL51" s="234">
        <v>0</v>
      </c>
      <c r="AM51" s="236">
        <f t="shared" si="127"/>
        <v>0</v>
      </c>
      <c r="AN51" s="234">
        <v>19</v>
      </c>
      <c r="AO51" s="234">
        <v>0</v>
      </c>
      <c r="AP51" s="237">
        <f t="shared" si="128"/>
        <v>7.3359073359073365E-2</v>
      </c>
      <c r="AQ51" s="234">
        <v>2</v>
      </c>
      <c r="AR51" s="234">
        <v>0</v>
      </c>
      <c r="AS51" s="237">
        <f>(AQ51+AR51)/$AG51</f>
        <v>7.7220077220077222E-3</v>
      </c>
      <c r="AT51" s="234">
        <v>0</v>
      </c>
      <c r="AU51" s="234">
        <v>0</v>
      </c>
      <c r="AV51" s="237">
        <f>(AT51+AU51)/$AG51</f>
        <v>0</v>
      </c>
      <c r="AW51" s="234">
        <v>0</v>
      </c>
      <c r="AX51" s="234">
        <v>0</v>
      </c>
      <c r="AY51" s="237">
        <f>(AW51+AX51)/$AG51</f>
        <v>0</v>
      </c>
      <c r="AZ51" s="238">
        <f t="shared" si="129"/>
        <v>21</v>
      </c>
      <c r="BA51" s="238">
        <f t="shared" si="129"/>
        <v>0</v>
      </c>
      <c r="BB51" s="238">
        <f t="shared" si="130"/>
        <v>21</v>
      </c>
      <c r="BC51" s="237">
        <f t="shared" si="131"/>
        <v>8.461538461538462E-2</v>
      </c>
      <c r="BD51" s="239" t="s">
        <v>274</v>
      </c>
      <c r="BE51" s="239" t="s">
        <v>268</v>
      </c>
      <c r="BG51" s="17"/>
    </row>
    <row r="52" spans="1:60" ht="15" customHeight="1" x14ac:dyDescent="0.2">
      <c r="A52" s="354">
        <v>50</v>
      </c>
      <c r="B52" s="358"/>
      <c r="C52" s="358"/>
      <c r="D52" s="362"/>
      <c r="E52" s="365">
        <f t="shared" ref="E52:J52" si="133">AG252</f>
        <v>0</v>
      </c>
      <c r="F52" s="365">
        <f t="shared" si="133"/>
        <v>0</v>
      </c>
      <c r="G52" s="365">
        <f t="shared" si="133"/>
        <v>0</v>
      </c>
      <c r="H52" s="365">
        <f t="shared" si="133"/>
        <v>0</v>
      </c>
      <c r="I52" s="365">
        <f t="shared" si="133"/>
        <v>0</v>
      </c>
      <c r="J52" s="365">
        <f t="shared" si="133"/>
        <v>0</v>
      </c>
      <c r="K52" s="386">
        <f>BA252</f>
        <v>0</v>
      </c>
      <c r="L52" s="352">
        <f t="shared" si="112"/>
        <v>0</v>
      </c>
      <c r="M52" s="370" t="e">
        <f t="shared" si="122"/>
        <v>#DIV/0!</v>
      </c>
      <c r="N52" s="292">
        <f>AN252+AO252</f>
        <v>0</v>
      </c>
      <c r="O52" s="353" t="e">
        <f t="shared" si="1"/>
        <v>#DIV/0!</v>
      </c>
      <c r="P52" s="292">
        <f>SUM(AQ252:AR252)</f>
        <v>0</v>
      </c>
      <c r="Q52" s="353" t="e">
        <f t="shared" si="113"/>
        <v>#DIV/0!</v>
      </c>
      <c r="R52" s="292">
        <f>SUM(AT252:AU252)</f>
        <v>0</v>
      </c>
      <c r="S52" s="353" t="e">
        <f t="shared" si="2"/>
        <v>#DIV/0!</v>
      </c>
      <c r="T52" s="292">
        <f>SUM(AW252:AX252)</f>
        <v>0</v>
      </c>
      <c r="U52" s="353" t="e">
        <f t="shared" si="3"/>
        <v>#DIV/0!</v>
      </c>
      <c r="V52" s="367">
        <f>AZ252</f>
        <v>0</v>
      </c>
      <c r="W52" s="292">
        <f>BB252</f>
        <v>0</v>
      </c>
      <c r="X52" s="353">
        <f t="shared" si="4"/>
        <v>1</v>
      </c>
      <c r="Y52" s="375"/>
      <c r="Z52" s="375"/>
      <c r="AA52" s="304"/>
      <c r="AC52" s="7"/>
      <c r="AG52" s="240">
        <f>SUM(AG49:AG51)</f>
        <v>259</v>
      </c>
      <c r="AH52" s="240">
        <f>SUM(AH49:AH51)</f>
        <v>259</v>
      </c>
      <c r="AI52" s="240">
        <f t="shared" ref="AI52:AL52" si="134">SUM(AI49:AI51)</f>
        <v>259</v>
      </c>
      <c r="AJ52" s="240">
        <f t="shared" si="134"/>
        <v>0</v>
      </c>
      <c r="AK52" s="240">
        <f t="shared" si="134"/>
        <v>0</v>
      </c>
      <c r="AL52" s="240">
        <f t="shared" si="134"/>
        <v>0</v>
      </c>
      <c r="AM52" s="135"/>
      <c r="AN52" s="240">
        <f>SUM(AN49:AN51)</f>
        <v>19</v>
      </c>
      <c r="AO52" s="240">
        <f>SUM(AO49:AO51)</f>
        <v>0</v>
      </c>
      <c r="AP52" s="241"/>
      <c r="AQ52" s="240">
        <f>SUM(AQ49:AQ51)</f>
        <v>2</v>
      </c>
      <c r="AR52" s="240">
        <f>SUM(AR49:AR51)</f>
        <v>0</v>
      </c>
      <c r="AS52" s="241"/>
      <c r="AT52" s="240">
        <f>SUM(AT49:AT51)</f>
        <v>0</v>
      </c>
      <c r="AU52" s="240">
        <f>SUM(AU49:AU51)</f>
        <v>0</v>
      </c>
      <c r="AV52" s="241"/>
      <c r="AW52" s="240">
        <f>SUM(AW49:AW51)</f>
        <v>0</v>
      </c>
      <c r="AX52" s="240">
        <f>SUM(AX49:AX51)</f>
        <v>0</v>
      </c>
      <c r="AY52" s="241"/>
      <c r="AZ52" s="240">
        <f>SUM(AZ49:AZ51)</f>
        <v>21</v>
      </c>
      <c r="BA52" s="240">
        <f>SUM(BA49:BA51)</f>
        <v>0</v>
      </c>
      <c r="BB52" s="240">
        <f>SUM(AZ52:BA52)</f>
        <v>21</v>
      </c>
      <c r="BC52" s="242">
        <f>(BB52+1)/(AI52+1)</f>
        <v>8.461538461538462E-2</v>
      </c>
      <c r="BD52" s="98"/>
      <c r="BE52" s="98"/>
      <c r="BF52" s="17"/>
    </row>
    <row r="53" spans="1:60" ht="15" customHeight="1" x14ac:dyDescent="0.2">
      <c r="A53" s="354">
        <v>51</v>
      </c>
      <c r="B53" s="358"/>
      <c r="C53" s="358"/>
      <c r="D53" s="362"/>
      <c r="E53" s="365">
        <f t="shared" ref="E53:J53" si="135">AG257</f>
        <v>0</v>
      </c>
      <c r="F53" s="365">
        <f t="shared" si="135"/>
        <v>0</v>
      </c>
      <c r="G53" s="365">
        <f t="shared" si="135"/>
        <v>0</v>
      </c>
      <c r="H53" s="365">
        <f t="shared" si="135"/>
        <v>0</v>
      </c>
      <c r="I53" s="365">
        <f t="shared" si="135"/>
        <v>0</v>
      </c>
      <c r="J53" s="365">
        <f t="shared" si="135"/>
        <v>0</v>
      </c>
      <c r="K53" s="386">
        <f>BA257</f>
        <v>0</v>
      </c>
      <c r="L53" s="352">
        <f t="shared" si="112"/>
        <v>0</v>
      </c>
      <c r="M53" s="370" t="e">
        <f t="shared" si="122"/>
        <v>#DIV/0!</v>
      </c>
      <c r="N53" s="292">
        <f>AN257+AO257</f>
        <v>0</v>
      </c>
      <c r="O53" s="353" t="e">
        <f t="shared" si="1"/>
        <v>#DIV/0!</v>
      </c>
      <c r="P53" s="292">
        <f>SUM(AQ257:AR257)</f>
        <v>0</v>
      </c>
      <c r="Q53" s="353" t="e">
        <f t="shared" si="113"/>
        <v>#DIV/0!</v>
      </c>
      <c r="R53" s="292">
        <f>SUM(AT257:AU257)</f>
        <v>0</v>
      </c>
      <c r="S53" s="353" t="e">
        <f t="shared" si="2"/>
        <v>#DIV/0!</v>
      </c>
      <c r="T53" s="292">
        <f>SUM(AW257:AX257)</f>
        <v>0</v>
      </c>
      <c r="U53" s="353" t="e">
        <f t="shared" si="3"/>
        <v>#DIV/0!</v>
      </c>
      <c r="V53" s="367">
        <f>AZ257</f>
        <v>0</v>
      </c>
      <c r="W53" s="292">
        <f>BB257</f>
        <v>0</v>
      </c>
      <c r="X53" s="353">
        <f t="shared" si="4"/>
        <v>1</v>
      </c>
      <c r="Y53" s="375"/>
      <c r="Z53" s="375"/>
      <c r="AA53" s="304"/>
      <c r="AC53" s="212" t="s">
        <v>286</v>
      </c>
      <c r="AD53" s="15"/>
      <c r="AE53" s="23"/>
      <c r="AF53" s="16"/>
      <c r="AG53" s="15"/>
      <c r="AH53" s="15"/>
      <c r="AI53" s="15"/>
      <c r="AJ53" s="15"/>
      <c r="AK53" s="15"/>
      <c r="AL53" s="22"/>
      <c r="AM53" s="213"/>
      <c r="AN53" s="23"/>
      <c r="AO53" s="23"/>
      <c r="AP53" s="7"/>
      <c r="AQ53" s="15"/>
      <c r="AR53" s="15"/>
      <c r="AS53" s="7"/>
      <c r="AT53" s="15"/>
      <c r="AU53" s="15"/>
      <c r="AV53" s="7"/>
      <c r="AW53" s="15"/>
      <c r="AX53" s="15"/>
      <c r="AY53" s="214"/>
      <c r="AZ53" s="215"/>
      <c r="BA53" s="10"/>
      <c r="BB53" s="7"/>
      <c r="BC53" s="7"/>
      <c r="BD53" s="7"/>
      <c r="BE53" s="7"/>
      <c r="BH53" s="17"/>
    </row>
    <row r="54" spans="1:60" ht="15" customHeight="1" x14ac:dyDescent="0.2">
      <c r="A54" s="354">
        <v>52</v>
      </c>
      <c r="B54" s="358"/>
      <c r="C54" s="358"/>
      <c r="D54" s="362"/>
      <c r="E54" s="365">
        <f t="shared" ref="E54:J54" si="136">AG262</f>
        <v>0</v>
      </c>
      <c r="F54" s="365">
        <f t="shared" si="136"/>
        <v>0</v>
      </c>
      <c r="G54" s="365">
        <f t="shared" si="136"/>
        <v>0</v>
      </c>
      <c r="H54" s="365">
        <f t="shared" si="136"/>
        <v>0</v>
      </c>
      <c r="I54" s="365">
        <f t="shared" si="136"/>
        <v>0</v>
      </c>
      <c r="J54" s="365">
        <f t="shared" si="136"/>
        <v>0</v>
      </c>
      <c r="K54" s="386">
        <f>BA262</f>
        <v>0</v>
      </c>
      <c r="L54" s="352">
        <f t="shared" si="112"/>
        <v>0</v>
      </c>
      <c r="M54" s="370" t="e">
        <f t="shared" si="122"/>
        <v>#DIV/0!</v>
      </c>
      <c r="N54" s="292">
        <f>AN262+AO262</f>
        <v>0</v>
      </c>
      <c r="O54" s="353" t="e">
        <f t="shared" si="1"/>
        <v>#DIV/0!</v>
      </c>
      <c r="P54" s="292">
        <f>SUM(AQ262:AR262)</f>
        <v>0</v>
      </c>
      <c r="Q54" s="353" t="e">
        <f t="shared" si="113"/>
        <v>#DIV/0!</v>
      </c>
      <c r="R54" s="292">
        <f>SUM(AT262:AU262)</f>
        <v>0</v>
      </c>
      <c r="S54" s="353" t="e">
        <f t="shared" si="2"/>
        <v>#DIV/0!</v>
      </c>
      <c r="T54" s="292">
        <f>SUM(AW262:AX262)</f>
        <v>0</v>
      </c>
      <c r="U54" s="353" t="e">
        <f t="shared" si="3"/>
        <v>#DIV/0!</v>
      </c>
      <c r="V54" s="367">
        <f>AZ262</f>
        <v>0</v>
      </c>
      <c r="W54" s="292">
        <f>BB262</f>
        <v>0</v>
      </c>
      <c r="X54" s="353">
        <f t="shared" si="4"/>
        <v>1</v>
      </c>
      <c r="Y54" s="375"/>
      <c r="Z54" s="375"/>
      <c r="AA54" s="304"/>
      <c r="AC54" s="216" t="s">
        <v>271</v>
      </c>
      <c r="AD54" s="217"/>
      <c r="AE54" s="217"/>
      <c r="AF54" s="218"/>
      <c r="AG54" s="218"/>
      <c r="AH54" s="219"/>
      <c r="AI54" s="218"/>
      <c r="AJ54" s="218"/>
      <c r="AK54" s="218"/>
      <c r="AL54" s="218"/>
      <c r="AM54" s="220" t="e">
        <f>SUM(AJ54:AL54)/AH54</f>
        <v>#DIV/0!</v>
      </c>
      <c r="AN54" s="218"/>
      <c r="AO54" s="218"/>
      <c r="AP54" s="221" t="e">
        <f>SUM(AN54:AO54)/AI54</f>
        <v>#DIV/0!</v>
      </c>
      <c r="AQ54" s="218"/>
      <c r="AR54" s="218"/>
      <c r="AS54" s="221" t="e">
        <f>(AQ54+AR54)/$AG54</f>
        <v>#DIV/0!</v>
      </c>
      <c r="AT54" s="218"/>
      <c r="AU54" s="218"/>
      <c r="AV54" s="221" t="e">
        <f>(AT54+AU54)/$AG54</f>
        <v>#DIV/0!</v>
      </c>
      <c r="AW54" s="218"/>
      <c r="AX54" s="218"/>
      <c r="AY54" s="221" t="e">
        <f>(AW54+AX54)/$AG54</f>
        <v>#DIV/0!</v>
      </c>
      <c r="AZ54" s="222">
        <f>SUM(AN54,AQ54,AT54,AW54)</f>
        <v>0</v>
      </c>
      <c r="BA54" s="222">
        <f>SUM(AO54,AR54,AU54,AX54)</f>
        <v>0</v>
      </c>
      <c r="BB54" s="222">
        <f>SUM(AZ54:BA54)</f>
        <v>0</v>
      </c>
      <c r="BC54" s="221">
        <f>(BB54+1)/(AI54+1)</f>
        <v>1</v>
      </c>
      <c r="BD54" s="223"/>
      <c r="BE54" s="223"/>
      <c r="BH54" s="17"/>
    </row>
    <row r="55" spans="1:60" ht="15" customHeight="1" x14ac:dyDescent="0.2">
      <c r="A55" s="354">
        <v>53</v>
      </c>
      <c r="B55" s="358"/>
      <c r="C55" s="358"/>
      <c r="D55" s="362"/>
      <c r="E55" s="365">
        <f t="shared" ref="E55:J55" si="137">AG267</f>
        <v>0</v>
      </c>
      <c r="F55" s="365">
        <f t="shared" si="137"/>
        <v>0</v>
      </c>
      <c r="G55" s="365">
        <f t="shared" si="137"/>
        <v>0</v>
      </c>
      <c r="H55" s="365">
        <f t="shared" si="137"/>
        <v>0</v>
      </c>
      <c r="I55" s="365">
        <f t="shared" si="137"/>
        <v>0</v>
      </c>
      <c r="J55" s="365">
        <f t="shared" si="137"/>
        <v>0</v>
      </c>
      <c r="K55" s="386">
        <f>BA267</f>
        <v>0</v>
      </c>
      <c r="L55" s="352">
        <f t="shared" si="112"/>
        <v>0</v>
      </c>
      <c r="M55" s="370" t="e">
        <f t="shared" si="122"/>
        <v>#DIV/0!</v>
      </c>
      <c r="N55" s="292">
        <f>AN267+AO267</f>
        <v>0</v>
      </c>
      <c r="O55" s="353" t="e">
        <f t="shared" si="1"/>
        <v>#DIV/0!</v>
      </c>
      <c r="P55" s="292">
        <f>SUM(AQ267:AR267)</f>
        <v>0</v>
      </c>
      <c r="Q55" s="353" t="e">
        <f t="shared" si="113"/>
        <v>#DIV/0!</v>
      </c>
      <c r="R55" s="292">
        <f>SUM(AT267:AU267)</f>
        <v>0</v>
      </c>
      <c r="S55" s="353" t="e">
        <f t="shared" si="2"/>
        <v>#DIV/0!</v>
      </c>
      <c r="T55" s="292">
        <f>SUM(AW267:AX267)</f>
        <v>0</v>
      </c>
      <c r="U55" s="353" t="e">
        <f t="shared" si="3"/>
        <v>#DIV/0!</v>
      </c>
      <c r="V55" s="367">
        <f>AZ267</f>
        <v>0</v>
      </c>
      <c r="W55" s="292">
        <f>BB267</f>
        <v>0</v>
      </c>
      <c r="X55" s="353">
        <f t="shared" si="4"/>
        <v>1</v>
      </c>
      <c r="Y55" s="375"/>
      <c r="Z55" s="375"/>
      <c r="AA55" s="304"/>
      <c r="AC55" s="224" t="s">
        <v>273</v>
      </c>
      <c r="AD55" s="225">
        <v>46047</v>
      </c>
      <c r="AE55" s="225">
        <v>46048</v>
      </c>
      <c r="AF55" s="226">
        <v>5</v>
      </c>
      <c r="AG55" s="226">
        <v>243</v>
      </c>
      <c r="AH55" s="227">
        <v>237</v>
      </c>
      <c r="AI55" s="226">
        <v>238</v>
      </c>
      <c r="AJ55" s="226">
        <v>1</v>
      </c>
      <c r="AK55" s="226">
        <v>0</v>
      </c>
      <c r="AL55" s="226">
        <v>0</v>
      </c>
      <c r="AM55" s="228">
        <f t="shared" ref="AM55:AM56" si="138">SUM(AJ55:AL55)/AH55</f>
        <v>4.2194092827004216E-3</v>
      </c>
      <c r="AN55" s="226">
        <v>16</v>
      </c>
      <c r="AO55" s="226">
        <v>0</v>
      </c>
      <c r="AP55" s="229">
        <f t="shared" ref="AP55:AP56" si="139">SUM(AN55:AO55)/AI55</f>
        <v>6.7226890756302518E-2</v>
      </c>
      <c r="AQ55" s="226">
        <v>2</v>
      </c>
      <c r="AR55" s="226">
        <v>0</v>
      </c>
      <c r="AS55" s="229">
        <f>(AQ55+AR55)/$AG55</f>
        <v>8.23045267489712E-3</v>
      </c>
      <c r="AT55" s="226">
        <v>0</v>
      </c>
      <c r="AU55" s="226">
        <v>0</v>
      </c>
      <c r="AV55" s="229">
        <f>(AT55+AU55)/$AG55</f>
        <v>0</v>
      </c>
      <c r="AW55" s="226">
        <v>0</v>
      </c>
      <c r="AX55" s="226">
        <v>0</v>
      </c>
      <c r="AY55" s="229">
        <f>(AW55+AX55)/$AG55</f>
        <v>0</v>
      </c>
      <c r="AZ55" s="230">
        <f t="shared" ref="AZ55:BA56" si="140">SUM(AN55,AQ55,AT55,AW55)</f>
        <v>18</v>
      </c>
      <c r="BA55" s="230">
        <f t="shared" si="140"/>
        <v>0</v>
      </c>
      <c r="BB55" s="230">
        <f t="shared" ref="BB55:BB56" si="141">SUM(AZ55:BA55)</f>
        <v>18</v>
      </c>
      <c r="BC55" s="229">
        <f t="shared" ref="BC55:BC56" si="142">(BB55+1)/(AI55+1)</f>
        <v>7.9497907949790794E-2</v>
      </c>
      <c r="BD55" s="231"/>
      <c r="BE55" s="231"/>
      <c r="BH55" s="17"/>
    </row>
    <row r="56" spans="1:60" ht="15" customHeight="1" x14ac:dyDescent="0.2">
      <c r="A56" s="354">
        <v>54</v>
      </c>
      <c r="B56" s="358"/>
      <c r="C56" s="358"/>
      <c r="D56" s="362"/>
      <c r="E56" s="365">
        <f t="shared" ref="E56:J56" si="143">AG272</f>
        <v>0</v>
      </c>
      <c r="F56" s="365">
        <f t="shared" si="143"/>
        <v>0</v>
      </c>
      <c r="G56" s="365">
        <f t="shared" si="143"/>
        <v>0</v>
      </c>
      <c r="H56" s="365">
        <f t="shared" si="143"/>
        <v>0</v>
      </c>
      <c r="I56" s="365">
        <f t="shared" si="143"/>
        <v>0</v>
      </c>
      <c r="J56" s="365">
        <f t="shared" si="143"/>
        <v>0</v>
      </c>
      <c r="K56" s="386">
        <f>BA272</f>
        <v>0</v>
      </c>
      <c r="L56" s="352">
        <f t="shared" si="112"/>
        <v>0</v>
      </c>
      <c r="M56" s="370" t="e">
        <f t="shared" si="122"/>
        <v>#DIV/0!</v>
      </c>
      <c r="N56" s="292">
        <f>AN272+AO272</f>
        <v>0</v>
      </c>
      <c r="O56" s="353" t="e">
        <f t="shared" si="1"/>
        <v>#DIV/0!</v>
      </c>
      <c r="P56" s="292">
        <f>SUM(AQ272:AR272)</f>
        <v>0</v>
      </c>
      <c r="Q56" s="353" t="e">
        <f t="shared" si="113"/>
        <v>#DIV/0!</v>
      </c>
      <c r="R56" s="292">
        <f>SUM(AT272:AU272)</f>
        <v>0</v>
      </c>
      <c r="S56" s="353" t="e">
        <f t="shared" si="2"/>
        <v>#DIV/0!</v>
      </c>
      <c r="T56" s="292">
        <f>SUM(AW272:AX272)</f>
        <v>0</v>
      </c>
      <c r="U56" s="353" t="e">
        <f t="shared" si="3"/>
        <v>#DIV/0!</v>
      </c>
      <c r="V56" s="367">
        <f>AZ272</f>
        <v>0</v>
      </c>
      <c r="W56" s="292">
        <f>BB272</f>
        <v>0</v>
      </c>
      <c r="X56" s="353">
        <f t="shared" si="4"/>
        <v>1</v>
      </c>
      <c r="Y56" s="375"/>
      <c r="Z56" s="375"/>
      <c r="AA56" s="304"/>
      <c r="AC56" s="232" t="s">
        <v>275</v>
      </c>
      <c r="AD56" s="233"/>
      <c r="AE56" s="233"/>
      <c r="AF56" s="234"/>
      <c r="AG56" s="234"/>
      <c r="AH56" s="235"/>
      <c r="AI56" s="234"/>
      <c r="AJ56" s="234"/>
      <c r="AK56" s="234"/>
      <c r="AL56" s="234"/>
      <c r="AM56" s="236" t="e">
        <f t="shared" si="138"/>
        <v>#DIV/0!</v>
      </c>
      <c r="AN56" s="234"/>
      <c r="AO56" s="234"/>
      <c r="AP56" s="237" t="e">
        <f t="shared" si="139"/>
        <v>#DIV/0!</v>
      </c>
      <c r="AQ56" s="234"/>
      <c r="AR56" s="234"/>
      <c r="AS56" s="237" t="e">
        <f>(AQ56+AR56)/$AG56</f>
        <v>#DIV/0!</v>
      </c>
      <c r="AT56" s="234"/>
      <c r="AU56" s="234"/>
      <c r="AV56" s="237" t="e">
        <f>(AT56+AU56)/$AG56</f>
        <v>#DIV/0!</v>
      </c>
      <c r="AW56" s="234"/>
      <c r="AX56" s="234"/>
      <c r="AY56" s="237" t="e">
        <f>(AW56+AX56)/$AG56</f>
        <v>#DIV/0!</v>
      </c>
      <c r="AZ56" s="238">
        <f t="shared" si="140"/>
        <v>0</v>
      </c>
      <c r="BA56" s="238">
        <f t="shared" si="140"/>
        <v>0</v>
      </c>
      <c r="BB56" s="238">
        <f t="shared" si="141"/>
        <v>0</v>
      </c>
      <c r="BC56" s="237">
        <f t="shared" si="142"/>
        <v>1</v>
      </c>
      <c r="BD56" s="239" t="s">
        <v>274</v>
      </c>
      <c r="BE56" s="239" t="s">
        <v>268</v>
      </c>
      <c r="BH56" s="17"/>
    </row>
    <row r="57" spans="1:60" ht="15" customHeight="1" x14ac:dyDescent="0.2">
      <c r="A57" s="354">
        <v>55</v>
      </c>
      <c r="B57" s="358"/>
      <c r="C57" s="358"/>
      <c r="D57" s="362"/>
      <c r="E57" s="365">
        <f t="shared" ref="E57:J57" si="144">AG277</f>
        <v>0</v>
      </c>
      <c r="F57" s="365">
        <f t="shared" si="144"/>
        <v>0</v>
      </c>
      <c r="G57" s="365">
        <f t="shared" si="144"/>
        <v>0</v>
      </c>
      <c r="H57" s="365">
        <f t="shared" si="144"/>
        <v>0</v>
      </c>
      <c r="I57" s="365">
        <f t="shared" si="144"/>
        <v>0</v>
      </c>
      <c r="J57" s="365">
        <f t="shared" si="144"/>
        <v>0</v>
      </c>
      <c r="K57" s="386">
        <f>BA277</f>
        <v>0</v>
      </c>
      <c r="L57" s="352">
        <f t="shared" si="112"/>
        <v>0</v>
      </c>
      <c r="M57" s="370" t="e">
        <f t="shared" si="122"/>
        <v>#DIV/0!</v>
      </c>
      <c r="N57" s="292">
        <f>AN277+AO277</f>
        <v>0</v>
      </c>
      <c r="O57" s="353" t="e">
        <f t="shared" si="1"/>
        <v>#DIV/0!</v>
      </c>
      <c r="P57" s="292">
        <f>SUM(AQ277:AR277)</f>
        <v>0</v>
      </c>
      <c r="Q57" s="353" t="e">
        <f t="shared" si="113"/>
        <v>#DIV/0!</v>
      </c>
      <c r="R57" s="292">
        <f>SUM(AT277:AU277)</f>
        <v>0</v>
      </c>
      <c r="S57" s="353" t="e">
        <f t="shared" si="2"/>
        <v>#DIV/0!</v>
      </c>
      <c r="T57" s="292">
        <f>SUM(AW277:AX277)</f>
        <v>0</v>
      </c>
      <c r="U57" s="353" t="e">
        <f t="shared" si="3"/>
        <v>#DIV/0!</v>
      </c>
      <c r="V57" s="367">
        <f>AZ277</f>
        <v>0</v>
      </c>
      <c r="W57" s="292">
        <f>BB277</f>
        <v>0</v>
      </c>
      <c r="X57" s="353">
        <f t="shared" si="4"/>
        <v>1</v>
      </c>
      <c r="Y57" s="375"/>
      <c r="Z57" s="375"/>
      <c r="AA57" s="304"/>
      <c r="AC57" s="7"/>
      <c r="AG57" s="240">
        <f>SUM(AG54:AG56)</f>
        <v>243</v>
      </c>
      <c r="AH57" s="240">
        <f>SUM(AH54:AH56)</f>
        <v>237</v>
      </c>
      <c r="AI57" s="240">
        <f t="shared" ref="AI57:AL57" si="145">SUM(AI54:AI56)</f>
        <v>238</v>
      </c>
      <c r="AJ57" s="240">
        <f t="shared" si="145"/>
        <v>1</v>
      </c>
      <c r="AK57" s="240">
        <f t="shared" si="145"/>
        <v>0</v>
      </c>
      <c r="AL57" s="240">
        <f t="shared" si="145"/>
        <v>0</v>
      </c>
      <c r="AM57" s="135"/>
      <c r="AN57" s="240">
        <f>SUM(AN54:AN56)</f>
        <v>16</v>
      </c>
      <c r="AO57" s="240">
        <f>SUM(AO54:AO56)</f>
        <v>0</v>
      </c>
      <c r="AP57" s="241"/>
      <c r="AQ57" s="240">
        <f>SUM(AQ54:AQ56)</f>
        <v>2</v>
      </c>
      <c r="AR57" s="240">
        <f>SUM(AR54:AR56)</f>
        <v>0</v>
      </c>
      <c r="AS57" s="241"/>
      <c r="AT57" s="240">
        <f>SUM(AT54:AT56)</f>
        <v>0</v>
      </c>
      <c r="AU57" s="240">
        <f>SUM(AU54:AU56)</f>
        <v>0</v>
      </c>
      <c r="AV57" s="241"/>
      <c r="AW57" s="240">
        <f>SUM(AW54:AW56)</f>
        <v>0</v>
      </c>
      <c r="AX57" s="240">
        <f>SUM(AX54:AX56)</f>
        <v>0</v>
      </c>
      <c r="AY57" s="241"/>
      <c r="AZ57" s="240">
        <f>SUM(AZ54:AZ56)</f>
        <v>18</v>
      </c>
      <c r="BA57" s="240">
        <f>SUM(BA54:BA56)</f>
        <v>0</v>
      </c>
      <c r="BB57" s="240">
        <f>SUM(AZ57:BA57)</f>
        <v>18</v>
      </c>
      <c r="BC57" s="242">
        <f>(BB57+1)/(AI57+1)</f>
        <v>7.9497907949790794E-2</v>
      </c>
      <c r="BD57" s="98"/>
      <c r="BE57" s="98"/>
      <c r="BH57" s="17"/>
    </row>
    <row r="58" spans="1:60" ht="15" customHeight="1" x14ac:dyDescent="0.2">
      <c r="A58" s="354">
        <v>56</v>
      </c>
      <c r="B58" s="358"/>
      <c r="C58" s="358"/>
      <c r="D58" s="362"/>
      <c r="E58" s="365">
        <f t="shared" ref="E58:J58" si="146">AG282</f>
        <v>0</v>
      </c>
      <c r="F58" s="365">
        <f t="shared" si="146"/>
        <v>0</v>
      </c>
      <c r="G58" s="365">
        <f t="shared" si="146"/>
        <v>0</v>
      </c>
      <c r="H58" s="365">
        <f t="shared" si="146"/>
        <v>0</v>
      </c>
      <c r="I58" s="365">
        <f t="shared" si="146"/>
        <v>0</v>
      </c>
      <c r="J58" s="365">
        <f t="shared" si="146"/>
        <v>0</v>
      </c>
      <c r="K58" s="386">
        <f>BA282</f>
        <v>0</v>
      </c>
      <c r="L58" s="352">
        <f t="shared" si="112"/>
        <v>0</v>
      </c>
      <c r="M58" s="370" t="e">
        <f t="shared" si="122"/>
        <v>#DIV/0!</v>
      </c>
      <c r="N58" s="292">
        <f>AN282+AO282</f>
        <v>0</v>
      </c>
      <c r="O58" s="353" t="e">
        <f t="shared" si="1"/>
        <v>#DIV/0!</v>
      </c>
      <c r="P58" s="292">
        <f>SUM(AQ282:AR282)</f>
        <v>0</v>
      </c>
      <c r="Q58" s="353" t="e">
        <f t="shared" si="113"/>
        <v>#DIV/0!</v>
      </c>
      <c r="R58" s="292">
        <f>SUM(AT282:AU282)</f>
        <v>0</v>
      </c>
      <c r="S58" s="353" t="e">
        <f t="shared" si="2"/>
        <v>#DIV/0!</v>
      </c>
      <c r="T58" s="292">
        <f>SUM(AW282:AX282)</f>
        <v>0</v>
      </c>
      <c r="U58" s="353" t="e">
        <f t="shared" si="3"/>
        <v>#DIV/0!</v>
      </c>
      <c r="V58" s="367">
        <f>AZ282</f>
        <v>0</v>
      </c>
      <c r="W58" s="292">
        <f>BB282</f>
        <v>0</v>
      </c>
      <c r="X58" s="353">
        <f t="shared" si="4"/>
        <v>1</v>
      </c>
      <c r="Y58" s="375"/>
      <c r="Z58" s="375"/>
      <c r="AA58" s="304"/>
      <c r="AC58" s="212" t="s">
        <v>287</v>
      </c>
      <c r="AD58" s="15"/>
      <c r="AE58" s="23"/>
      <c r="AF58" s="16"/>
      <c r="AG58" s="15"/>
      <c r="AH58" s="15"/>
      <c r="AI58" s="15"/>
      <c r="AJ58" s="15"/>
      <c r="AK58" s="15"/>
      <c r="AL58" s="22"/>
      <c r="AM58" s="213"/>
      <c r="AN58" s="23"/>
      <c r="AO58" s="23"/>
      <c r="AP58" s="7"/>
      <c r="AQ58" s="15"/>
      <c r="AR58" s="15"/>
      <c r="AS58" s="7"/>
      <c r="AT58" s="15"/>
      <c r="AU58" s="15"/>
      <c r="AV58" s="7"/>
      <c r="AW58" s="15"/>
      <c r="AX58" s="15"/>
      <c r="AY58" s="214"/>
      <c r="AZ58" s="215"/>
      <c r="BA58" s="10"/>
      <c r="BB58" s="7"/>
      <c r="BC58" s="7"/>
      <c r="BD58" s="7"/>
      <c r="BE58" s="7"/>
      <c r="BH58" s="17"/>
    </row>
    <row r="59" spans="1:60" ht="15" customHeight="1" x14ac:dyDescent="0.2">
      <c r="A59" s="354">
        <v>57</v>
      </c>
      <c r="B59" s="358"/>
      <c r="C59" s="358"/>
      <c r="D59" s="362"/>
      <c r="E59" s="365">
        <f t="shared" ref="E59:J59" si="147">AG287</f>
        <v>0</v>
      </c>
      <c r="F59" s="365">
        <f t="shared" si="147"/>
        <v>0</v>
      </c>
      <c r="G59" s="365">
        <f t="shared" si="147"/>
        <v>0</v>
      </c>
      <c r="H59" s="365">
        <f t="shared" si="147"/>
        <v>0</v>
      </c>
      <c r="I59" s="365">
        <f t="shared" si="147"/>
        <v>0</v>
      </c>
      <c r="J59" s="365">
        <f t="shared" si="147"/>
        <v>0</v>
      </c>
      <c r="K59" s="386">
        <f>BA287</f>
        <v>0</v>
      </c>
      <c r="L59" s="352">
        <f t="shared" si="112"/>
        <v>0</v>
      </c>
      <c r="M59" s="370" t="e">
        <f t="shared" si="122"/>
        <v>#DIV/0!</v>
      </c>
      <c r="N59" s="292">
        <f>AN287+AO287</f>
        <v>0</v>
      </c>
      <c r="O59" s="353" t="e">
        <f t="shared" si="1"/>
        <v>#DIV/0!</v>
      </c>
      <c r="P59" s="292">
        <f>SUM(AQ287:AR287)</f>
        <v>0</v>
      </c>
      <c r="Q59" s="353" t="e">
        <f t="shared" si="113"/>
        <v>#DIV/0!</v>
      </c>
      <c r="R59" s="292">
        <f>SUM(AT287:AU287)</f>
        <v>0</v>
      </c>
      <c r="S59" s="353" t="e">
        <f t="shared" si="2"/>
        <v>#DIV/0!</v>
      </c>
      <c r="T59" s="292">
        <f>SUM(AW287:AX287)</f>
        <v>0</v>
      </c>
      <c r="U59" s="353" t="e">
        <f t="shared" si="3"/>
        <v>#DIV/0!</v>
      </c>
      <c r="V59" s="367">
        <f>AZ287</f>
        <v>0</v>
      </c>
      <c r="W59" s="292">
        <f>BB287</f>
        <v>0</v>
      </c>
      <c r="X59" s="353">
        <f t="shared" si="4"/>
        <v>1</v>
      </c>
      <c r="Y59" s="375"/>
      <c r="Z59" s="375"/>
      <c r="AA59" s="304"/>
      <c r="AC59" s="216" t="s">
        <v>271</v>
      </c>
      <c r="AD59" s="217"/>
      <c r="AE59" s="217"/>
      <c r="AF59" s="218"/>
      <c r="AG59" s="218"/>
      <c r="AH59" s="219"/>
      <c r="AI59" s="218"/>
      <c r="AJ59" s="218"/>
      <c r="AK59" s="218"/>
      <c r="AL59" s="218"/>
      <c r="AM59" s="220" t="e">
        <f>SUM(AJ59:AL59)/AH59</f>
        <v>#DIV/0!</v>
      </c>
      <c r="AN59" s="218"/>
      <c r="AO59" s="218"/>
      <c r="AP59" s="221" t="e">
        <f>SUM(AN59:AO59)/AI59</f>
        <v>#DIV/0!</v>
      </c>
      <c r="AQ59" s="218"/>
      <c r="AR59" s="218"/>
      <c r="AS59" s="221" t="e">
        <f>(AQ59+AR59)/$AG59</f>
        <v>#DIV/0!</v>
      </c>
      <c r="AT59" s="218"/>
      <c r="AU59" s="218"/>
      <c r="AV59" s="221" t="e">
        <f>(AT59+AU59)/$AG59</f>
        <v>#DIV/0!</v>
      </c>
      <c r="AW59" s="218"/>
      <c r="AX59" s="218"/>
      <c r="AY59" s="221" t="e">
        <f>(AW59+AX59)/$AG59</f>
        <v>#DIV/0!</v>
      </c>
      <c r="AZ59" s="222">
        <f>SUM(AN59,AQ59,AT59,AW59)</f>
        <v>0</v>
      </c>
      <c r="BA59" s="222">
        <f>SUM(AO59,AR59,AU59,AX59)</f>
        <v>0</v>
      </c>
      <c r="BB59" s="222">
        <f>SUM(AZ59:BA59)</f>
        <v>0</v>
      </c>
      <c r="BC59" s="221">
        <f>(BB59+1)/(AI59+1)</f>
        <v>1</v>
      </c>
      <c r="BD59" s="223"/>
      <c r="BE59" s="223"/>
    </row>
    <row r="60" spans="1:60" ht="15" customHeight="1" x14ac:dyDescent="0.2">
      <c r="A60" s="354">
        <v>58</v>
      </c>
      <c r="B60" s="358"/>
      <c r="C60" s="358"/>
      <c r="D60" s="362"/>
      <c r="E60" s="365">
        <f t="shared" ref="E60:J60" si="148">AG292</f>
        <v>0</v>
      </c>
      <c r="F60" s="365">
        <f t="shared" si="148"/>
        <v>0</v>
      </c>
      <c r="G60" s="365">
        <f t="shared" si="148"/>
        <v>0</v>
      </c>
      <c r="H60" s="365">
        <f t="shared" si="148"/>
        <v>0</v>
      </c>
      <c r="I60" s="365">
        <f t="shared" si="148"/>
        <v>0</v>
      </c>
      <c r="J60" s="365">
        <f t="shared" si="148"/>
        <v>0</v>
      </c>
      <c r="K60" s="386">
        <f>BA292</f>
        <v>0</v>
      </c>
      <c r="L60" s="352">
        <f t="shared" si="112"/>
        <v>0</v>
      </c>
      <c r="M60" s="370" t="e">
        <f t="shared" si="122"/>
        <v>#DIV/0!</v>
      </c>
      <c r="N60" s="292">
        <f>AN292+AO292</f>
        <v>0</v>
      </c>
      <c r="O60" s="353" t="e">
        <f t="shared" si="1"/>
        <v>#DIV/0!</v>
      </c>
      <c r="P60" s="292">
        <f>SUM(AQ292:AR292)</f>
        <v>0</v>
      </c>
      <c r="Q60" s="353" t="e">
        <f t="shared" si="113"/>
        <v>#DIV/0!</v>
      </c>
      <c r="R60" s="292">
        <f>SUM(AT292:AU292)</f>
        <v>0</v>
      </c>
      <c r="S60" s="353" t="e">
        <f t="shared" si="2"/>
        <v>#DIV/0!</v>
      </c>
      <c r="T60" s="292">
        <f>SUM(AW292:AX292)</f>
        <v>0</v>
      </c>
      <c r="U60" s="353" t="e">
        <f t="shared" si="3"/>
        <v>#DIV/0!</v>
      </c>
      <c r="V60" s="367">
        <f>AZ292</f>
        <v>0</v>
      </c>
      <c r="W60" s="292">
        <f>BB292</f>
        <v>0</v>
      </c>
      <c r="X60" s="353">
        <f t="shared" si="4"/>
        <v>1</v>
      </c>
      <c r="Y60" s="375"/>
      <c r="Z60" s="375"/>
      <c r="AA60" s="304"/>
      <c r="AC60" s="224" t="s">
        <v>273</v>
      </c>
      <c r="AD60" s="225"/>
      <c r="AE60" s="225"/>
      <c r="AF60" s="226"/>
      <c r="AG60" s="226"/>
      <c r="AH60" s="227"/>
      <c r="AI60" s="226"/>
      <c r="AJ60" s="226"/>
      <c r="AK60" s="226"/>
      <c r="AL60" s="226"/>
      <c r="AM60" s="228" t="e">
        <f t="shared" ref="AM60:AM61" si="149">SUM(AJ60:AL60)/AH60</f>
        <v>#DIV/0!</v>
      </c>
      <c r="AN60" s="226"/>
      <c r="AO60" s="226"/>
      <c r="AP60" s="229" t="e">
        <f t="shared" ref="AP60:AP61" si="150">SUM(AN60:AO60)/AI60</f>
        <v>#DIV/0!</v>
      </c>
      <c r="AQ60" s="226"/>
      <c r="AR60" s="226"/>
      <c r="AS60" s="229" t="e">
        <f>(AQ60+AR60)/$AG60</f>
        <v>#DIV/0!</v>
      </c>
      <c r="AT60" s="226"/>
      <c r="AU60" s="226"/>
      <c r="AV60" s="229" t="e">
        <f>(AT60+AU60)/$AG60</f>
        <v>#DIV/0!</v>
      </c>
      <c r="AW60" s="226"/>
      <c r="AX60" s="226"/>
      <c r="AY60" s="229" t="e">
        <f>(AW60+AX60)/$AG60</f>
        <v>#DIV/0!</v>
      </c>
      <c r="AZ60" s="230">
        <f t="shared" ref="AZ60:BA61" si="151">SUM(AN60,AQ60,AT60,AW60)</f>
        <v>0</v>
      </c>
      <c r="BA60" s="230">
        <f t="shared" si="151"/>
        <v>0</v>
      </c>
      <c r="BB60" s="230">
        <f t="shared" ref="BB60:BB61" si="152">SUM(AZ60:BA60)</f>
        <v>0</v>
      </c>
      <c r="BC60" s="229">
        <f t="shared" ref="BC60:BC61" si="153">(BB60+1)/(AI60+1)</f>
        <v>1</v>
      </c>
      <c r="BD60" s="231"/>
      <c r="BE60" s="231"/>
    </row>
    <row r="61" spans="1:60" ht="18" customHeight="1" x14ac:dyDescent="0.2">
      <c r="A61" s="354">
        <v>59</v>
      </c>
      <c r="B61" s="358"/>
      <c r="C61" s="358"/>
      <c r="D61" s="362"/>
      <c r="E61" s="365">
        <f t="shared" ref="E61:J61" si="154">AG297</f>
        <v>0</v>
      </c>
      <c r="F61" s="365">
        <f t="shared" si="154"/>
        <v>0</v>
      </c>
      <c r="G61" s="365">
        <f t="shared" si="154"/>
        <v>0</v>
      </c>
      <c r="H61" s="365">
        <f t="shared" si="154"/>
        <v>0</v>
      </c>
      <c r="I61" s="365">
        <f t="shared" si="154"/>
        <v>0</v>
      </c>
      <c r="J61" s="365">
        <f t="shared" si="154"/>
        <v>0</v>
      </c>
      <c r="K61" s="386">
        <f>BA297</f>
        <v>0</v>
      </c>
      <c r="L61" s="352">
        <f t="shared" si="112"/>
        <v>0</v>
      </c>
      <c r="M61" s="370" t="e">
        <f t="shared" si="122"/>
        <v>#DIV/0!</v>
      </c>
      <c r="N61" s="292">
        <f>AN297+AO297</f>
        <v>0</v>
      </c>
      <c r="O61" s="353" t="e">
        <f t="shared" si="1"/>
        <v>#DIV/0!</v>
      </c>
      <c r="P61" s="292">
        <f>SUM(AQ297:AR297)</f>
        <v>0</v>
      </c>
      <c r="Q61" s="353" t="e">
        <f t="shared" si="113"/>
        <v>#DIV/0!</v>
      </c>
      <c r="R61" s="292">
        <f>SUM(AT297:AU297)</f>
        <v>0</v>
      </c>
      <c r="S61" s="353" t="e">
        <f t="shared" si="2"/>
        <v>#DIV/0!</v>
      </c>
      <c r="T61" s="292">
        <f>SUM(AW297:AX297)</f>
        <v>0</v>
      </c>
      <c r="U61" s="353" t="e">
        <f t="shared" si="3"/>
        <v>#DIV/0!</v>
      </c>
      <c r="V61" s="367">
        <f>AZ297</f>
        <v>0</v>
      </c>
      <c r="W61" s="292">
        <f>BB297</f>
        <v>0</v>
      </c>
      <c r="X61" s="353">
        <f t="shared" si="4"/>
        <v>1</v>
      </c>
      <c r="Y61" s="375"/>
      <c r="Z61" s="375"/>
      <c r="AA61" s="304"/>
      <c r="AC61" s="232" t="s">
        <v>275</v>
      </c>
      <c r="AD61" s="233">
        <v>46050</v>
      </c>
      <c r="AE61" s="233">
        <v>46051</v>
      </c>
      <c r="AF61" s="234">
        <v>1</v>
      </c>
      <c r="AG61" s="234">
        <v>274</v>
      </c>
      <c r="AH61" s="235">
        <v>274</v>
      </c>
      <c r="AI61" s="234">
        <v>270</v>
      </c>
      <c r="AJ61" s="234"/>
      <c r="AK61" s="234"/>
      <c r="AL61" s="234">
        <v>3</v>
      </c>
      <c r="AM61" s="236">
        <f t="shared" si="149"/>
        <v>1.0948905109489052E-2</v>
      </c>
      <c r="AN61" s="234">
        <v>18</v>
      </c>
      <c r="AO61" s="234">
        <v>0</v>
      </c>
      <c r="AP61" s="237">
        <f t="shared" si="150"/>
        <v>6.6666666666666666E-2</v>
      </c>
      <c r="AQ61" s="234">
        <v>4</v>
      </c>
      <c r="AR61" s="234">
        <v>0</v>
      </c>
      <c r="AS61" s="237">
        <f>(AQ61+AR61)/$AG61</f>
        <v>1.4598540145985401E-2</v>
      </c>
      <c r="AT61" s="234">
        <v>0</v>
      </c>
      <c r="AU61" s="234">
        <v>0</v>
      </c>
      <c r="AV61" s="237">
        <f>(AT61+AU61)/$AG61</f>
        <v>0</v>
      </c>
      <c r="AW61" s="234">
        <v>0</v>
      </c>
      <c r="AX61" s="234">
        <v>0</v>
      </c>
      <c r="AY61" s="237">
        <f>(AW61+AX61)/$AG61</f>
        <v>0</v>
      </c>
      <c r="AZ61" s="238">
        <f t="shared" si="151"/>
        <v>22</v>
      </c>
      <c r="BA61" s="238">
        <f t="shared" si="151"/>
        <v>0</v>
      </c>
      <c r="BB61" s="238">
        <f t="shared" si="152"/>
        <v>22</v>
      </c>
      <c r="BC61" s="237">
        <f t="shared" si="153"/>
        <v>8.4870848708487087E-2</v>
      </c>
      <c r="BD61" s="239" t="s">
        <v>274</v>
      </c>
      <c r="BE61" s="239" t="s">
        <v>268</v>
      </c>
    </row>
    <row r="62" spans="1:60" ht="18" customHeight="1" x14ac:dyDescent="0.2">
      <c r="A62" s="356">
        <v>60</v>
      </c>
      <c r="B62" s="359"/>
      <c r="C62" s="359"/>
      <c r="D62" s="363"/>
      <c r="E62" s="382">
        <f t="shared" ref="E62:J62" si="155">AG302</f>
        <v>0</v>
      </c>
      <c r="F62" s="382">
        <f t="shared" si="155"/>
        <v>0</v>
      </c>
      <c r="G62" s="382">
        <f t="shared" si="155"/>
        <v>0</v>
      </c>
      <c r="H62" s="382">
        <f t="shared" si="155"/>
        <v>0</v>
      </c>
      <c r="I62" s="382">
        <f t="shared" si="155"/>
        <v>0</v>
      </c>
      <c r="J62" s="382">
        <f t="shared" si="155"/>
        <v>0</v>
      </c>
      <c r="K62" s="388">
        <f>BA302</f>
        <v>0</v>
      </c>
      <c r="L62" s="378">
        <f>SUM(K62:K62)</f>
        <v>0</v>
      </c>
      <c r="M62" s="371" t="e">
        <f t="shared" si="122"/>
        <v>#DIV/0!</v>
      </c>
      <c r="N62" s="383">
        <f>AN302+AO302</f>
        <v>0</v>
      </c>
      <c r="O62" s="381" t="e">
        <f t="shared" si="1"/>
        <v>#DIV/0!</v>
      </c>
      <c r="P62" s="383">
        <f>SUM(AQ302:AR302)</f>
        <v>0</v>
      </c>
      <c r="Q62" s="381" t="e">
        <f t="shared" si="113"/>
        <v>#DIV/0!</v>
      </c>
      <c r="R62" s="383">
        <f>SUM(AT302:AU302)</f>
        <v>0</v>
      </c>
      <c r="S62" s="381" t="e">
        <f t="shared" si="2"/>
        <v>#DIV/0!</v>
      </c>
      <c r="T62" s="383">
        <f>SUM(AW302:AX302)</f>
        <v>0</v>
      </c>
      <c r="U62" s="381" t="e">
        <f t="shared" si="3"/>
        <v>#DIV/0!</v>
      </c>
      <c r="V62" s="384">
        <f>AZ302</f>
        <v>0</v>
      </c>
      <c r="W62" s="383">
        <f>BB302</f>
        <v>0</v>
      </c>
      <c r="X62" s="381">
        <f t="shared" si="4"/>
        <v>1</v>
      </c>
      <c r="Y62" s="376"/>
      <c r="Z62" s="376"/>
      <c r="AA62" s="305"/>
      <c r="AC62" s="7"/>
      <c r="AG62" s="240">
        <f>SUM(AG59:AG61)</f>
        <v>274</v>
      </c>
      <c r="AH62" s="240">
        <f>SUM(AH59:AH61)</f>
        <v>274</v>
      </c>
      <c r="AI62" s="240">
        <f t="shared" ref="AI62:AL62" si="156">SUM(AI59:AI61)</f>
        <v>270</v>
      </c>
      <c r="AJ62" s="240">
        <f t="shared" si="156"/>
        <v>0</v>
      </c>
      <c r="AK62" s="240">
        <f t="shared" si="156"/>
        <v>0</v>
      </c>
      <c r="AL62" s="240">
        <f t="shared" si="156"/>
        <v>3</v>
      </c>
      <c r="AM62" s="135"/>
      <c r="AN62" s="240">
        <f>SUM(AN59:AN61)</f>
        <v>18</v>
      </c>
      <c r="AO62" s="240">
        <f>SUM(AO59:AO61)</f>
        <v>0</v>
      </c>
      <c r="AP62" s="241"/>
      <c r="AQ62" s="240">
        <f>SUM(AQ59:AQ61)</f>
        <v>4</v>
      </c>
      <c r="AR62" s="240">
        <f>SUM(AR59:AR61)</f>
        <v>0</v>
      </c>
      <c r="AS62" s="241"/>
      <c r="AT62" s="240">
        <f>SUM(AT59:AT61)</f>
        <v>0</v>
      </c>
      <c r="AU62" s="240">
        <f>SUM(AU59:AU61)</f>
        <v>0</v>
      </c>
      <c r="AV62" s="241"/>
      <c r="AW62" s="240">
        <f>SUM(AW59:AW61)</f>
        <v>0</v>
      </c>
      <c r="AX62" s="240">
        <f>SUM(AX59:AX61)</f>
        <v>0</v>
      </c>
      <c r="AY62" s="241"/>
      <c r="AZ62" s="240">
        <f>SUM(AZ59:AZ61)</f>
        <v>22</v>
      </c>
      <c r="BA62" s="240">
        <f>SUM(BA59:BA61)</f>
        <v>0</v>
      </c>
      <c r="BB62" s="240">
        <f>SUM(AZ62:BA62)</f>
        <v>22</v>
      </c>
      <c r="BC62" s="242">
        <f>(BB62+1)/(AI62+1)</f>
        <v>8.4870848708487087E-2</v>
      </c>
      <c r="BD62" s="98"/>
      <c r="BE62" s="98"/>
    </row>
    <row r="63" spans="1:60" ht="18" customHeight="1" x14ac:dyDescent="0.2">
      <c r="E63" s="118">
        <f t="shared" ref="E63:L63" si="157">SUM(E3:E62)</f>
        <v>12095</v>
      </c>
      <c r="F63" s="118">
        <f t="shared" si="157"/>
        <v>11805</v>
      </c>
      <c r="G63" s="118">
        <f t="shared" si="157"/>
        <v>11692</v>
      </c>
      <c r="H63" s="118">
        <f t="shared" si="157"/>
        <v>241</v>
      </c>
      <c r="I63" s="118">
        <f t="shared" si="157"/>
        <v>53</v>
      </c>
      <c r="J63" s="118">
        <f t="shared" si="157"/>
        <v>83</v>
      </c>
      <c r="K63" s="118">
        <f t="shared" si="157"/>
        <v>12</v>
      </c>
      <c r="L63" s="118">
        <f t="shared" si="157"/>
        <v>389</v>
      </c>
      <c r="M63" s="118"/>
      <c r="N63" s="118">
        <f>SUM(N3:N62)</f>
        <v>795</v>
      </c>
      <c r="O63" s="118"/>
      <c r="P63" s="118">
        <f>SUM(P3:P62)</f>
        <v>136</v>
      </c>
      <c r="Q63" s="118"/>
      <c r="R63" s="118">
        <f>SUM(R3:R62)</f>
        <v>30</v>
      </c>
      <c r="S63" s="118"/>
      <c r="T63" s="118">
        <f>SUM(T3:T62)</f>
        <v>14</v>
      </c>
      <c r="U63" s="118"/>
      <c r="V63" s="118">
        <f>SUM(V3:V62)</f>
        <v>963</v>
      </c>
      <c r="W63" s="118">
        <f>SUM(W3:W62)</f>
        <v>975</v>
      </c>
      <c r="X63" s="118"/>
      <c r="AC63" s="212" t="s">
        <v>288</v>
      </c>
      <c r="AD63" s="15"/>
      <c r="AE63" s="23"/>
      <c r="AF63" s="16"/>
      <c r="AG63" s="15"/>
      <c r="AH63" s="15"/>
      <c r="AI63" s="15"/>
      <c r="AJ63" s="15"/>
      <c r="AK63" s="15"/>
      <c r="AL63" s="22"/>
      <c r="AM63" s="213"/>
      <c r="AN63" s="23"/>
      <c r="AO63" s="23"/>
      <c r="AP63" s="7"/>
      <c r="AQ63" s="15"/>
      <c r="AR63" s="15"/>
      <c r="AS63" s="7"/>
      <c r="AT63" s="15"/>
      <c r="AU63" s="15"/>
      <c r="AV63" s="7"/>
      <c r="AW63" s="15"/>
      <c r="AX63" s="15"/>
      <c r="AY63" s="214"/>
      <c r="AZ63" s="215"/>
      <c r="BA63" s="10"/>
      <c r="BB63" s="7"/>
      <c r="BC63" s="7"/>
      <c r="BD63" s="7"/>
      <c r="BE63" s="7"/>
    </row>
    <row r="64" spans="1:60" ht="18" customHeight="1" x14ac:dyDescent="0.2">
      <c r="S64" s="18"/>
      <c r="AC64" s="216" t="s">
        <v>271</v>
      </c>
      <c r="AD64" s="217"/>
      <c r="AE64" s="217"/>
      <c r="AF64" s="218"/>
      <c r="AG64" s="218"/>
      <c r="AH64" s="219"/>
      <c r="AI64" s="218"/>
      <c r="AJ64" s="218"/>
      <c r="AK64" s="218"/>
      <c r="AL64" s="218"/>
      <c r="AM64" s="220" t="e">
        <f>SUM(AJ64:AL64)/AH64</f>
        <v>#DIV/0!</v>
      </c>
      <c r="AN64" s="218"/>
      <c r="AO64" s="218"/>
      <c r="AP64" s="221" t="e">
        <f>SUM(AN64:AO64)/AI64</f>
        <v>#DIV/0!</v>
      </c>
      <c r="AQ64" s="218"/>
      <c r="AR64" s="218"/>
      <c r="AS64" s="221" t="e">
        <f>(AQ64+AR64)/$AG64</f>
        <v>#DIV/0!</v>
      </c>
      <c r="AT64" s="218"/>
      <c r="AU64" s="218"/>
      <c r="AV64" s="221" t="e">
        <f>(AT64+AU64)/$AG64</f>
        <v>#DIV/0!</v>
      </c>
      <c r="AW64" s="218"/>
      <c r="AX64" s="218"/>
      <c r="AY64" s="221" t="e">
        <f>(AW64+AX64)/$AG64</f>
        <v>#DIV/0!</v>
      </c>
      <c r="AZ64" s="222">
        <f>SUM(AN64,AQ64,AT64,AW64)</f>
        <v>0</v>
      </c>
      <c r="BA64" s="222">
        <f>SUM(AO64,AR64,AU64,AX64)</f>
        <v>0</v>
      </c>
      <c r="BB64" s="222">
        <f>SUM(AZ64:BA64)</f>
        <v>0</v>
      </c>
      <c r="BC64" s="221">
        <f>(BB64+1)/(AI64+1)</f>
        <v>1</v>
      </c>
      <c r="BD64" s="223"/>
      <c r="BE64" s="223"/>
    </row>
    <row r="65" spans="4:57" ht="18" customHeight="1" x14ac:dyDescent="0.2">
      <c r="D65" s="105"/>
      <c r="F65" s="113"/>
      <c r="G65" s="19"/>
      <c r="J65" s="114"/>
      <c r="M65" s="113"/>
      <c r="N65" s="26"/>
      <c r="O65" s="19"/>
      <c r="P65" s="15"/>
      <c r="Q65" s="19"/>
      <c r="R65" s="15"/>
      <c r="S65" s="19"/>
      <c r="T65" s="15"/>
      <c r="U65" s="19"/>
      <c r="V65" s="15"/>
      <c r="AC65" s="224" t="s">
        <v>273</v>
      </c>
      <c r="AD65" s="225">
        <v>46050</v>
      </c>
      <c r="AE65" s="225">
        <v>46051</v>
      </c>
      <c r="AF65" s="226">
        <v>1</v>
      </c>
      <c r="AG65" s="226">
        <v>292</v>
      </c>
      <c r="AH65" s="227">
        <v>292</v>
      </c>
      <c r="AI65" s="226">
        <v>293</v>
      </c>
      <c r="AJ65" s="226"/>
      <c r="AK65" s="226"/>
      <c r="AL65" s="226"/>
      <c r="AM65" s="228">
        <f t="shared" ref="AM65:AM66" si="158">SUM(AJ65:AL65)/AH65</f>
        <v>0</v>
      </c>
      <c r="AN65" s="226">
        <v>14</v>
      </c>
      <c r="AO65" s="226">
        <v>0</v>
      </c>
      <c r="AP65" s="229">
        <f t="shared" ref="AP65:AP66" si="159">SUM(AN65:AO65)/AI65</f>
        <v>4.778156996587031E-2</v>
      </c>
      <c r="AQ65" s="226">
        <v>4</v>
      </c>
      <c r="AR65" s="226">
        <v>0</v>
      </c>
      <c r="AS65" s="229">
        <f>(AQ65+AR65)/$AG65</f>
        <v>1.3698630136986301E-2</v>
      </c>
      <c r="AT65" s="226">
        <v>0</v>
      </c>
      <c r="AU65" s="226">
        <v>0</v>
      </c>
      <c r="AV65" s="229">
        <f>(AT65+AU65)/$AG65</f>
        <v>0</v>
      </c>
      <c r="AW65" s="226">
        <v>0</v>
      </c>
      <c r="AX65" s="226">
        <v>0</v>
      </c>
      <c r="AY65" s="229">
        <f>(AW65+AX65)/$AG65</f>
        <v>0</v>
      </c>
      <c r="AZ65" s="230">
        <f t="shared" ref="AZ65:BA66" si="160">SUM(AN65,AQ65,AT65,AW65)</f>
        <v>18</v>
      </c>
      <c r="BA65" s="230">
        <f t="shared" si="160"/>
        <v>0</v>
      </c>
      <c r="BB65" s="230">
        <f t="shared" ref="BB65:BB66" si="161">SUM(AZ65:BA65)</f>
        <v>18</v>
      </c>
      <c r="BC65" s="229">
        <f t="shared" ref="BC65:BC66" si="162">(BB65+1)/(AI65+1)</f>
        <v>6.4625850340136057E-2</v>
      </c>
      <c r="BD65" s="231" t="s">
        <v>274</v>
      </c>
      <c r="BE65" s="231" t="s">
        <v>268</v>
      </c>
    </row>
    <row r="66" spans="4:57" ht="18" customHeight="1" x14ac:dyDescent="0.3">
      <c r="D66" s="105"/>
      <c r="E66" s="107" t="s">
        <v>289</v>
      </c>
      <c r="F66" s="122"/>
      <c r="G66" s="123"/>
      <c r="H66" s="124"/>
      <c r="I66" s="124"/>
      <c r="J66" s="124"/>
      <c r="K66" s="124"/>
      <c r="L66" s="125"/>
      <c r="M66" s="125"/>
      <c r="N66" s="12"/>
      <c r="O66" s="123"/>
      <c r="P66" s="13"/>
      <c r="Q66" s="123"/>
      <c r="R66" s="13"/>
      <c r="S66" s="123"/>
      <c r="T66" s="14"/>
      <c r="U66" s="131"/>
      <c r="V66" s="15"/>
      <c r="AC66" s="232" t="s">
        <v>275</v>
      </c>
      <c r="AD66" s="233"/>
      <c r="AE66" s="233"/>
      <c r="AF66" s="234"/>
      <c r="AG66" s="234"/>
      <c r="AH66" s="235"/>
      <c r="AI66" s="234"/>
      <c r="AJ66" s="234"/>
      <c r="AK66" s="234"/>
      <c r="AL66" s="234"/>
      <c r="AM66" s="236" t="e">
        <f t="shared" si="158"/>
        <v>#DIV/0!</v>
      </c>
      <c r="AN66" s="234"/>
      <c r="AO66" s="234"/>
      <c r="AP66" s="237" t="e">
        <f t="shared" si="159"/>
        <v>#DIV/0!</v>
      </c>
      <c r="AQ66" s="234"/>
      <c r="AR66" s="234"/>
      <c r="AS66" s="237" t="e">
        <f>(AQ66+AR66)/$AG66</f>
        <v>#DIV/0!</v>
      </c>
      <c r="AT66" s="234"/>
      <c r="AU66" s="234"/>
      <c r="AV66" s="237" t="e">
        <f>(AT66+AU66)/$AG66</f>
        <v>#DIV/0!</v>
      </c>
      <c r="AW66" s="234"/>
      <c r="AX66" s="234"/>
      <c r="AY66" s="237" t="e">
        <f>(AW66+AX66)/$AG66</f>
        <v>#DIV/0!</v>
      </c>
      <c r="AZ66" s="238">
        <f t="shared" si="160"/>
        <v>0</v>
      </c>
      <c r="BA66" s="238">
        <f t="shared" si="160"/>
        <v>0</v>
      </c>
      <c r="BB66" s="238">
        <f t="shared" si="161"/>
        <v>0</v>
      </c>
      <c r="BC66" s="237">
        <f t="shared" si="162"/>
        <v>1</v>
      </c>
      <c r="BD66" s="239"/>
      <c r="BE66" s="239"/>
    </row>
    <row r="67" spans="4:57" ht="18" customHeight="1" x14ac:dyDescent="0.3">
      <c r="D67" s="105"/>
      <c r="E67" s="137" t="s">
        <v>228</v>
      </c>
      <c r="F67" s="138"/>
      <c r="G67" s="139"/>
      <c r="H67" s="140"/>
      <c r="I67" s="141"/>
      <c r="J67" s="141"/>
      <c r="K67" s="141"/>
      <c r="L67" s="142"/>
      <c r="M67" s="139"/>
      <c r="N67" s="143"/>
      <c r="O67" s="139"/>
      <c r="P67" s="143"/>
      <c r="Q67" s="139"/>
      <c r="R67" s="144"/>
      <c r="S67" s="145"/>
      <c r="T67" s="18"/>
      <c r="U67" s="132"/>
      <c r="V67" s="15"/>
      <c r="AC67" s="7"/>
      <c r="AG67" s="240">
        <f>SUM(AG64:AG66)</f>
        <v>292</v>
      </c>
      <c r="AH67" s="240">
        <f>SUM(AH64:AH66)</f>
        <v>292</v>
      </c>
      <c r="AI67" s="240">
        <f t="shared" ref="AI67:AL67" si="163">SUM(AI64:AI66)</f>
        <v>293</v>
      </c>
      <c r="AJ67" s="240">
        <f t="shared" si="163"/>
        <v>0</v>
      </c>
      <c r="AK67" s="240">
        <f t="shared" si="163"/>
        <v>0</v>
      </c>
      <c r="AL67" s="240">
        <f t="shared" si="163"/>
        <v>0</v>
      </c>
      <c r="AM67" s="135"/>
      <c r="AN67" s="240">
        <f>SUM(AN64:AN66)</f>
        <v>14</v>
      </c>
      <c r="AO67" s="240">
        <f>SUM(AO64:AO66)</f>
        <v>0</v>
      </c>
      <c r="AP67" s="241"/>
      <c r="AQ67" s="240">
        <f>SUM(AQ64:AQ66)</f>
        <v>4</v>
      </c>
      <c r="AR67" s="240">
        <f>SUM(AR64:AR66)</f>
        <v>0</v>
      </c>
      <c r="AS67" s="241"/>
      <c r="AT67" s="240">
        <f>SUM(AT64:AT66)</f>
        <v>0</v>
      </c>
      <c r="AU67" s="240">
        <f>SUM(AU64:AU66)</f>
        <v>0</v>
      </c>
      <c r="AV67" s="241"/>
      <c r="AW67" s="240">
        <f>SUM(AW64:AW66)</f>
        <v>0</v>
      </c>
      <c r="AX67" s="240">
        <f>SUM(AX64:AX66)</f>
        <v>0</v>
      </c>
      <c r="AY67" s="241"/>
      <c r="AZ67" s="240">
        <f>SUM(AZ64:AZ66)</f>
        <v>18</v>
      </c>
      <c r="BA67" s="240">
        <f>SUM(BA64:BA66)</f>
        <v>0</v>
      </c>
      <c r="BB67" s="240">
        <f>SUM(AZ67:BA67)</f>
        <v>18</v>
      </c>
      <c r="BC67" s="242">
        <f>(BB67+1)/(AI67+1)</f>
        <v>6.4625850340136057E-2</v>
      </c>
      <c r="BD67" s="98"/>
      <c r="BE67" s="98"/>
    </row>
    <row r="68" spans="4:57" ht="18" customHeight="1" x14ac:dyDescent="0.2">
      <c r="D68" s="105"/>
      <c r="E68" s="19"/>
      <c r="F68" s="114"/>
      <c r="I68" s="113"/>
      <c r="L68" s="26"/>
      <c r="M68" s="19"/>
      <c r="N68" s="18"/>
      <c r="O68" s="19"/>
      <c r="P68" s="18"/>
      <c r="Q68" s="19"/>
      <c r="R68" s="18"/>
      <c r="S68" s="19"/>
      <c r="T68" s="18"/>
      <c r="U68" s="132"/>
      <c r="V68" s="15"/>
      <c r="AC68" s="212" t="s">
        <v>290</v>
      </c>
      <c r="AD68" s="15"/>
      <c r="AE68" s="23"/>
      <c r="AF68" s="16"/>
      <c r="AG68" s="15"/>
      <c r="AH68" s="15"/>
      <c r="AI68" s="15"/>
      <c r="AJ68" s="15"/>
      <c r="AK68" s="15"/>
      <c r="AL68" s="22"/>
      <c r="AM68" s="213"/>
      <c r="AN68" s="23"/>
      <c r="AO68" s="23"/>
      <c r="AP68" s="7"/>
      <c r="AQ68" s="15"/>
      <c r="AR68" s="15"/>
      <c r="AS68" s="7"/>
      <c r="AT68" s="15"/>
      <c r="AU68" s="15"/>
      <c r="AV68" s="7"/>
      <c r="AW68" s="15"/>
      <c r="AX68" s="15"/>
      <c r="AY68" s="214"/>
      <c r="AZ68" s="215"/>
      <c r="BA68" s="10"/>
      <c r="BB68" s="7"/>
      <c r="BC68" s="7"/>
      <c r="BD68" s="7"/>
      <c r="BE68" s="7"/>
    </row>
    <row r="69" spans="4:57" ht="18" customHeight="1" x14ac:dyDescent="0.2">
      <c r="D69" s="105"/>
      <c r="E69" s="19"/>
      <c r="F69" s="114"/>
      <c r="H69" s="116" t="s">
        <v>291</v>
      </c>
      <c r="I69" s="3" t="s">
        <v>292</v>
      </c>
      <c r="J69" s="116" t="s">
        <v>293</v>
      </c>
      <c r="K69" s="115"/>
      <c r="L69" s="115"/>
      <c r="M69" s="115"/>
      <c r="N69" s="115"/>
      <c r="O69" s="115"/>
      <c r="P69" s="115"/>
      <c r="Q69" s="19"/>
      <c r="R69" s="15"/>
      <c r="S69" s="19"/>
      <c r="T69" s="31"/>
      <c r="U69" s="133"/>
      <c r="V69" s="15"/>
      <c r="AC69" s="216" t="s">
        <v>271</v>
      </c>
      <c r="AD69" s="217"/>
      <c r="AE69" s="217"/>
      <c r="AF69" s="218"/>
      <c r="AG69" s="218"/>
      <c r="AH69" s="219"/>
      <c r="AI69" s="218"/>
      <c r="AJ69" s="218"/>
      <c r="AK69" s="218"/>
      <c r="AL69" s="218"/>
      <c r="AM69" s="220" t="e">
        <f>SUM(AJ69:AL69)/AH69</f>
        <v>#DIV/0!</v>
      </c>
      <c r="AN69" s="218"/>
      <c r="AO69" s="218"/>
      <c r="AP69" s="221" t="e">
        <f>SUM(AN69:AO69)/AI69</f>
        <v>#DIV/0!</v>
      </c>
      <c r="AQ69" s="218"/>
      <c r="AR69" s="218"/>
      <c r="AS69" s="221" t="e">
        <f>(AQ69+AR69)/$AG69</f>
        <v>#DIV/0!</v>
      </c>
      <c r="AT69" s="218"/>
      <c r="AU69" s="218"/>
      <c r="AV69" s="221" t="e">
        <f>(AT69+AU69)/$AG69</f>
        <v>#DIV/0!</v>
      </c>
      <c r="AW69" s="218"/>
      <c r="AX69" s="218"/>
      <c r="AY69" s="221" t="e">
        <f>(AW69+AX69)/$AG69</f>
        <v>#DIV/0!</v>
      </c>
      <c r="AZ69" s="222">
        <f>SUM(AN69,AQ69,AT69,AW69)</f>
        <v>0</v>
      </c>
      <c r="BA69" s="222">
        <f>SUM(AO69,AR69,AU69,AX69)</f>
        <v>0</v>
      </c>
      <c r="BB69" s="222">
        <f>SUM(AZ69:BA69)</f>
        <v>0</v>
      </c>
      <c r="BC69" s="221">
        <f>(BB69+1)/(AI69+1)</f>
        <v>1</v>
      </c>
      <c r="BD69" s="223"/>
      <c r="BE69" s="223"/>
    </row>
    <row r="70" spans="4:57" ht="18" customHeight="1" x14ac:dyDescent="0.2">
      <c r="D70" s="105"/>
      <c r="E70" s="118"/>
      <c r="F70" s="114"/>
      <c r="H70" s="119">
        <f>ROUND(AVERAGE(G3:G43),0)</f>
        <v>274</v>
      </c>
      <c r="I70" s="5">
        <f>ROUND(AVERAGE(W3:W43),0)</f>
        <v>23</v>
      </c>
      <c r="J70" s="148">
        <f>(I70+1)/(H70+1)</f>
        <v>8.727272727272728E-2</v>
      </c>
      <c r="K70" s="115"/>
      <c r="L70" s="115"/>
      <c r="M70" s="115"/>
      <c r="N70" s="115"/>
      <c r="O70" s="115"/>
      <c r="P70" s="115"/>
      <c r="Q70" s="19"/>
      <c r="R70" s="15"/>
      <c r="S70" s="19"/>
      <c r="T70" s="15"/>
      <c r="U70" s="132"/>
      <c r="V70" s="15"/>
      <c r="AC70" s="224" t="s">
        <v>273</v>
      </c>
      <c r="AD70" s="225">
        <v>46054</v>
      </c>
      <c r="AE70" s="225">
        <v>46055</v>
      </c>
      <c r="AF70" s="226">
        <v>4</v>
      </c>
      <c r="AG70" s="226">
        <v>245</v>
      </c>
      <c r="AH70" s="227">
        <v>245</v>
      </c>
      <c r="AI70" s="226">
        <v>244</v>
      </c>
      <c r="AJ70" s="226">
        <v>0</v>
      </c>
      <c r="AK70" s="226">
        <v>0</v>
      </c>
      <c r="AL70" s="226">
        <v>1</v>
      </c>
      <c r="AM70" s="228">
        <f t="shared" ref="AM70:AM71" si="164">SUM(AJ70:AL70)/AH70</f>
        <v>4.0816326530612249E-3</v>
      </c>
      <c r="AN70" s="226">
        <v>19</v>
      </c>
      <c r="AO70" s="226">
        <v>0</v>
      </c>
      <c r="AP70" s="229">
        <f t="shared" ref="AP70:AP71" si="165">SUM(AN70:AO70)/AI70</f>
        <v>7.7868852459016397E-2</v>
      </c>
      <c r="AQ70" s="226">
        <v>4</v>
      </c>
      <c r="AR70" s="226">
        <v>0</v>
      </c>
      <c r="AS70" s="229">
        <f>(AQ70+AR70)/$AG70</f>
        <v>1.6326530612244899E-2</v>
      </c>
      <c r="AT70" s="226">
        <v>2</v>
      </c>
      <c r="AU70" s="226">
        <v>0</v>
      </c>
      <c r="AV70" s="229">
        <f>(AT70+AU70)/$AG70</f>
        <v>8.1632653061224497E-3</v>
      </c>
      <c r="AW70" s="226">
        <v>0</v>
      </c>
      <c r="AX70" s="226">
        <v>0</v>
      </c>
      <c r="AY70" s="229">
        <f>(AW70+AX70)/$AG70</f>
        <v>0</v>
      </c>
      <c r="AZ70" s="230">
        <f t="shared" ref="AZ70:BA71" si="166">SUM(AN70,AQ70,AT70,AW70)</f>
        <v>25</v>
      </c>
      <c r="BA70" s="230">
        <f t="shared" si="166"/>
        <v>0</v>
      </c>
      <c r="BB70" s="230">
        <f t="shared" ref="BB70:BB71" si="167">SUM(AZ70:BA70)</f>
        <v>25</v>
      </c>
      <c r="BC70" s="229">
        <f t="shared" ref="BC70:BC71" si="168">(BB70+1)/(AI70+1)</f>
        <v>0.10612244897959183</v>
      </c>
      <c r="BD70" s="231" t="s">
        <v>274</v>
      </c>
      <c r="BE70" s="231" t="s">
        <v>268</v>
      </c>
    </row>
    <row r="71" spans="4:57" ht="18" customHeight="1" x14ac:dyDescent="0.2">
      <c r="D71" s="105"/>
      <c r="E71" s="19"/>
      <c r="F71" s="114"/>
      <c r="H71" s="120" t="s">
        <v>294</v>
      </c>
      <c r="I71" s="115"/>
      <c r="J71" s="120"/>
      <c r="K71" s="115"/>
      <c r="L71" s="115"/>
      <c r="M71" s="115"/>
      <c r="N71" s="115"/>
      <c r="O71" s="115"/>
      <c r="P71" s="115"/>
      <c r="Q71" s="19"/>
      <c r="R71" s="15"/>
      <c r="S71" s="19"/>
      <c r="T71" s="15"/>
      <c r="U71" s="132"/>
      <c r="V71" s="15"/>
      <c r="AC71" s="232" t="s">
        <v>275</v>
      </c>
      <c r="AD71" s="233"/>
      <c r="AE71" s="233"/>
      <c r="AF71" s="234"/>
      <c r="AG71" s="234"/>
      <c r="AH71" s="235"/>
      <c r="AI71" s="234"/>
      <c r="AJ71" s="234"/>
      <c r="AK71" s="234"/>
      <c r="AL71" s="234"/>
      <c r="AM71" s="236" t="e">
        <f t="shared" si="164"/>
        <v>#DIV/0!</v>
      </c>
      <c r="AN71" s="234"/>
      <c r="AO71" s="234"/>
      <c r="AP71" s="237" t="e">
        <f t="shared" si="165"/>
        <v>#DIV/0!</v>
      </c>
      <c r="AQ71" s="234"/>
      <c r="AR71" s="234"/>
      <c r="AS71" s="237" t="e">
        <f>(AQ71+AR71)/$AG71</f>
        <v>#DIV/0!</v>
      </c>
      <c r="AT71" s="234"/>
      <c r="AU71" s="234"/>
      <c r="AV71" s="237" t="e">
        <f>(AT71+AU71)/$AG71</f>
        <v>#DIV/0!</v>
      </c>
      <c r="AW71" s="234"/>
      <c r="AX71" s="234"/>
      <c r="AY71" s="237" t="e">
        <f>(AW71+AX71)/$AG71</f>
        <v>#DIV/0!</v>
      </c>
      <c r="AZ71" s="238">
        <f t="shared" si="166"/>
        <v>0</v>
      </c>
      <c r="BA71" s="238">
        <f t="shared" si="166"/>
        <v>0</v>
      </c>
      <c r="BB71" s="238">
        <f t="shared" si="167"/>
        <v>0</v>
      </c>
      <c r="BC71" s="237">
        <f t="shared" si="168"/>
        <v>1</v>
      </c>
      <c r="BD71" s="239"/>
      <c r="BE71" s="239"/>
    </row>
    <row r="72" spans="4:57" ht="18" customHeight="1" x14ac:dyDescent="0.2">
      <c r="D72" s="105"/>
      <c r="F72" s="113"/>
      <c r="G72" s="19"/>
      <c r="J72" s="114"/>
      <c r="M72" s="113"/>
      <c r="N72" s="26"/>
      <c r="O72" s="19"/>
      <c r="P72" s="15"/>
      <c r="Q72" s="19"/>
      <c r="R72" s="15"/>
      <c r="S72" s="19"/>
      <c r="T72" s="15"/>
      <c r="U72" s="19"/>
      <c r="V72" s="15"/>
      <c r="AC72" s="7"/>
      <c r="AG72" s="240">
        <f>SUM(AG69:AG71)</f>
        <v>245</v>
      </c>
      <c r="AH72" s="240">
        <f>SUM(AH69:AH71)</f>
        <v>245</v>
      </c>
      <c r="AI72" s="240">
        <f t="shared" ref="AI72:AL72" si="169">SUM(AI69:AI71)</f>
        <v>244</v>
      </c>
      <c r="AJ72" s="240">
        <f t="shared" si="169"/>
        <v>0</v>
      </c>
      <c r="AK72" s="240">
        <f t="shared" si="169"/>
        <v>0</v>
      </c>
      <c r="AL72" s="240">
        <f t="shared" si="169"/>
        <v>1</v>
      </c>
      <c r="AM72" s="135"/>
      <c r="AN72" s="240">
        <f>SUM(AN69:AN71)</f>
        <v>19</v>
      </c>
      <c r="AO72" s="240">
        <f>SUM(AO69:AO71)</f>
        <v>0</v>
      </c>
      <c r="AP72" s="241"/>
      <c r="AQ72" s="240">
        <f>SUM(AQ69:AQ71)</f>
        <v>4</v>
      </c>
      <c r="AR72" s="240">
        <f>SUM(AR69:AR71)</f>
        <v>0</v>
      </c>
      <c r="AS72" s="241"/>
      <c r="AT72" s="240">
        <f>SUM(AT69:AT71)</f>
        <v>2</v>
      </c>
      <c r="AU72" s="240">
        <f>SUM(AU69:AU71)</f>
        <v>0</v>
      </c>
      <c r="AV72" s="241"/>
      <c r="AW72" s="240">
        <f>SUM(AW69:AW71)</f>
        <v>0</v>
      </c>
      <c r="AX72" s="240">
        <f>SUM(AX69:AX71)</f>
        <v>0</v>
      </c>
      <c r="AY72" s="241"/>
      <c r="AZ72" s="240">
        <f>SUM(AZ69:AZ71)</f>
        <v>25</v>
      </c>
      <c r="BA72" s="240">
        <f>SUM(BA69:BA71)</f>
        <v>0</v>
      </c>
      <c r="BB72" s="240">
        <f>SUM(AZ72:BA72)</f>
        <v>25</v>
      </c>
      <c r="BC72" s="242">
        <f>(BB72+1)/(AI72+1)</f>
        <v>0.10612244897959183</v>
      </c>
      <c r="BD72" s="98"/>
      <c r="BE72" s="98"/>
    </row>
    <row r="73" spans="4:57" ht="18" customHeight="1" x14ac:dyDescent="0.2">
      <c r="D73" s="105"/>
      <c r="F73" s="113"/>
      <c r="G73" s="19"/>
      <c r="J73" s="114"/>
      <c r="M73" s="113"/>
      <c r="N73" s="26"/>
      <c r="O73" s="19"/>
      <c r="P73" s="15"/>
      <c r="Q73" s="19"/>
      <c r="R73" s="15"/>
      <c r="S73" s="19"/>
      <c r="T73" s="15"/>
      <c r="U73" s="19"/>
      <c r="V73" s="15"/>
      <c r="AC73" s="212" t="s">
        <v>295</v>
      </c>
      <c r="AD73" s="15"/>
      <c r="AE73" s="23"/>
      <c r="AF73" s="16"/>
      <c r="AG73" s="15"/>
      <c r="AH73" s="15"/>
      <c r="AI73" s="15"/>
      <c r="AJ73" s="15"/>
      <c r="AK73" s="15"/>
      <c r="AL73" s="22"/>
      <c r="AM73" s="213"/>
      <c r="AN73" s="23"/>
      <c r="AO73" s="23"/>
      <c r="AP73" s="7"/>
      <c r="AQ73" s="15"/>
      <c r="AR73" s="15"/>
      <c r="AS73" s="7"/>
      <c r="AT73" s="15"/>
      <c r="AU73" s="15"/>
      <c r="AV73" s="7"/>
      <c r="AW73" s="15"/>
      <c r="AX73" s="15"/>
      <c r="AY73" s="214"/>
      <c r="AZ73" s="215"/>
      <c r="BA73" s="10"/>
      <c r="BB73" s="7"/>
      <c r="BC73" s="7"/>
      <c r="BD73" s="7"/>
      <c r="BE73" s="7"/>
    </row>
    <row r="74" spans="4:57" ht="18" customHeight="1" x14ac:dyDescent="0.2">
      <c r="F74" s="129"/>
      <c r="G74" s="130"/>
      <c r="H74" s="130"/>
      <c r="I74" s="130"/>
      <c r="J74" s="129"/>
      <c r="K74" s="129"/>
      <c r="L74" s="129"/>
      <c r="AC74" s="216" t="s">
        <v>271</v>
      </c>
      <c r="AD74" s="403"/>
      <c r="AE74" s="400"/>
      <c r="AF74" s="406"/>
      <c r="AG74" s="218"/>
      <c r="AH74" s="219"/>
      <c r="AI74" s="218"/>
      <c r="AJ74" s="218"/>
      <c r="AK74" s="218"/>
      <c r="AL74" s="218"/>
      <c r="AM74" s="220" t="e">
        <f>SUM(AJ74:AL74)/AH74</f>
        <v>#DIV/0!</v>
      </c>
      <c r="AN74" s="218"/>
      <c r="AO74" s="218"/>
      <c r="AP74" s="221" t="e">
        <f>SUM(AN74:AO74)/AI74</f>
        <v>#DIV/0!</v>
      </c>
      <c r="AQ74" s="218"/>
      <c r="AR74" s="218"/>
      <c r="AS74" s="221" t="e">
        <f>(AQ74+AR74)/$AG74</f>
        <v>#DIV/0!</v>
      </c>
      <c r="AT74" s="218"/>
      <c r="AU74" s="218"/>
      <c r="AV74" s="221" t="e">
        <f>(AT74+AU74)/$AG74</f>
        <v>#DIV/0!</v>
      </c>
      <c r="AW74" s="218"/>
      <c r="AX74" s="218"/>
      <c r="AY74" s="221" t="e">
        <f>(AW74+AX74)/$AG74</f>
        <v>#DIV/0!</v>
      </c>
      <c r="AZ74" s="222">
        <f>SUM(AN74,AQ74,AT74,AW74)</f>
        <v>0</v>
      </c>
      <c r="BA74" s="222">
        <f>SUM(AO74,AR74,AU74,AX74)</f>
        <v>0</v>
      </c>
      <c r="BB74" s="222">
        <f>SUM(AZ74:BA74)</f>
        <v>0</v>
      </c>
      <c r="BC74" s="221">
        <f>(BB74+1)/(AI74+1)</f>
        <v>1</v>
      </c>
      <c r="BD74" s="223"/>
      <c r="BE74" s="223"/>
    </row>
    <row r="75" spans="4:57" ht="18" customHeight="1" x14ac:dyDescent="0.2">
      <c r="F75" s="129"/>
      <c r="G75" s="130"/>
      <c r="H75" s="130"/>
      <c r="I75" s="130"/>
      <c r="J75" s="129"/>
      <c r="K75" s="129"/>
      <c r="L75" s="129"/>
      <c r="AC75" s="224" t="s">
        <v>273</v>
      </c>
      <c r="AD75" s="404"/>
      <c r="AE75" s="401"/>
      <c r="AF75" s="407"/>
      <c r="AG75" s="226"/>
      <c r="AH75" s="227"/>
      <c r="AI75" s="226"/>
      <c r="AJ75" s="226"/>
      <c r="AK75" s="226"/>
      <c r="AL75" s="226"/>
      <c r="AM75" s="228" t="e">
        <f t="shared" ref="AM75:AM76" si="170">SUM(AJ75:AL75)/AH75</f>
        <v>#DIV/0!</v>
      </c>
      <c r="AN75" s="226"/>
      <c r="AO75" s="226"/>
      <c r="AP75" s="229" t="e">
        <f t="shared" ref="AP75:AP76" si="171">SUM(AN75:AO75)/AI75</f>
        <v>#DIV/0!</v>
      </c>
      <c r="AQ75" s="226"/>
      <c r="AR75" s="226"/>
      <c r="AS75" s="229" t="e">
        <f>(AQ75+AR75)/$AG75</f>
        <v>#DIV/0!</v>
      </c>
      <c r="AT75" s="226"/>
      <c r="AU75" s="226"/>
      <c r="AV75" s="229" t="e">
        <f>(AT75+AU75)/$AG75</f>
        <v>#DIV/0!</v>
      </c>
      <c r="AW75" s="226"/>
      <c r="AX75" s="226"/>
      <c r="AY75" s="229" t="e">
        <f>(AW75+AX75)/$AG75</f>
        <v>#DIV/0!</v>
      </c>
      <c r="AZ75" s="230">
        <f t="shared" ref="AZ75:BA76" si="172">SUM(AN75,AQ75,AT75,AW75)</f>
        <v>0</v>
      </c>
      <c r="BA75" s="230">
        <f t="shared" si="172"/>
        <v>0</v>
      </c>
      <c r="BB75" s="230">
        <f t="shared" ref="BB75:BB76" si="173">SUM(AZ75:BA75)</f>
        <v>0</v>
      </c>
      <c r="BC75" s="229">
        <f t="shared" ref="BC75:BC76" si="174">(BB75+1)/(AI75+1)</f>
        <v>1</v>
      </c>
      <c r="BD75" s="231"/>
      <c r="BE75" s="231"/>
    </row>
    <row r="76" spans="4:57" ht="18" customHeight="1" x14ac:dyDescent="0.2">
      <c r="AC76" s="232" t="s">
        <v>275</v>
      </c>
      <c r="AD76" s="405">
        <v>46054</v>
      </c>
      <c r="AE76" s="402">
        <v>46055</v>
      </c>
      <c r="AF76" s="408">
        <v>4</v>
      </c>
      <c r="AG76" s="234">
        <v>256</v>
      </c>
      <c r="AH76" s="235">
        <v>254</v>
      </c>
      <c r="AI76" s="234">
        <v>254</v>
      </c>
      <c r="AJ76" s="234">
        <v>2</v>
      </c>
      <c r="AK76" s="234">
        <v>0</v>
      </c>
      <c r="AL76" s="234">
        <v>0</v>
      </c>
      <c r="AM76" s="236">
        <f t="shared" si="170"/>
        <v>7.874015748031496E-3</v>
      </c>
      <c r="AN76" s="234">
        <v>20</v>
      </c>
      <c r="AO76" s="234">
        <v>0</v>
      </c>
      <c r="AP76" s="237">
        <f t="shared" si="171"/>
        <v>7.874015748031496E-2</v>
      </c>
      <c r="AQ76" s="234">
        <v>3</v>
      </c>
      <c r="AR76" s="234">
        <v>0</v>
      </c>
      <c r="AS76" s="237">
        <f>(AQ76+AR76)/$AG76</f>
        <v>1.171875E-2</v>
      </c>
      <c r="AT76" s="234">
        <v>0</v>
      </c>
      <c r="AU76" s="234">
        <v>0</v>
      </c>
      <c r="AV76" s="237">
        <f>(AT76+AU76)/$AG76</f>
        <v>0</v>
      </c>
      <c r="AW76" s="234">
        <v>0</v>
      </c>
      <c r="AX76" s="234">
        <v>0</v>
      </c>
      <c r="AY76" s="237">
        <f>(AW76+AX76)/$AG76</f>
        <v>0</v>
      </c>
      <c r="AZ76" s="238">
        <f t="shared" si="172"/>
        <v>23</v>
      </c>
      <c r="BA76" s="238">
        <f t="shared" si="172"/>
        <v>0</v>
      </c>
      <c r="BB76" s="238">
        <f t="shared" si="173"/>
        <v>23</v>
      </c>
      <c r="BC76" s="237">
        <f t="shared" si="174"/>
        <v>9.4117647058823528E-2</v>
      </c>
      <c r="BD76" s="239" t="s">
        <v>274</v>
      </c>
      <c r="BE76" s="239" t="s">
        <v>268</v>
      </c>
    </row>
    <row r="77" spans="4:57" ht="18" customHeight="1" x14ac:dyDescent="0.2">
      <c r="AC77" s="7"/>
      <c r="AG77" s="240">
        <f>SUM(AG74:AG76)</f>
        <v>256</v>
      </c>
      <c r="AH77" s="240">
        <f>SUM(AH74:AH76)</f>
        <v>254</v>
      </c>
      <c r="AI77" s="240">
        <f t="shared" ref="AI77:AL77" si="175">SUM(AI74:AI76)</f>
        <v>254</v>
      </c>
      <c r="AJ77" s="240">
        <f t="shared" si="175"/>
        <v>2</v>
      </c>
      <c r="AK77" s="240">
        <f t="shared" si="175"/>
        <v>0</v>
      </c>
      <c r="AL77" s="240">
        <f t="shared" si="175"/>
        <v>0</v>
      </c>
      <c r="AM77" s="135"/>
      <c r="AN77" s="240">
        <f>SUM(AN74:AN76)</f>
        <v>20</v>
      </c>
      <c r="AO77" s="240">
        <f>SUM(AO74:AO76)</f>
        <v>0</v>
      </c>
      <c r="AP77" s="241"/>
      <c r="AQ77" s="240">
        <f>SUM(AQ74:AQ76)</f>
        <v>3</v>
      </c>
      <c r="AR77" s="240">
        <f>SUM(AR74:AR76)</f>
        <v>0</v>
      </c>
      <c r="AS77" s="241"/>
      <c r="AT77" s="240">
        <f>SUM(AT74:AT76)</f>
        <v>0</v>
      </c>
      <c r="AU77" s="240">
        <f>SUM(AU74:AU76)</f>
        <v>0</v>
      </c>
      <c r="AV77" s="241"/>
      <c r="AW77" s="240">
        <f>SUM(AW74:AW76)</f>
        <v>0</v>
      </c>
      <c r="AX77" s="240">
        <f>SUM(AX74:AX76)</f>
        <v>0</v>
      </c>
      <c r="AY77" s="241"/>
      <c r="AZ77" s="240">
        <f>SUM(AZ74:AZ76)</f>
        <v>23</v>
      </c>
      <c r="BA77" s="240">
        <f>SUM(BA74:BA76)</f>
        <v>0</v>
      </c>
      <c r="BB77" s="240">
        <f>SUM(AZ77:BA77)</f>
        <v>23</v>
      </c>
      <c r="BC77" s="242">
        <f>(BB77+1)/(AI77+1)</f>
        <v>9.4117647058823528E-2</v>
      </c>
      <c r="BD77" s="98"/>
      <c r="BE77" s="98"/>
    </row>
    <row r="78" spans="4:57" ht="18" customHeight="1" x14ac:dyDescent="0.2">
      <c r="AC78" s="212" t="s">
        <v>296</v>
      </c>
      <c r="AD78" s="15"/>
      <c r="AE78" s="23"/>
      <c r="AF78" s="16"/>
      <c r="AG78" s="15"/>
      <c r="AH78" s="15"/>
      <c r="AI78" s="15"/>
      <c r="AJ78" s="15"/>
      <c r="AK78" s="15"/>
      <c r="AL78" s="22"/>
      <c r="AM78" s="213"/>
      <c r="AN78" s="23"/>
      <c r="AO78" s="23"/>
      <c r="AP78" s="7"/>
      <c r="AQ78" s="15"/>
      <c r="AR78" s="15"/>
      <c r="AS78" s="7"/>
      <c r="AT78" s="15"/>
      <c r="AU78" s="15"/>
      <c r="AV78" s="7"/>
      <c r="AW78" s="15"/>
      <c r="AX78" s="15"/>
      <c r="AY78" s="214"/>
      <c r="AZ78" s="215"/>
      <c r="BA78" s="10"/>
      <c r="BB78" s="7"/>
      <c r="BC78" s="7"/>
      <c r="BD78" s="7"/>
      <c r="BE78" s="7"/>
    </row>
    <row r="79" spans="4:57" ht="18" customHeight="1" x14ac:dyDescent="0.2">
      <c r="AC79" s="216" t="s">
        <v>271</v>
      </c>
      <c r="AD79" s="217"/>
      <c r="AE79" s="217"/>
      <c r="AF79" s="218"/>
      <c r="AG79" s="218"/>
      <c r="AH79" s="219"/>
      <c r="AI79" s="218"/>
      <c r="AJ79" s="218"/>
      <c r="AK79" s="218"/>
      <c r="AL79" s="218"/>
      <c r="AM79" s="220" t="e">
        <f>SUM(AJ79:AL79)/AH79</f>
        <v>#DIV/0!</v>
      </c>
      <c r="AN79" s="218"/>
      <c r="AO79" s="218"/>
      <c r="AP79" s="221" t="e">
        <f>SUM(AN79:AO79)/AI79</f>
        <v>#DIV/0!</v>
      </c>
      <c r="AQ79" s="218"/>
      <c r="AR79" s="218"/>
      <c r="AS79" s="221" t="e">
        <f>(AQ79+AR79)/$AG79</f>
        <v>#DIV/0!</v>
      </c>
      <c r="AT79" s="218"/>
      <c r="AU79" s="218"/>
      <c r="AV79" s="221" t="e">
        <f>(AT79+AU79)/$AG79</f>
        <v>#DIV/0!</v>
      </c>
      <c r="AW79" s="218"/>
      <c r="AX79" s="218"/>
      <c r="AY79" s="221" t="e">
        <f>(AW79+AX79)/$AG79</f>
        <v>#DIV/0!</v>
      </c>
      <c r="AZ79" s="222">
        <f>SUM(AN79,AQ79,AT79,AW79)</f>
        <v>0</v>
      </c>
      <c r="BA79" s="222">
        <f>SUM(AO79,AR79,AU79,AX79)</f>
        <v>0</v>
      </c>
      <c r="BB79" s="222">
        <f>SUM(AZ79:BA79)</f>
        <v>0</v>
      </c>
      <c r="BC79" s="221">
        <f>(BB79+1)/(AI79+1)</f>
        <v>1</v>
      </c>
      <c r="BD79" s="223"/>
      <c r="BE79" s="223"/>
    </row>
    <row r="80" spans="4:57" ht="18" customHeight="1" x14ac:dyDescent="0.2">
      <c r="AC80" s="224" t="s">
        <v>273</v>
      </c>
      <c r="AD80" s="225"/>
      <c r="AE80" s="225"/>
      <c r="AF80" s="226"/>
      <c r="AG80" s="226"/>
      <c r="AH80" s="227"/>
      <c r="AI80" s="226"/>
      <c r="AJ80" s="226"/>
      <c r="AK80" s="226"/>
      <c r="AL80" s="226"/>
      <c r="AM80" s="228" t="e">
        <f t="shared" ref="AM80:AM81" si="176">SUM(AJ80:AL80)/AH80</f>
        <v>#DIV/0!</v>
      </c>
      <c r="AN80" s="226"/>
      <c r="AO80" s="226"/>
      <c r="AP80" s="229" t="e">
        <f t="shared" ref="AP80:AP81" si="177">SUM(AN80:AO80)/AI80</f>
        <v>#DIV/0!</v>
      </c>
      <c r="AQ80" s="226"/>
      <c r="AR80" s="226"/>
      <c r="AS80" s="229" t="e">
        <f>(AQ80+AR80)/$AG80</f>
        <v>#DIV/0!</v>
      </c>
      <c r="AT80" s="226"/>
      <c r="AU80" s="226"/>
      <c r="AV80" s="229" t="e">
        <f>(AT80+AU80)/$AG80</f>
        <v>#DIV/0!</v>
      </c>
      <c r="AW80" s="226"/>
      <c r="AX80" s="226"/>
      <c r="AY80" s="229" t="e">
        <f>(AW80+AX80)/$AG80</f>
        <v>#DIV/0!</v>
      </c>
      <c r="AZ80" s="230">
        <f t="shared" ref="AZ80:BA81" si="178">SUM(AN80,AQ80,AT80,AW80)</f>
        <v>0</v>
      </c>
      <c r="BA80" s="230">
        <f t="shared" si="178"/>
        <v>0</v>
      </c>
      <c r="BB80" s="230">
        <f t="shared" ref="BB80:BB81" si="179">SUM(AZ80:BA80)</f>
        <v>0</v>
      </c>
      <c r="BC80" s="229">
        <f t="shared" ref="BC80:BC81" si="180">(BB80+1)/(AI80+1)</f>
        <v>1</v>
      </c>
      <c r="BD80" s="231"/>
      <c r="BE80" s="231"/>
    </row>
    <row r="81" spans="3:57" ht="18" customHeight="1" x14ac:dyDescent="0.2">
      <c r="AC81" s="232" t="s">
        <v>275</v>
      </c>
      <c r="AD81" s="233">
        <v>46057</v>
      </c>
      <c r="AE81" s="233">
        <v>46058</v>
      </c>
      <c r="AF81" s="234">
        <v>1</v>
      </c>
      <c r="AG81" s="234">
        <v>269</v>
      </c>
      <c r="AH81" s="235">
        <v>269</v>
      </c>
      <c r="AI81" s="234">
        <v>278</v>
      </c>
      <c r="AJ81" s="234">
        <v>0</v>
      </c>
      <c r="AK81" s="234">
        <v>0</v>
      </c>
      <c r="AL81" s="234">
        <v>1</v>
      </c>
      <c r="AM81" s="236">
        <f t="shared" si="176"/>
        <v>3.7174721189591076E-3</v>
      </c>
      <c r="AN81" s="234">
        <v>6</v>
      </c>
      <c r="AO81" s="234">
        <v>0</v>
      </c>
      <c r="AP81" s="237">
        <f t="shared" si="177"/>
        <v>2.1582733812949641E-2</v>
      </c>
      <c r="AQ81" s="234">
        <v>2</v>
      </c>
      <c r="AR81" s="234">
        <v>0</v>
      </c>
      <c r="AS81" s="237">
        <f>(AQ81+AR81)/$AG81</f>
        <v>7.4349442379182153E-3</v>
      </c>
      <c r="AT81" s="234">
        <v>0</v>
      </c>
      <c r="AU81" s="234">
        <v>0</v>
      </c>
      <c r="AV81" s="237">
        <f>(AT81+AU81)/$AG81</f>
        <v>0</v>
      </c>
      <c r="AW81" s="234">
        <v>0</v>
      </c>
      <c r="AX81" s="234">
        <v>0</v>
      </c>
      <c r="AY81" s="237">
        <f>(AW81+AX81)/$AG81</f>
        <v>0</v>
      </c>
      <c r="AZ81" s="238">
        <f t="shared" si="178"/>
        <v>8</v>
      </c>
      <c r="BA81" s="238">
        <f t="shared" si="178"/>
        <v>0</v>
      </c>
      <c r="BB81" s="238">
        <f t="shared" si="179"/>
        <v>8</v>
      </c>
      <c r="BC81" s="237">
        <f t="shared" si="180"/>
        <v>3.2258064516129031E-2</v>
      </c>
      <c r="BD81" s="239" t="s">
        <v>274</v>
      </c>
      <c r="BE81" s="239" t="s">
        <v>268</v>
      </c>
    </row>
    <row r="82" spans="3:57" ht="18" customHeight="1" x14ac:dyDescent="0.2">
      <c r="AC82" s="7"/>
      <c r="AG82" s="240">
        <f>SUM(AG79:AG81)</f>
        <v>269</v>
      </c>
      <c r="AH82" s="240">
        <f>SUM(AH79:AH81)</f>
        <v>269</v>
      </c>
      <c r="AI82" s="240">
        <f t="shared" ref="AI82:AL82" si="181">SUM(AI79:AI81)</f>
        <v>278</v>
      </c>
      <c r="AJ82" s="240">
        <f t="shared" si="181"/>
        <v>0</v>
      </c>
      <c r="AK82" s="240">
        <f t="shared" si="181"/>
        <v>0</v>
      </c>
      <c r="AL82" s="240">
        <f t="shared" si="181"/>
        <v>1</v>
      </c>
      <c r="AM82" s="135"/>
      <c r="AN82" s="240">
        <f>SUM(AN79:AN81)</f>
        <v>6</v>
      </c>
      <c r="AO82" s="240">
        <f>SUM(AO79:AO81)</f>
        <v>0</v>
      </c>
      <c r="AP82" s="241"/>
      <c r="AQ82" s="240">
        <f>SUM(AQ79:AQ81)</f>
        <v>2</v>
      </c>
      <c r="AR82" s="240">
        <f>SUM(AR79:AR81)</f>
        <v>0</v>
      </c>
      <c r="AS82" s="241"/>
      <c r="AT82" s="240">
        <f>SUM(AT79:AT81)</f>
        <v>0</v>
      </c>
      <c r="AU82" s="240">
        <f>SUM(AU79:AU81)</f>
        <v>0</v>
      </c>
      <c r="AV82" s="241"/>
      <c r="AW82" s="240">
        <f>SUM(AW79:AW81)</f>
        <v>0</v>
      </c>
      <c r="AX82" s="240">
        <f>SUM(AX79:AX81)</f>
        <v>0</v>
      </c>
      <c r="AY82" s="241"/>
      <c r="AZ82" s="240">
        <f>SUM(AZ79:AZ81)</f>
        <v>8</v>
      </c>
      <c r="BA82" s="240">
        <f>SUM(BA79:BA81)</f>
        <v>0</v>
      </c>
      <c r="BB82" s="240">
        <f>SUM(AZ82:BA82)</f>
        <v>8</v>
      </c>
      <c r="BC82" s="242">
        <f>(BB82+1)/(AI82+1)</f>
        <v>3.2258064516129031E-2</v>
      </c>
      <c r="BD82" s="98"/>
      <c r="BE82" s="98"/>
    </row>
    <row r="83" spans="3:57" ht="18" customHeight="1" x14ac:dyDescent="0.2">
      <c r="AC83" s="212" t="s">
        <v>297</v>
      </c>
      <c r="AD83" s="15"/>
      <c r="AE83" s="23"/>
      <c r="AF83" s="16"/>
      <c r="AG83" s="15"/>
      <c r="AH83" s="15"/>
      <c r="AI83" s="15"/>
      <c r="AJ83" s="15"/>
      <c r="AK83" s="15"/>
      <c r="AL83" s="22"/>
      <c r="AM83" s="213"/>
      <c r="AN83" s="23"/>
      <c r="AO83" s="23"/>
      <c r="AP83" s="7"/>
      <c r="AQ83" s="15"/>
      <c r="AR83" s="15"/>
      <c r="AS83" s="7"/>
      <c r="AT83" s="15"/>
      <c r="AU83" s="15"/>
      <c r="AV83" s="7"/>
      <c r="AW83" s="15"/>
      <c r="AX83" s="15"/>
      <c r="AY83" s="214"/>
      <c r="AZ83" s="215"/>
      <c r="BA83" s="10"/>
      <c r="BB83" s="7"/>
      <c r="BC83" s="7"/>
      <c r="BD83" s="7"/>
      <c r="BE83" s="7"/>
    </row>
    <row r="84" spans="3:57" ht="18" customHeight="1" x14ac:dyDescent="0.2">
      <c r="AC84" s="216" t="s">
        <v>271</v>
      </c>
      <c r="AD84" s="217"/>
      <c r="AE84" s="217"/>
      <c r="AF84" s="218"/>
      <c r="AG84" s="218"/>
      <c r="AH84" s="219"/>
      <c r="AI84" s="218"/>
      <c r="AJ84" s="218"/>
      <c r="AK84" s="218"/>
      <c r="AL84" s="218"/>
      <c r="AM84" s="220" t="e">
        <f>SUM(AJ84:AL84)/AH84</f>
        <v>#DIV/0!</v>
      </c>
      <c r="AN84" s="218"/>
      <c r="AO84" s="218"/>
      <c r="AP84" s="221" t="e">
        <f>SUM(AN84:AO84)/AI84</f>
        <v>#DIV/0!</v>
      </c>
      <c r="AQ84" s="218"/>
      <c r="AR84" s="218"/>
      <c r="AS84" s="221" t="e">
        <f>(AQ84+AR84)/$AG84</f>
        <v>#DIV/0!</v>
      </c>
      <c r="AT84" s="218"/>
      <c r="AU84" s="218"/>
      <c r="AV84" s="221" t="e">
        <f>(AT84+AU84)/$AG84</f>
        <v>#DIV/0!</v>
      </c>
      <c r="AW84" s="218"/>
      <c r="AX84" s="218"/>
      <c r="AY84" s="221" t="e">
        <f>(AW84+AX84)/$AG84</f>
        <v>#DIV/0!</v>
      </c>
      <c r="AZ84" s="222">
        <f>SUM(AN84,AQ84,AT84,AW84)</f>
        <v>0</v>
      </c>
      <c r="BA84" s="222">
        <f>SUM(AO84,AR84,AU84,AX84)</f>
        <v>0</v>
      </c>
      <c r="BB84" s="222">
        <f>SUM(AZ84:BA84)</f>
        <v>0</v>
      </c>
      <c r="BC84" s="221">
        <f>(BB84+1)/(AI84+1)</f>
        <v>1</v>
      </c>
      <c r="BD84" s="223"/>
      <c r="BE84" s="223"/>
    </row>
    <row r="85" spans="3:57" ht="18" customHeight="1" x14ac:dyDescent="0.2">
      <c r="AC85" s="224" t="s">
        <v>273</v>
      </c>
      <c r="AD85" s="225">
        <v>46057</v>
      </c>
      <c r="AE85" s="225">
        <v>46058</v>
      </c>
      <c r="AF85" s="226">
        <v>1</v>
      </c>
      <c r="AG85" s="226">
        <v>266</v>
      </c>
      <c r="AH85" s="227">
        <v>266</v>
      </c>
      <c r="AI85" s="226">
        <v>267</v>
      </c>
      <c r="AJ85" s="226">
        <v>0</v>
      </c>
      <c r="AK85" s="226">
        <v>0</v>
      </c>
      <c r="AL85" s="226">
        <v>1</v>
      </c>
      <c r="AM85" s="228">
        <f t="shared" ref="AM85:AM86" si="182">SUM(AJ85:AL85)/AH85</f>
        <v>3.7593984962406013E-3</v>
      </c>
      <c r="AN85" s="226">
        <v>3</v>
      </c>
      <c r="AO85" s="226">
        <v>0</v>
      </c>
      <c r="AP85" s="229">
        <f t="shared" ref="AP85:AP86" si="183">SUM(AN85:AO85)/AI85</f>
        <v>1.1235955056179775E-2</v>
      </c>
      <c r="AQ85" s="226">
        <v>4</v>
      </c>
      <c r="AR85" s="226">
        <v>0</v>
      </c>
      <c r="AS85" s="229">
        <f>(AQ85+AR85)/$AG85</f>
        <v>1.5037593984962405E-2</v>
      </c>
      <c r="AT85" s="226">
        <v>0</v>
      </c>
      <c r="AU85" s="226">
        <v>0</v>
      </c>
      <c r="AV85" s="229">
        <f>(AT85+AU85)/$AG85</f>
        <v>0</v>
      </c>
      <c r="AW85" s="226">
        <v>0</v>
      </c>
      <c r="AX85" s="226">
        <v>0</v>
      </c>
      <c r="AY85" s="229">
        <f>(AW85+AX85)/$AG85</f>
        <v>0</v>
      </c>
      <c r="AZ85" s="230">
        <f t="shared" ref="AZ85:BA86" si="184">SUM(AN85,AQ85,AT85,AW85)</f>
        <v>7</v>
      </c>
      <c r="BA85" s="230">
        <f t="shared" si="184"/>
        <v>0</v>
      </c>
      <c r="BB85" s="230">
        <f t="shared" ref="BB85:BB86" si="185">SUM(AZ85:BA85)</f>
        <v>7</v>
      </c>
      <c r="BC85" s="229">
        <f t="shared" ref="BC85:BC86" si="186">(BB85+1)/(AI85+1)</f>
        <v>2.9850746268656716E-2</v>
      </c>
      <c r="BD85" s="231" t="s">
        <v>274</v>
      </c>
      <c r="BE85" s="231" t="s">
        <v>268</v>
      </c>
    </row>
    <row r="86" spans="3:57" ht="18" customHeight="1" x14ac:dyDescent="0.2">
      <c r="AC86" s="232" t="s">
        <v>275</v>
      </c>
      <c r="AD86" s="233"/>
      <c r="AE86" s="233"/>
      <c r="AF86" s="234"/>
      <c r="AG86" s="234"/>
      <c r="AH86" s="235"/>
      <c r="AI86" s="234"/>
      <c r="AJ86" s="234"/>
      <c r="AK86" s="234"/>
      <c r="AL86" s="234"/>
      <c r="AM86" s="236" t="e">
        <f t="shared" si="182"/>
        <v>#DIV/0!</v>
      </c>
      <c r="AN86" s="234"/>
      <c r="AO86" s="234"/>
      <c r="AP86" s="237" t="e">
        <f t="shared" si="183"/>
        <v>#DIV/0!</v>
      </c>
      <c r="AQ86" s="234"/>
      <c r="AR86" s="234"/>
      <c r="AS86" s="237" t="e">
        <f>(AQ86+AR86)/$AG86</f>
        <v>#DIV/0!</v>
      </c>
      <c r="AT86" s="234"/>
      <c r="AU86" s="234"/>
      <c r="AV86" s="237" t="e">
        <f>(AT86+AU86)/$AG86</f>
        <v>#DIV/0!</v>
      </c>
      <c r="AW86" s="234"/>
      <c r="AX86" s="234"/>
      <c r="AY86" s="237" t="e">
        <f>(AW86+AX86)/$AG86</f>
        <v>#DIV/0!</v>
      </c>
      <c r="AZ86" s="238">
        <f t="shared" si="184"/>
        <v>0</v>
      </c>
      <c r="BA86" s="238">
        <f t="shared" si="184"/>
        <v>0</v>
      </c>
      <c r="BB86" s="238">
        <f t="shared" si="185"/>
        <v>0</v>
      </c>
      <c r="BC86" s="237">
        <f t="shared" si="186"/>
        <v>1</v>
      </c>
      <c r="BD86" s="239"/>
      <c r="BE86" s="239"/>
    </row>
    <row r="87" spans="3:57" ht="18" customHeight="1" x14ac:dyDescent="0.2">
      <c r="AC87" s="7"/>
      <c r="AG87" s="240">
        <f>SUM(AG84:AG86)</f>
        <v>266</v>
      </c>
      <c r="AH87" s="240">
        <f>SUM(AH84:AH86)</f>
        <v>266</v>
      </c>
      <c r="AI87" s="240">
        <f t="shared" ref="AI87:AL87" si="187">SUM(AI84:AI86)</f>
        <v>267</v>
      </c>
      <c r="AJ87" s="240">
        <f t="shared" si="187"/>
        <v>0</v>
      </c>
      <c r="AK87" s="240">
        <f t="shared" si="187"/>
        <v>0</v>
      </c>
      <c r="AL87" s="240">
        <f t="shared" si="187"/>
        <v>1</v>
      </c>
      <c r="AM87" s="135"/>
      <c r="AN87" s="240">
        <f>SUM(AN84:AN86)</f>
        <v>3</v>
      </c>
      <c r="AO87" s="240">
        <f>SUM(AO84:AO86)</f>
        <v>0</v>
      </c>
      <c r="AP87" s="241"/>
      <c r="AQ87" s="240">
        <f>SUM(AQ84:AQ86)</f>
        <v>4</v>
      </c>
      <c r="AR87" s="240">
        <f>SUM(AR84:AR86)</f>
        <v>0</v>
      </c>
      <c r="AS87" s="241"/>
      <c r="AT87" s="240">
        <f>SUM(AT84:AT86)</f>
        <v>0</v>
      </c>
      <c r="AU87" s="240">
        <f>SUM(AU84:AU86)</f>
        <v>0</v>
      </c>
      <c r="AV87" s="241"/>
      <c r="AW87" s="240">
        <f>SUM(AW84:AW86)</f>
        <v>0</v>
      </c>
      <c r="AX87" s="240">
        <f>SUM(AX84:AX86)</f>
        <v>0</v>
      </c>
      <c r="AY87" s="241"/>
      <c r="AZ87" s="240">
        <f>SUM(AZ84:AZ86)</f>
        <v>7</v>
      </c>
      <c r="BA87" s="240">
        <f>SUM(BA84:BA86)</f>
        <v>0</v>
      </c>
      <c r="BB87" s="240">
        <f>SUM(AZ87:BA87)</f>
        <v>7</v>
      </c>
      <c r="BC87" s="242">
        <f>(BB87+1)/(AI87+1)</f>
        <v>2.9850746268656716E-2</v>
      </c>
      <c r="BD87" s="98"/>
      <c r="BE87" s="98"/>
    </row>
    <row r="88" spans="3:57" ht="18" customHeight="1" x14ac:dyDescent="0.2">
      <c r="AC88" s="212" t="s">
        <v>298</v>
      </c>
      <c r="AD88" s="15"/>
      <c r="AE88" s="23"/>
      <c r="AF88" s="16"/>
      <c r="AG88" s="15"/>
      <c r="AH88" s="15"/>
      <c r="AI88" s="15"/>
      <c r="AJ88" s="15"/>
      <c r="AK88" s="15"/>
      <c r="AL88" s="22"/>
      <c r="AM88" s="213"/>
      <c r="AN88" s="23"/>
      <c r="AO88" s="23"/>
      <c r="AP88" s="7"/>
      <c r="AQ88" s="15"/>
      <c r="AR88" s="15"/>
      <c r="AS88" s="7"/>
      <c r="AT88" s="15"/>
      <c r="AU88" s="15"/>
      <c r="AV88" s="7"/>
      <c r="AW88" s="15"/>
      <c r="AX88" s="15"/>
      <c r="AY88" s="214"/>
      <c r="AZ88" s="215"/>
      <c r="BA88" s="10"/>
      <c r="BB88" s="7"/>
      <c r="BC88" s="7"/>
      <c r="BD88" s="7"/>
      <c r="BE88" s="7"/>
    </row>
    <row r="89" spans="3:57" ht="18" customHeight="1" x14ac:dyDescent="0.2">
      <c r="AC89" s="216" t="s">
        <v>271</v>
      </c>
      <c r="AD89" s="217"/>
      <c r="AE89" s="217"/>
      <c r="AF89" s="218"/>
      <c r="AG89" s="218"/>
      <c r="AH89" s="219"/>
      <c r="AI89" s="218"/>
      <c r="AJ89" s="218"/>
      <c r="AK89" s="218"/>
      <c r="AL89" s="218"/>
      <c r="AM89" s="220" t="e">
        <f>SUM(AJ89:AL89)/AH89</f>
        <v>#DIV/0!</v>
      </c>
      <c r="AN89" s="218"/>
      <c r="AO89" s="218"/>
      <c r="AP89" s="221" t="e">
        <f>SUM(AN89:AO89)/AI89</f>
        <v>#DIV/0!</v>
      </c>
      <c r="AQ89" s="218"/>
      <c r="AR89" s="218"/>
      <c r="AS89" s="221" t="e">
        <f>(AQ89+AR89)/$AG89</f>
        <v>#DIV/0!</v>
      </c>
      <c r="AT89" s="218"/>
      <c r="AU89" s="218"/>
      <c r="AV89" s="221" t="e">
        <f>(AT89+AU89)/$AG89</f>
        <v>#DIV/0!</v>
      </c>
      <c r="AW89" s="218"/>
      <c r="AX89" s="218"/>
      <c r="AY89" s="221" t="e">
        <f>(AW89+AX89)/$AG89</f>
        <v>#DIV/0!</v>
      </c>
      <c r="AZ89" s="222">
        <f>SUM(AN89,AQ89,AT89,AW89)</f>
        <v>0</v>
      </c>
      <c r="BA89" s="222">
        <f>SUM(AO89,AR89,AU89,AX89)</f>
        <v>0</v>
      </c>
      <c r="BB89" s="222">
        <f>SUM(AZ89:BA89)</f>
        <v>0</v>
      </c>
      <c r="BC89" s="221">
        <f>(BB89+1)/(AI89+1)</f>
        <v>1</v>
      </c>
      <c r="BD89" s="223"/>
      <c r="BE89" s="223"/>
    </row>
    <row r="90" spans="3:57" ht="18" customHeight="1" x14ac:dyDescent="0.2">
      <c r="AC90" s="224" t="s">
        <v>273</v>
      </c>
      <c r="AD90" s="225">
        <v>46061</v>
      </c>
      <c r="AE90" s="225">
        <v>46062</v>
      </c>
      <c r="AF90" s="226">
        <v>2</v>
      </c>
      <c r="AG90" s="226">
        <v>253</v>
      </c>
      <c r="AH90" s="227">
        <v>252</v>
      </c>
      <c r="AI90" s="226">
        <v>252</v>
      </c>
      <c r="AJ90" s="226">
        <v>0</v>
      </c>
      <c r="AK90" s="226">
        <v>0</v>
      </c>
      <c r="AL90" s="226">
        <v>0</v>
      </c>
      <c r="AM90" s="228">
        <f t="shared" ref="AM90:AM91" si="188">SUM(AJ90:AL90)/AH90</f>
        <v>0</v>
      </c>
      <c r="AN90" s="226">
        <v>8</v>
      </c>
      <c r="AO90" s="226">
        <v>0</v>
      </c>
      <c r="AP90" s="229">
        <f t="shared" ref="AP90:AP91" si="189">SUM(AN90:AO90)/AI90</f>
        <v>3.1746031746031744E-2</v>
      </c>
      <c r="AQ90" s="226">
        <v>5</v>
      </c>
      <c r="AR90" s="226">
        <v>0</v>
      </c>
      <c r="AS90" s="229">
        <f>(AQ90+AR90)/$AG90</f>
        <v>1.9762845849802372E-2</v>
      </c>
      <c r="AT90" s="226">
        <v>2</v>
      </c>
      <c r="AU90" s="226">
        <v>0</v>
      </c>
      <c r="AV90" s="229">
        <f>(AT90+AU90)/$AG90</f>
        <v>7.9051383399209481E-3</v>
      </c>
      <c r="AW90" s="226">
        <v>0</v>
      </c>
      <c r="AX90" s="226">
        <v>0</v>
      </c>
      <c r="AY90" s="229">
        <f>(AW90+AX90)/$AG90</f>
        <v>0</v>
      </c>
      <c r="AZ90" s="230">
        <f t="shared" ref="AZ90:BA91" si="190">SUM(AN90,AQ90,AT90,AW90)</f>
        <v>15</v>
      </c>
      <c r="BA90" s="230">
        <f t="shared" si="190"/>
        <v>0</v>
      </c>
      <c r="BB90" s="230">
        <f t="shared" ref="BB90:BB91" si="191">SUM(AZ90:BA90)</f>
        <v>15</v>
      </c>
      <c r="BC90" s="229">
        <f t="shared" ref="BC90:BC91" si="192">(BB90+1)/(AI90+1)</f>
        <v>6.3241106719367585E-2</v>
      </c>
      <c r="BD90" s="231" t="s">
        <v>274</v>
      </c>
      <c r="BE90" s="231" t="s">
        <v>268</v>
      </c>
    </row>
    <row r="91" spans="3:57" ht="18" customHeight="1" x14ac:dyDescent="0.2">
      <c r="AC91" s="232" t="s">
        <v>275</v>
      </c>
      <c r="AD91" s="233"/>
      <c r="AE91" s="233"/>
      <c r="AF91" s="234"/>
      <c r="AG91" s="234"/>
      <c r="AH91" s="235"/>
      <c r="AI91" s="234"/>
      <c r="AJ91" s="234"/>
      <c r="AK91" s="234"/>
      <c r="AL91" s="234"/>
      <c r="AM91" s="236" t="e">
        <f t="shared" si="188"/>
        <v>#DIV/0!</v>
      </c>
      <c r="AN91" s="234"/>
      <c r="AO91" s="234"/>
      <c r="AP91" s="237" t="e">
        <f t="shared" si="189"/>
        <v>#DIV/0!</v>
      </c>
      <c r="AQ91" s="234"/>
      <c r="AR91" s="234"/>
      <c r="AS91" s="237" t="e">
        <f>(AQ91+AR91)/$AG91</f>
        <v>#DIV/0!</v>
      </c>
      <c r="AT91" s="234"/>
      <c r="AU91" s="234"/>
      <c r="AV91" s="237" t="e">
        <f>(AT91+AU91)/$AG91</f>
        <v>#DIV/0!</v>
      </c>
      <c r="AW91" s="234"/>
      <c r="AX91" s="234"/>
      <c r="AY91" s="237" t="e">
        <f>(AW91+AX91)/$AG91</f>
        <v>#DIV/0!</v>
      </c>
      <c r="AZ91" s="238">
        <f t="shared" si="190"/>
        <v>0</v>
      </c>
      <c r="BA91" s="238">
        <f t="shared" si="190"/>
        <v>0</v>
      </c>
      <c r="BB91" s="238">
        <f t="shared" si="191"/>
        <v>0</v>
      </c>
      <c r="BC91" s="237">
        <f t="shared" si="192"/>
        <v>1</v>
      </c>
      <c r="BD91" s="239"/>
      <c r="BE91" s="239"/>
    </row>
    <row r="92" spans="3:57" ht="18" customHeight="1" x14ac:dyDescent="0.2">
      <c r="AC92" s="7"/>
      <c r="AG92" s="240">
        <f>SUM(AG89:AG91)</f>
        <v>253</v>
      </c>
      <c r="AH92" s="240">
        <f>SUM(AH89:AH91)</f>
        <v>252</v>
      </c>
      <c r="AI92" s="240">
        <f t="shared" ref="AI92:AL92" si="193">SUM(AI89:AI91)</f>
        <v>252</v>
      </c>
      <c r="AJ92" s="240">
        <f t="shared" si="193"/>
        <v>0</v>
      </c>
      <c r="AK92" s="240">
        <f t="shared" si="193"/>
        <v>0</v>
      </c>
      <c r="AL92" s="240">
        <f t="shared" si="193"/>
        <v>0</v>
      </c>
      <c r="AM92" s="135"/>
      <c r="AN92" s="240">
        <f>SUM(AN89:AN91)</f>
        <v>8</v>
      </c>
      <c r="AO92" s="240">
        <f>SUM(AO89:AO91)</f>
        <v>0</v>
      </c>
      <c r="AP92" s="241"/>
      <c r="AQ92" s="240">
        <f>SUM(AQ89:AQ91)</f>
        <v>5</v>
      </c>
      <c r="AR92" s="240">
        <f>SUM(AR89:AR91)</f>
        <v>0</v>
      </c>
      <c r="AS92" s="241"/>
      <c r="AT92" s="240">
        <f>SUM(AT89:AT91)</f>
        <v>2</v>
      </c>
      <c r="AU92" s="240">
        <f>SUM(AU89:AU91)</f>
        <v>0</v>
      </c>
      <c r="AV92" s="241"/>
      <c r="AW92" s="240">
        <f>SUM(AW89:AW91)</f>
        <v>0</v>
      </c>
      <c r="AX92" s="240">
        <f>SUM(AX89:AX91)</f>
        <v>0</v>
      </c>
      <c r="AY92" s="241"/>
      <c r="AZ92" s="240">
        <f>SUM(AZ89:AZ91)</f>
        <v>15</v>
      </c>
      <c r="BA92" s="240">
        <f>SUM(BA89:BA91)</f>
        <v>0</v>
      </c>
      <c r="BB92" s="240">
        <f>SUM(AZ92:BA92)</f>
        <v>15</v>
      </c>
      <c r="BC92" s="242">
        <f>(BB92+1)/(AI92+1)</f>
        <v>6.3241106719367585E-2</v>
      </c>
      <c r="BD92" s="98"/>
      <c r="BE92" s="98"/>
    </row>
    <row r="93" spans="3:57" ht="18" customHeight="1" x14ac:dyDescent="0.2">
      <c r="AC93" s="212" t="s">
        <v>299</v>
      </c>
      <c r="AD93" s="15"/>
      <c r="AE93" s="23"/>
      <c r="AF93" s="16"/>
      <c r="AG93" s="15"/>
      <c r="AH93" s="15"/>
      <c r="AI93" s="15"/>
      <c r="AJ93" s="15"/>
      <c r="AK93" s="15"/>
      <c r="AL93" s="22"/>
      <c r="AM93" s="213"/>
      <c r="AN93" s="23"/>
      <c r="AO93" s="23"/>
      <c r="AP93" s="7"/>
      <c r="AQ93" s="15"/>
      <c r="AR93" s="15"/>
      <c r="AS93" s="7"/>
      <c r="AT93" s="15"/>
      <c r="AU93" s="15"/>
      <c r="AV93" s="7"/>
      <c r="AW93" s="15"/>
      <c r="AX93" s="15"/>
      <c r="AY93" s="214"/>
      <c r="AZ93" s="215"/>
      <c r="BA93" s="10"/>
      <c r="BB93" s="7"/>
      <c r="BC93" s="7"/>
      <c r="BD93" s="7"/>
      <c r="BE93" s="7"/>
    </row>
    <row r="94" spans="3:57" ht="18" customHeight="1" x14ac:dyDescent="0.2">
      <c r="C94" s="15"/>
      <c r="D94" s="15"/>
      <c r="E94" s="15"/>
      <c r="F94" s="15"/>
      <c r="G94" s="15"/>
      <c r="H94" s="15"/>
      <c r="I94" s="15"/>
      <c r="J94" s="15"/>
      <c r="K94" s="15"/>
      <c r="L94" s="15"/>
      <c r="M94" s="15"/>
      <c r="N94" s="15"/>
      <c r="P94" s="15"/>
      <c r="R94" s="15"/>
      <c r="T94" s="15"/>
      <c r="AC94" s="216" t="s">
        <v>271</v>
      </c>
      <c r="AD94" s="400"/>
      <c r="AE94" s="412"/>
      <c r="AF94" s="406"/>
      <c r="AG94" s="218"/>
      <c r="AH94" s="219"/>
      <c r="AI94" s="218"/>
      <c r="AJ94" s="218"/>
      <c r="AK94" s="218"/>
      <c r="AL94" s="218"/>
      <c r="AM94" s="220" t="e">
        <f>SUM(AJ94:AL94)/AH94</f>
        <v>#DIV/0!</v>
      </c>
      <c r="AN94" s="218"/>
      <c r="AO94" s="218"/>
      <c r="AP94" s="221" t="e">
        <f>SUM(AN94:AO94)/AI94</f>
        <v>#DIV/0!</v>
      </c>
      <c r="AQ94" s="218"/>
      <c r="AR94" s="218"/>
      <c r="AS94" s="221" t="e">
        <f>(AQ94+AR94)/$AG94</f>
        <v>#DIV/0!</v>
      </c>
      <c r="AT94" s="218"/>
      <c r="AU94" s="218"/>
      <c r="AV94" s="221" t="e">
        <f>(AT94+AU94)/$AG94</f>
        <v>#DIV/0!</v>
      </c>
      <c r="AW94" s="218"/>
      <c r="AX94" s="218"/>
      <c r="AY94" s="221" t="e">
        <f>(AW94+AX94)/$AG94</f>
        <v>#DIV/0!</v>
      </c>
      <c r="AZ94" s="222">
        <f>SUM(AN94,AQ94,AT94,AW94)</f>
        <v>0</v>
      </c>
      <c r="BA94" s="222">
        <f>SUM(AO94,AR94,AU94,AX94)</f>
        <v>0</v>
      </c>
      <c r="BB94" s="222">
        <f>SUM(AZ94:BA94)</f>
        <v>0</v>
      </c>
      <c r="BC94" s="221">
        <f>(BB94+1)/(AI94+1)</f>
        <v>1</v>
      </c>
      <c r="BD94" s="223"/>
      <c r="BE94" s="223"/>
    </row>
    <row r="95" spans="3:57" ht="18" customHeight="1" x14ac:dyDescent="0.2">
      <c r="C95" s="15"/>
      <c r="D95" s="15"/>
      <c r="E95" s="15"/>
      <c r="F95" s="15"/>
      <c r="G95" s="15"/>
      <c r="H95" s="15"/>
      <c r="I95" s="15"/>
      <c r="J95" s="15"/>
      <c r="K95" s="15"/>
      <c r="L95" s="15"/>
      <c r="M95" s="15"/>
      <c r="N95" s="15"/>
      <c r="P95" s="15"/>
      <c r="R95" s="15"/>
      <c r="T95" s="15"/>
      <c r="AC95" s="224" t="s">
        <v>273</v>
      </c>
      <c r="AD95" s="401"/>
      <c r="AE95" s="413"/>
      <c r="AF95" s="407"/>
      <c r="AG95" s="226"/>
      <c r="AH95" s="227"/>
      <c r="AI95" s="226"/>
      <c r="AJ95" s="226"/>
      <c r="AK95" s="226"/>
      <c r="AL95" s="226"/>
      <c r="AM95" s="228" t="e">
        <f t="shared" ref="AM95:AM96" si="194">SUM(AJ95:AL95)/AH95</f>
        <v>#DIV/0!</v>
      </c>
      <c r="AN95" s="226"/>
      <c r="AO95" s="226"/>
      <c r="AP95" s="229" t="e">
        <f t="shared" ref="AP95:AP96" si="195">SUM(AN95:AO95)/AI95</f>
        <v>#DIV/0!</v>
      </c>
      <c r="AQ95" s="226"/>
      <c r="AR95" s="226"/>
      <c r="AS95" s="229" t="e">
        <f>(AQ95+AR95)/$AG95</f>
        <v>#DIV/0!</v>
      </c>
      <c r="AT95" s="226"/>
      <c r="AU95" s="226"/>
      <c r="AV95" s="229" t="e">
        <f>(AT95+AU95)/$AG95</f>
        <v>#DIV/0!</v>
      </c>
      <c r="AW95" s="226"/>
      <c r="AX95" s="226"/>
      <c r="AY95" s="229" t="e">
        <f>(AW95+AX95)/$AG95</f>
        <v>#DIV/0!</v>
      </c>
      <c r="AZ95" s="230">
        <f t="shared" ref="AZ95:BA96" si="196">SUM(AN95,AQ95,AT95,AW95)</f>
        <v>0</v>
      </c>
      <c r="BA95" s="230">
        <f t="shared" si="196"/>
        <v>0</v>
      </c>
      <c r="BB95" s="230">
        <f t="shared" ref="BB95:BB96" si="197">SUM(AZ95:BA95)</f>
        <v>0</v>
      </c>
      <c r="BC95" s="229">
        <f t="shared" ref="BC95:BC96" si="198">(BB95+1)/(AI95+1)</f>
        <v>1</v>
      </c>
      <c r="BD95" s="231"/>
      <c r="BE95" s="231"/>
    </row>
    <row r="96" spans="3:57" ht="18" customHeight="1" x14ac:dyDescent="0.2">
      <c r="C96" s="15"/>
      <c r="D96" s="15"/>
      <c r="E96" s="15"/>
      <c r="F96" s="15"/>
      <c r="G96" s="15"/>
      <c r="H96" s="15"/>
      <c r="I96" s="15"/>
      <c r="J96" s="15"/>
      <c r="K96" s="15"/>
      <c r="L96" s="15"/>
      <c r="M96" s="15"/>
      <c r="N96" s="15"/>
      <c r="P96" s="15"/>
      <c r="R96" s="15"/>
      <c r="T96" s="15"/>
      <c r="AC96" s="232" t="s">
        <v>275</v>
      </c>
      <c r="AD96" s="409">
        <v>46061</v>
      </c>
      <c r="AE96" s="414">
        <v>46062</v>
      </c>
      <c r="AF96" s="407">
        <v>2</v>
      </c>
      <c r="AG96" s="234">
        <v>253</v>
      </c>
      <c r="AH96" s="235">
        <v>250</v>
      </c>
      <c r="AI96" s="234">
        <v>250</v>
      </c>
      <c r="AJ96" s="234">
        <v>1</v>
      </c>
      <c r="AK96" s="234">
        <v>0</v>
      </c>
      <c r="AL96" s="234">
        <v>0</v>
      </c>
      <c r="AM96" s="236">
        <f t="shared" si="194"/>
        <v>4.0000000000000001E-3</v>
      </c>
      <c r="AN96" s="234">
        <v>6</v>
      </c>
      <c r="AO96" s="234">
        <v>0</v>
      </c>
      <c r="AP96" s="237">
        <f t="shared" si="195"/>
        <v>2.4E-2</v>
      </c>
      <c r="AQ96" s="234">
        <v>7</v>
      </c>
      <c r="AR96" s="234">
        <v>0</v>
      </c>
      <c r="AS96" s="237">
        <f>(AQ96+AR96)/$AG96</f>
        <v>2.766798418972332E-2</v>
      </c>
      <c r="AT96" s="234">
        <v>0</v>
      </c>
      <c r="AU96" s="234">
        <v>0</v>
      </c>
      <c r="AV96" s="237">
        <f>(AT96+AU96)/$AG96</f>
        <v>0</v>
      </c>
      <c r="AW96" s="234">
        <v>0</v>
      </c>
      <c r="AX96" s="234">
        <v>0</v>
      </c>
      <c r="AY96" s="237">
        <f>(AW96+AX96)/$AG96</f>
        <v>0</v>
      </c>
      <c r="AZ96" s="238">
        <f t="shared" si="196"/>
        <v>13</v>
      </c>
      <c r="BA96" s="238">
        <f t="shared" si="196"/>
        <v>0</v>
      </c>
      <c r="BB96" s="238">
        <f t="shared" si="197"/>
        <v>13</v>
      </c>
      <c r="BC96" s="237">
        <f t="shared" si="198"/>
        <v>5.5776892430278883E-2</v>
      </c>
      <c r="BD96" s="239" t="s">
        <v>274</v>
      </c>
      <c r="BE96" s="239" t="s">
        <v>268</v>
      </c>
    </row>
    <row r="97" spans="3:57" ht="18" customHeight="1" x14ac:dyDescent="0.2">
      <c r="C97" s="15"/>
      <c r="D97" s="15"/>
      <c r="E97" s="15"/>
      <c r="F97" s="15"/>
      <c r="G97" s="15"/>
      <c r="H97" s="15"/>
      <c r="I97" s="15"/>
      <c r="J97" s="15"/>
      <c r="K97" s="15"/>
      <c r="L97" s="15"/>
      <c r="M97" s="15"/>
      <c r="N97" s="15"/>
      <c r="P97" s="15"/>
      <c r="R97" s="15"/>
      <c r="T97" s="15"/>
      <c r="AC97" s="7"/>
      <c r="AG97" s="240">
        <f>SUM(AG94:AG96)</f>
        <v>253</v>
      </c>
      <c r="AH97" s="240">
        <f>SUM(AH94:AH96)</f>
        <v>250</v>
      </c>
      <c r="AI97" s="240">
        <f t="shared" ref="AI97:AL97" si="199">SUM(AI94:AI96)</f>
        <v>250</v>
      </c>
      <c r="AJ97" s="240">
        <f t="shared" si="199"/>
        <v>1</v>
      </c>
      <c r="AK97" s="240">
        <f t="shared" si="199"/>
        <v>0</v>
      </c>
      <c r="AL97" s="240">
        <f t="shared" si="199"/>
        <v>0</v>
      </c>
      <c r="AM97" s="135"/>
      <c r="AN97" s="240">
        <f>SUM(AN94:AN96)</f>
        <v>6</v>
      </c>
      <c r="AO97" s="240">
        <f>SUM(AO94:AO96)</f>
        <v>0</v>
      </c>
      <c r="AP97" s="241"/>
      <c r="AQ97" s="240">
        <f>SUM(AQ94:AQ96)</f>
        <v>7</v>
      </c>
      <c r="AR97" s="240">
        <f>SUM(AR94:AR96)</f>
        <v>0</v>
      </c>
      <c r="AS97" s="241"/>
      <c r="AT97" s="240">
        <f>SUM(AT94:AT96)</f>
        <v>0</v>
      </c>
      <c r="AU97" s="240">
        <f>SUM(AU94:AU96)</f>
        <v>0</v>
      </c>
      <c r="AV97" s="241"/>
      <c r="AW97" s="240">
        <f>SUM(AW94:AW96)</f>
        <v>0</v>
      </c>
      <c r="AX97" s="240">
        <f>SUM(AX94:AX96)</f>
        <v>0</v>
      </c>
      <c r="AY97" s="241"/>
      <c r="AZ97" s="240">
        <f>SUM(AZ94:AZ96)</f>
        <v>13</v>
      </c>
      <c r="BA97" s="240">
        <f>SUM(BA94:BA96)</f>
        <v>0</v>
      </c>
      <c r="BB97" s="240">
        <f>SUM(AZ97:BA97)</f>
        <v>13</v>
      </c>
      <c r="BC97" s="242">
        <f>(BB97+1)/(AI97+1)</f>
        <v>5.5776892430278883E-2</v>
      </c>
      <c r="BD97" s="98"/>
      <c r="BE97" s="98"/>
    </row>
    <row r="98" spans="3:57" ht="18" customHeight="1" x14ac:dyDescent="0.2">
      <c r="C98" s="15"/>
      <c r="D98" s="15"/>
      <c r="E98" s="15"/>
      <c r="F98" s="15"/>
      <c r="G98" s="15"/>
      <c r="H98" s="15"/>
      <c r="I98" s="15"/>
      <c r="J98" s="15"/>
      <c r="K98" s="15"/>
      <c r="L98" s="15"/>
      <c r="M98" s="15"/>
      <c r="N98" s="15"/>
      <c r="P98" s="15"/>
      <c r="R98" s="15"/>
      <c r="T98" s="15"/>
      <c r="AC98" s="212" t="s">
        <v>300</v>
      </c>
      <c r="AD98" s="15"/>
      <c r="AE98" s="23"/>
      <c r="AF98" s="16"/>
      <c r="AG98" s="15"/>
      <c r="AH98" s="15"/>
      <c r="AI98" s="15"/>
      <c r="AJ98" s="15"/>
      <c r="AK98" s="15"/>
      <c r="AL98" s="22"/>
      <c r="AM98" s="213"/>
      <c r="AN98" s="23"/>
      <c r="AO98" s="23"/>
      <c r="AP98" s="7"/>
      <c r="AQ98" s="15"/>
      <c r="AR98" s="15"/>
      <c r="AS98" s="7"/>
      <c r="AT98" s="15"/>
      <c r="AU98" s="15"/>
      <c r="AV98" s="7"/>
      <c r="AW98" s="15"/>
      <c r="AX98" s="15"/>
      <c r="AY98" s="214"/>
      <c r="AZ98" s="215"/>
      <c r="BA98" s="10"/>
      <c r="BB98" s="7"/>
      <c r="BC98" s="7"/>
      <c r="BD98" s="7"/>
      <c r="BE98" s="7"/>
    </row>
    <row r="99" spans="3:57" ht="18" customHeight="1" x14ac:dyDescent="0.2">
      <c r="C99" s="15"/>
      <c r="D99" s="15"/>
      <c r="E99" s="15"/>
      <c r="F99" s="15"/>
      <c r="G99" s="15"/>
      <c r="H99" s="15"/>
      <c r="I99" s="15"/>
      <c r="J99" s="15"/>
      <c r="K99" s="15"/>
      <c r="L99" s="15"/>
      <c r="M99" s="15"/>
      <c r="N99" s="15"/>
      <c r="P99" s="15"/>
      <c r="R99" s="15"/>
      <c r="T99" s="15"/>
      <c r="AC99" s="216" t="s">
        <v>271</v>
      </c>
      <c r="AD99" s="217"/>
      <c r="AE99" s="217"/>
      <c r="AF99" s="218"/>
      <c r="AG99" s="218"/>
      <c r="AH99" s="219"/>
      <c r="AI99" s="218"/>
      <c r="AJ99" s="218"/>
      <c r="AK99" s="218"/>
      <c r="AL99" s="218"/>
      <c r="AM99" s="220" t="e">
        <f>SUM(AJ99:AL99)/AH99</f>
        <v>#DIV/0!</v>
      </c>
      <c r="AN99" s="218"/>
      <c r="AO99" s="218"/>
      <c r="AP99" s="221" t="e">
        <f>SUM(AN99:AO99)/AI99</f>
        <v>#DIV/0!</v>
      </c>
      <c r="AQ99" s="218"/>
      <c r="AR99" s="218"/>
      <c r="AS99" s="221" t="e">
        <f>(AQ99+AR99)/$AG99</f>
        <v>#DIV/0!</v>
      </c>
      <c r="AT99" s="218"/>
      <c r="AU99" s="218"/>
      <c r="AV99" s="221" t="e">
        <f>(AT99+AU99)/$AG99</f>
        <v>#DIV/0!</v>
      </c>
      <c r="AW99" s="218"/>
      <c r="AX99" s="218"/>
      <c r="AY99" s="221" t="e">
        <f>(AW99+AX99)/$AG99</f>
        <v>#DIV/0!</v>
      </c>
      <c r="AZ99" s="222">
        <f>SUM(AN99,AQ99,AT99,AW99)</f>
        <v>0</v>
      </c>
      <c r="BA99" s="222">
        <f>SUM(AO99,AR99,AU99,AX99)</f>
        <v>0</v>
      </c>
      <c r="BB99" s="222">
        <f>SUM(AZ99:BA99)</f>
        <v>0</v>
      </c>
      <c r="BC99" s="221">
        <f>(BB99+1)/(AI99+1)</f>
        <v>1</v>
      </c>
      <c r="BD99" s="223"/>
      <c r="BE99" s="223"/>
    </row>
    <row r="100" spans="3:57" ht="18" customHeight="1" x14ac:dyDescent="0.2">
      <c r="C100" s="15"/>
      <c r="D100" s="15"/>
      <c r="E100" s="15"/>
      <c r="F100" s="15"/>
      <c r="G100" s="15"/>
      <c r="H100" s="15"/>
      <c r="I100" s="15"/>
      <c r="J100" s="15"/>
      <c r="K100" s="15"/>
      <c r="L100" s="15"/>
      <c r="M100" s="15"/>
      <c r="N100" s="15"/>
      <c r="P100" s="15"/>
      <c r="R100" s="15"/>
      <c r="T100" s="15"/>
      <c r="AC100" s="224" t="s">
        <v>273</v>
      </c>
      <c r="AD100" s="225"/>
      <c r="AE100" s="225"/>
      <c r="AF100" s="226"/>
      <c r="AG100" s="226"/>
      <c r="AH100" s="227"/>
      <c r="AI100" s="226"/>
      <c r="AJ100" s="226"/>
      <c r="AK100" s="226"/>
      <c r="AL100" s="226"/>
      <c r="AM100" s="228" t="e">
        <f t="shared" ref="AM100:AM101" si="200">SUM(AJ100:AL100)/AH100</f>
        <v>#DIV/0!</v>
      </c>
      <c r="AN100" s="226"/>
      <c r="AO100" s="226"/>
      <c r="AP100" s="229" t="e">
        <f t="shared" ref="AP100:AP101" si="201">SUM(AN100:AO100)/AI100</f>
        <v>#DIV/0!</v>
      </c>
      <c r="AQ100" s="226"/>
      <c r="AR100" s="226"/>
      <c r="AS100" s="229" t="e">
        <f>(AQ100+AR100)/$AG100</f>
        <v>#DIV/0!</v>
      </c>
      <c r="AT100" s="226"/>
      <c r="AU100" s="226"/>
      <c r="AV100" s="229" t="e">
        <f>(AT100+AU100)/$AG100</f>
        <v>#DIV/0!</v>
      </c>
      <c r="AW100" s="226"/>
      <c r="AX100" s="226"/>
      <c r="AY100" s="229" t="e">
        <f>(AW100+AX100)/$AG100</f>
        <v>#DIV/0!</v>
      </c>
      <c r="AZ100" s="230">
        <f t="shared" ref="AZ100:BA101" si="202">SUM(AN100,AQ100,AT100,AW100)</f>
        <v>0</v>
      </c>
      <c r="BA100" s="230">
        <f t="shared" si="202"/>
        <v>0</v>
      </c>
      <c r="BB100" s="230">
        <f t="shared" ref="BB100:BB101" si="203">SUM(AZ100:BA100)</f>
        <v>0</v>
      </c>
      <c r="BC100" s="229">
        <f t="shared" ref="BC100:BC101" si="204">(BB100+1)/(AI100+1)</f>
        <v>1</v>
      </c>
      <c r="BD100" s="231"/>
      <c r="BE100" s="231"/>
    </row>
    <row r="101" spans="3:57" ht="18" customHeight="1" x14ac:dyDescent="0.2">
      <c r="C101" s="15"/>
      <c r="D101" s="15"/>
      <c r="E101" s="15"/>
      <c r="F101" s="15"/>
      <c r="G101" s="15"/>
      <c r="H101" s="15"/>
      <c r="I101" s="15"/>
      <c r="J101" s="15"/>
      <c r="K101" s="15"/>
      <c r="L101" s="15"/>
      <c r="M101" s="15"/>
      <c r="N101" s="15"/>
      <c r="P101" s="15"/>
      <c r="R101" s="15"/>
      <c r="T101" s="15"/>
      <c r="AC101" s="232" t="s">
        <v>275</v>
      </c>
      <c r="AD101" s="233">
        <v>46064</v>
      </c>
      <c r="AE101" s="233">
        <v>46065</v>
      </c>
      <c r="AF101" s="234">
        <v>1</v>
      </c>
      <c r="AG101" s="234">
        <v>502</v>
      </c>
      <c r="AH101" s="235">
        <v>502</v>
      </c>
      <c r="AI101" s="234">
        <v>495</v>
      </c>
      <c r="AJ101" s="234">
        <v>0</v>
      </c>
      <c r="AK101" s="234">
        <v>0</v>
      </c>
      <c r="AL101" s="234">
        <v>7</v>
      </c>
      <c r="AM101" s="236">
        <f t="shared" si="200"/>
        <v>1.3944223107569721E-2</v>
      </c>
      <c r="AN101" s="234">
        <v>16</v>
      </c>
      <c r="AO101" s="234">
        <v>0</v>
      </c>
      <c r="AP101" s="237">
        <f t="shared" si="201"/>
        <v>3.2323232323232323E-2</v>
      </c>
      <c r="AQ101" s="234">
        <v>2</v>
      </c>
      <c r="AR101" s="234">
        <v>0</v>
      </c>
      <c r="AS101" s="237">
        <f>(AQ101+AR101)/$AG101</f>
        <v>3.9840637450199202E-3</v>
      </c>
      <c r="AT101" s="234">
        <v>2</v>
      </c>
      <c r="AU101" s="234">
        <v>0</v>
      </c>
      <c r="AV101" s="237">
        <f>(AT101+AU101)/$AG101</f>
        <v>3.9840637450199202E-3</v>
      </c>
      <c r="AW101" s="234">
        <v>0</v>
      </c>
      <c r="AX101" s="234">
        <v>0</v>
      </c>
      <c r="AY101" s="237">
        <f>(AW101+AX101)/$AG101</f>
        <v>0</v>
      </c>
      <c r="AZ101" s="238">
        <f t="shared" si="202"/>
        <v>20</v>
      </c>
      <c r="BA101" s="238">
        <f t="shared" si="202"/>
        <v>0</v>
      </c>
      <c r="BB101" s="238">
        <f t="shared" si="203"/>
        <v>20</v>
      </c>
      <c r="BC101" s="237">
        <f t="shared" si="204"/>
        <v>4.2338709677419352E-2</v>
      </c>
      <c r="BD101" s="239" t="s">
        <v>274</v>
      </c>
      <c r="BE101" s="239" t="s">
        <v>268</v>
      </c>
    </row>
    <row r="102" spans="3:57" ht="18" customHeight="1" x14ac:dyDescent="0.2">
      <c r="C102" s="15"/>
      <c r="D102" s="15"/>
      <c r="E102" s="15"/>
      <c r="F102" s="15"/>
      <c r="G102" s="15"/>
      <c r="H102" s="15"/>
      <c r="I102" s="15"/>
      <c r="J102" s="15"/>
      <c r="K102" s="15"/>
      <c r="L102" s="15"/>
      <c r="M102" s="15"/>
      <c r="N102" s="15"/>
      <c r="P102" s="15"/>
      <c r="R102" s="15"/>
      <c r="T102" s="15"/>
      <c r="AC102" s="7"/>
      <c r="AG102" s="240">
        <f>SUM(AG99:AG101)</f>
        <v>502</v>
      </c>
      <c r="AH102" s="240">
        <f>SUM(AH99:AH101)</f>
        <v>502</v>
      </c>
      <c r="AI102" s="240">
        <f t="shared" ref="AI102:AL102" si="205">SUM(AI99:AI101)</f>
        <v>495</v>
      </c>
      <c r="AJ102" s="240">
        <f t="shared" si="205"/>
        <v>0</v>
      </c>
      <c r="AK102" s="240">
        <f t="shared" si="205"/>
        <v>0</v>
      </c>
      <c r="AL102" s="240">
        <f t="shared" si="205"/>
        <v>7</v>
      </c>
      <c r="AM102" s="135"/>
      <c r="AN102" s="240">
        <f>SUM(AN99:AN101)</f>
        <v>16</v>
      </c>
      <c r="AO102" s="240">
        <f>SUM(AO99:AO101)</f>
        <v>0</v>
      </c>
      <c r="AP102" s="241"/>
      <c r="AQ102" s="240">
        <f>SUM(AQ99:AQ101)</f>
        <v>2</v>
      </c>
      <c r="AR102" s="240">
        <f>SUM(AR99:AR101)</f>
        <v>0</v>
      </c>
      <c r="AS102" s="241"/>
      <c r="AT102" s="240">
        <f>SUM(AT99:AT101)</f>
        <v>2</v>
      </c>
      <c r="AU102" s="240">
        <f>SUM(AU99:AU101)</f>
        <v>0</v>
      </c>
      <c r="AV102" s="241"/>
      <c r="AW102" s="240">
        <f>SUM(AW99:AW101)</f>
        <v>0</v>
      </c>
      <c r="AX102" s="240">
        <f>SUM(AX99:AX101)</f>
        <v>0</v>
      </c>
      <c r="AY102" s="241"/>
      <c r="AZ102" s="240">
        <f>SUM(AZ99:AZ101)</f>
        <v>20</v>
      </c>
      <c r="BA102" s="240">
        <f>SUM(BA99:BA101)</f>
        <v>0</v>
      </c>
      <c r="BB102" s="240">
        <f>SUM(AZ102:BA102)</f>
        <v>20</v>
      </c>
      <c r="BC102" s="242">
        <f>(BB102+1)/(AI102+1)</f>
        <v>4.2338709677419352E-2</v>
      </c>
      <c r="BD102" s="98"/>
      <c r="BE102" s="98"/>
    </row>
    <row r="103" spans="3:57" ht="18" customHeight="1" x14ac:dyDescent="0.2">
      <c r="AC103" s="212" t="s">
        <v>301</v>
      </c>
      <c r="AD103" s="15"/>
      <c r="AE103" s="23"/>
      <c r="AF103" s="16"/>
      <c r="AG103" s="15"/>
      <c r="AH103" s="15"/>
      <c r="AI103" s="15"/>
      <c r="AJ103" s="15"/>
      <c r="AK103" s="15"/>
      <c r="AL103" s="22"/>
      <c r="AM103" s="213"/>
      <c r="AN103" s="23"/>
      <c r="AO103" s="23"/>
      <c r="AP103" s="7"/>
      <c r="AQ103" s="15"/>
      <c r="AR103" s="15"/>
      <c r="AS103" s="7"/>
      <c r="AT103" s="15"/>
      <c r="AU103" s="15"/>
      <c r="AV103" s="7"/>
      <c r="AW103" s="15"/>
      <c r="AX103" s="15"/>
      <c r="AY103" s="214"/>
      <c r="AZ103" s="215"/>
      <c r="BA103" s="10"/>
      <c r="BB103" s="7"/>
      <c r="BC103" s="7"/>
      <c r="BD103" s="7"/>
      <c r="BE103" s="7"/>
    </row>
    <row r="104" spans="3:57" ht="18" customHeight="1" x14ac:dyDescent="0.2">
      <c r="AC104" s="216" t="s">
        <v>271</v>
      </c>
      <c r="AD104" s="217"/>
      <c r="AE104" s="217"/>
      <c r="AF104" s="218"/>
      <c r="AG104" s="218"/>
      <c r="AH104" s="219"/>
      <c r="AI104" s="218"/>
      <c r="AJ104" s="218"/>
      <c r="AK104" s="218"/>
      <c r="AL104" s="218"/>
      <c r="AM104" s="220" t="e">
        <f>SUM(AJ104:AL104)/AH104</f>
        <v>#DIV/0!</v>
      </c>
      <c r="AN104" s="218"/>
      <c r="AO104" s="218"/>
      <c r="AP104" s="221" t="e">
        <f>SUM(AN104:AO104)/AI104</f>
        <v>#DIV/0!</v>
      </c>
      <c r="AQ104" s="218"/>
      <c r="AR104" s="218"/>
      <c r="AS104" s="221" t="e">
        <f>(AQ104+AR104)/$AG104</f>
        <v>#DIV/0!</v>
      </c>
      <c r="AT104" s="218"/>
      <c r="AU104" s="218"/>
      <c r="AV104" s="221" t="e">
        <f>(AT104+AU104)/$AG104</f>
        <v>#DIV/0!</v>
      </c>
      <c r="AW104" s="218"/>
      <c r="AX104" s="218"/>
      <c r="AY104" s="221" t="e">
        <f>(AW104+AX104)/$AG104</f>
        <v>#DIV/0!</v>
      </c>
      <c r="AZ104" s="222">
        <f>SUM(AN104,AQ104,AT104,AW104)</f>
        <v>0</v>
      </c>
      <c r="BA104" s="222">
        <f>SUM(AO104,AR104,AU104,AX104)</f>
        <v>0</v>
      </c>
      <c r="BB104" s="222">
        <f>SUM(AZ104:BA104)</f>
        <v>0</v>
      </c>
      <c r="BC104" s="221">
        <f>(BB104+1)/(AI104+1)</f>
        <v>1</v>
      </c>
      <c r="BD104" s="223"/>
      <c r="BE104" s="223"/>
    </row>
    <row r="105" spans="3:57" ht="18" customHeight="1" x14ac:dyDescent="0.2">
      <c r="AC105" s="224" t="s">
        <v>273</v>
      </c>
      <c r="AD105" s="225">
        <v>46064</v>
      </c>
      <c r="AE105" s="225">
        <v>46065</v>
      </c>
      <c r="AF105" s="226">
        <v>1</v>
      </c>
      <c r="AG105" s="226">
        <v>509</v>
      </c>
      <c r="AH105" s="227">
        <v>281</v>
      </c>
      <c r="AI105" s="226">
        <v>279</v>
      </c>
      <c r="AJ105" s="226">
        <v>228</v>
      </c>
      <c r="AK105" s="226">
        <v>0</v>
      </c>
      <c r="AL105" s="226">
        <v>2</v>
      </c>
      <c r="AM105" s="228">
        <f t="shared" ref="AM105:AM106" si="206">SUM(AJ105:AL105)/AH105</f>
        <v>0.81850533807829184</v>
      </c>
      <c r="AN105" s="226">
        <v>8</v>
      </c>
      <c r="AO105" s="226">
        <v>0</v>
      </c>
      <c r="AP105" s="229">
        <f t="shared" ref="AP105:AP106" si="207">SUM(AN105:AO105)/AI105</f>
        <v>2.8673835125448029E-2</v>
      </c>
      <c r="AQ105" s="226">
        <v>0</v>
      </c>
      <c r="AR105" s="226">
        <v>0</v>
      </c>
      <c r="AS105" s="229">
        <f>(AQ105+AR105)/$AG105</f>
        <v>0</v>
      </c>
      <c r="AT105" s="226">
        <v>1</v>
      </c>
      <c r="AU105" s="226">
        <v>0</v>
      </c>
      <c r="AV105" s="229">
        <f>(AT105+AU105)/$AG105</f>
        <v>1.9646365422396855E-3</v>
      </c>
      <c r="AW105" s="226">
        <v>0</v>
      </c>
      <c r="AX105" s="226">
        <v>0</v>
      </c>
      <c r="AY105" s="229">
        <f>(AW105+AX105)/$AG105</f>
        <v>0</v>
      </c>
      <c r="AZ105" s="230">
        <f t="shared" ref="AZ105:BA106" si="208">SUM(AN105,AQ105,AT105,AW105)</f>
        <v>9</v>
      </c>
      <c r="BA105" s="230">
        <f t="shared" si="208"/>
        <v>0</v>
      </c>
      <c r="BB105" s="230">
        <f t="shared" ref="BB105:BB106" si="209">SUM(AZ105:BA105)</f>
        <v>9</v>
      </c>
      <c r="BC105" s="229">
        <f t="shared" ref="BC105:BC106" si="210">(BB105+1)/(AI105+1)</f>
        <v>3.5714285714285712E-2</v>
      </c>
      <c r="BD105" s="231" t="s">
        <v>274</v>
      </c>
      <c r="BE105" s="231" t="s">
        <v>268</v>
      </c>
    </row>
    <row r="106" spans="3:57" ht="18" customHeight="1" x14ac:dyDescent="0.2">
      <c r="AC106" s="232" t="s">
        <v>275</v>
      </c>
      <c r="AD106" s="233"/>
      <c r="AE106" s="233"/>
      <c r="AF106" s="234"/>
      <c r="AG106" s="234"/>
      <c r="AH106" s="235"/>
      <c r="AI106" s="234"/>
      <c r="AJ106" s="234"/>
      <c r="AK106" s="234"/>
      <c r="AL106" s="234"/>
      <c r="AM106" s="236" t="e">
        <f t="shared" si="206"/>
        <v>#DIV/0!</v>
      </c>
      <c r="AN106" s="234"/>
      <c r="AO106" s="234"/>
      <c r="AP106" s="237" t="e">
        <f t="shared" si="207"/>
        <v>#DIV/0!</v>
      </c>
      <c r="AQ106" s="234"/>
      <c r="AR106" s="234"/>
      <c r="AS106" s="237" t="e">
        <f>(AQ106+AR106)/$AG106</f>
        <v>#DIV/0!</v>
      </c>
      <c r="AT106" s="234"/>
      <c r="AU106" s="234"/>
      <c r="AV106" s="237" t="e">
        <f>(AT106+AU106)/$AG106</f>
        <v>#DIV/0!</v>
      </c>
      <c r="AW106" s="234"/>
      <c r="AX106" s="234"/>
      <c r="AY106" s="237" t="e">
        <f>(AW106+AX106)/$AG106</f>
        <v>#DIV/0!</v>
      </c>
      <c r="AZ106" s="238">
        <f t="shared" si="208"/>
        <v>0</v>
      </c>
      <c r="BA106" s="238">
        <f t="shared" si="208"/>
        <v>0</v>
      </c>
      <c r="BB106" s="238">
        <f t="shared" si="209"/>
        <v>0</v>
      </c>
      <c r="BC106" s="237">
        <f t="shared" si="210"/>
        <v>1</v>
      </c>
      <c r="BD106" s="239"/>
      <c r="BE106" s="239"/>
    </row>
    <row r="107" spans="3:57" ht="18" customHeight="1" x14ac:dyDescent="0.2">
      <c r="AC107" s="7"/>
      <c r="AG107" s="240">
        <f>SUM(AG104:AG106)</f>
        <v>509</v>
      </c>
      <c r="AH107" s="240">
        <f>SUM(AH104:AH106)</f>
        <v>281</v>
      </c>
      <c r="AI107" s="240">
        <f t="shared" ref="AI107:AL107" si="211">SUM(AI104:AI106)</f>
        <v>279</v>
      </c>
      <c r="AJ107" s="240">
        <f t="shared" si="211"/>
        <v>228</v>
      </c>
      <c r="AK107" s="240">
        <f t="shared" si="211"/>
        <v>0</v>
      </c>
      <c r="AL107" s="240">
        <f t="shared" si="211"/>
        <v>2</v>
      </c>
      <c r="AM107" s="135"/>
      <c r="AN107" s="240">
        <f>SUM(AN104:AN106)</f>
        <v>8</v>
      </c>
      <c r="AO107" s="240">
        <f>SUM(AO104:AO106)</f>
        <v>0</v>
      </c>
      <c r="AP107" s="241"/>
      <c r="AQ107" s="240">
        <f>SUM(AQ104:AQ106)</f>
        <v>0</v>
      </c>
      <c r="AR107" s="240">
        <f>SUM(AR104:AR106)</f>
        <v>0</v>
      </c>
      <c r="AS107" s="241">
        <f ca="1">SUM(AS107:AT107)</f>
        <v>0</v>
      </c>
      <c r="AT107" s="240">
        <f>SUM(AT104:AT106)</f>
        <v>1</v>
      </c>
      <c r="AU107" s="240">
        <f>SUM(AU104:AU106)</f>
        <v>0</v>
      </c>
      <c r="AV107" s="241"/>
      <c r="AW107" s="240">
        <f>SUM(AW104:AW106)</f>
        <v>0</v>
      </c>
      <c r="AX107" s="240">
        <f>SUM(AX104:AX106)</f>
        <v>0</v>
      </c>
      <c r="AY107" s="241"/>
      <c r="AZ107" s="240">
        <f>SUM(AZ104:AZ106)</f>
        <v>9</v>
      </c>
      <c r="BA107" s="240">
        <f>SUM(BA104:BA106)</f>
        <v>0</v>
      </c>
      <c r="BB107" s="240">
        <f>SUM(AZ107:BA107)</f>
        <v>9</v>
      </c>
      <c r="BC107" s="242">
        <f>(BB107+1)/(AI107+1)</f>
        <v>3.5714285714285712E-2</v>
      </c>
      <c r="BD107" s="98"/>
      <c r="BE107" s="98"/>
    </row>
    <row r="108" spans="3:57" ht="18" customHeight="1" x14ac:dyDescent="0.2">
      <c r="AC108" s="212" t="s">
        <v>302</v>
      </c>
      <c r="AD108" s="15"/>
      <c r="AE108" s="23"/>
      <c r="AF108" s="16"/>
      <c r="AG108" s="15"/>
      <c r="AH108" s="15"/>
      <c r="AI108" s="15"/>
      <c r="AJ108" s="15"/>
      <c r="AK108" s="15"/>
      <c r="AL108" s="22"/>
      <c r="AM108" s="213"/>
      <c r="AN108" s="23"/>
      <c r="AO108" s="23"/>
      <c r="AP108" s="7"/>
      <c r="AQ108" s="15"/>
      <c r="AR108" s="15"/>
      <c r="AS108" s="7"/>
      <c r="AT108" s="15"/>
      <c r="AU108" s="15"/>
      <c r="AV108" s="7"/>
      <c r="AW108" s="15"/>
      <c r="AX108" s="15"/>
      <c r="AY108" s="214"/>
      <c r="AZ108" s="215"/>
      <c r="BA108" s="10"/>
      <c r="BB108" s="7"/>
      <c r="BC108" s="7"/>
      <c r="BD108" s="7"/>
      <c r="BE108" s="7"/>
    </row>
    <row r="109" spans="3:57" ht="18" customHeight="1" x14ac:dyDescent="0.2">
      <c r="AC109" s="216" t="s">
        <v>271</v>
      </c>
      <c r="AD109" s="217"/>
      <c r="AE109" s="217"/>
      <c r="AF109" s="218"/>
      <c r="AG109" s="218"/>
      <c r="AH109" s="219"/>
      <c r="AI109" s="218"/>
      <c r="AJ109" s="218"/>
      <c r="AK109" s="218"/>
      <c r="AL109" s="218"/>
      <c r="AM109" s="220" t="e">
        <f>SUM(AJ109:AL109)/AH109</f>
        <v>#DIV/0!</v>
      </c>
      <c r="AN109" s="218"/>
      <c r="AO109" s="218"/>
      <c r="AP109" s="221" t="e">
        <f>SUM(AN109:AO109)/AI109</f>
        <v>#DIV/0!</v>
      </c>
      <c r="AQ109" s="218"/>
      <c r="AR109" s="218"/>
      <c r="AS109" s="221" t="e">
        <f>(AQ109+AR109)/$AG109</f>
        <v>#DIV/0!</v>
      </c>
      <c r="AT109" s="218"/>
      <c r="AU109" s="218"/>
      <c r="AV109" s="221" t="e">
        <f>(AT109+AU109)/$AG109</f>
        <v>#DIV/0!</v>
      </c>
      <c r="AW109" s="218"/>
      <c r="AX109" s="218"/>
      <c r="AY109" s="221" t="e">
        <f>(AW109+AX109)/$AG109</f>
        <v>#DIV/0!</v>
      </c>
      <c r="AZ109" s="222">
        <f>SUM(AN109,AQ109,AT109,AW109)</f>
        <v>0</v>
      </c>
      <c r="BA109" s="222">
        <f>SUM(AO109,AR109,AU109,AX109)</f>
        <v>0</v>
      </c>
      <c r="BB109" s="222">
        <f>SUM(AZ109:BA109)</f>
        <v>0</v>
      </c>
      <c r="BC109" s="221">
        <f>(BB109+1)/(AI109+1)</f>
        <v>1</v>
      </c>
      <c r="BD109" s="223"/>
      <c r="BE109" s="223"/>
    </row>
    <row r="110" spans="3:57" ht="18" customHeight="1" x14ac:dyDescent="0.2">
      <c r="AC110" s="224" t="s">
        <v>273</v>
      </c>
      <c r="AD110" s="225"/>
      <c r="AE110" s="225"/>
      <c r="AF110" s="226"/>
      <c r="AG110" s="226"/>
      <c r="AH110" s="227"/>
      <c r="AI110" s="226"/>
      <c r="AJ110" s="226"/>
      <c r="AK110" s="226"/>
      <c r="AL110" s="226"/>
      <c r="AM110" s="228" t="e">
        <f t="shared" ref="AM110:AM111" si="212">SUM(AJ110:AL110)/AH110</f>
        <v>#DIV/0!</v>
      </c>
      <c r="AN110" s="226"/>
      <c r="AO110" s="226"/>
      <c r="AP110" s="229" t="e">
        <f t="shared" ref="AP110:AP111" si="213">SUM(AN110:AO110)/AI110</f>
        <v>#DIV/0!</v>
      </c>
      <c r="AQ110" s="226"/>
      <c r="AR110" s="226"/>
      <c r="AS110" s="229" t="e">
        <f>(AQ110+AR110)/$AG110</f>
        <v>#DIV/0!</v>
      </c>
      <c r="AT110" s="226"/>
      <c r="AU110" s="226"/>
      <c r="AV110" s="229" t="e">
        <f>(AT110+AU110)/$AG110</f>
        <v>#DIV/0!</v>
      </c>
      <c r="AW110" s="226"/>
      <c r="AX110" s="226"/>
      <c r="AY110" s="229" t="e">
        <f>(AW110+AX110)/$AG110</f>
        <v>#DIV/0!</v>
      </c>
      <c r="AZ110" s="230">
        <f t="shared" ref="AZ110:BA111" si="214">SUM(AN110,AQ110,AT110,AW110)</f>
        <v>0</v>
      </c>
      <c r="BA110" s="230">
        <f t="shared" si="214"/>
        <v>0</v>
      </c>
      <c r="BB110" s="230">
        <f t="shared" ref="BB110:BB111" si="215">SUM(AZ110:BA110)</f>
        <v>0</v>
      </c>
      <c r="BC110" s="229">
        <f t="shared" ref="BC110:BC111" si="216">(BB110+1)/(AI110+1)</f>
        <v>1</v>
      </c>
      <c r="BD110" s="231"/>
      <c r="BE110" s="231"/>
    </row>
    <row r="111" spans="3:57" ht="18" customHeight="1" x14ac:dyDescent="0.2">
      <c r="AC111" s="232" t="s">
        <v>275</v>
      </c>
      <c r="AD111" s="233">
        <v>46085</v>
      </c>
      <c r="AE111" s="233">
        <v>46086</v>
      </c>
      <c r="AF111" s="234">
        <v>1</v>
      </c>
      <c r="AG111" s="234">
        <v>252</v>
      </c>
      <c r="AH111" s="235">
        <v>252</v>
      </c>
      <c r="AI111" s="234">
        <v>251</v>
      </c>
      <c r="AJ111" s="234">
        <v>1</v>
      </c>
      <c r="AK111" s="234">
        <v>0</v>
      </c>
      <c r="AL111" s="234">
        <v>1</v>
      </c>
      <c r="AM111" s="236">
        <f t="shared" si="212"/>
        <v>7.9365079365079361E-3</v>
      </c>
      <c r="AN111" s="234">
        <v>26</v>
      </c>
      <c r="AO111" s="234">
        <v>0</v>
      </c>
      <c r="AP111" s="237">
        <f t="shared" si="213"/>
        <v>0.10358565737051793</v>
      </c>
      <c r="AQ111" s="234">
        <v>0</v>
      </c>
      <c r="AR111" s="234">
        <v>0</v>
      </c>
      <c r="AS111" s="237">
        <f>(AQ111+AR111)/$AG111</f>
        <v>0</v>
      </c>
      <c r="AT111" s="234">
        <v>0</v>
      </c>
      <c r="AU111" s="234">
        <v>0</v>
      </c>
      <c r="AV111" s="237">
        <f>(AT111+AU111)/$AG111</f>
        <v>0</v>
      </c>
      <c r="AW111" s="234">
        <v>0</v>
      </c>
      <c r="AX111" s="234">
        <v>0</v>
      </c>
      <c r="AY111" s="237">
        <f>(AW111+AX111)/$AG111</f>
        <v>0</v>
      </c>
      <c r="AZ111" s="238">
        <f t="shared" si="214"/>
        <v>26</v>
      </c>
      <c r="BA111" s="238">
        <f t="shared" si="214"/>
        <v>0</v>
      </c>
      <c r="BB111" s="238">
        <f t="shared" si="215"/>
        <v>26</v>
      </c>
      <c r="BC111" s="237">
        <f t="shared" si="216"/>
        <v>0.10714285714285714</v>
      </c>
      <c r="BD111" s="239" t="s">
        <v>274</v>
      </c>
      <c r="BE111" s="239" t="s">
        <v>268</v>
      </c>
    </row>
    <row r="112" spans="3:57" ht="18" customHeight="1" x14ac:dyDescent="0.2">
      <c r="AC112" s="7"/>
      <c r="AG112" s="240">
        <f>SUM(AG109:AG111)</f>
        <v>252</v>
      </c>
      <c r="AH112" s="240">
        <f>SUM(AH109:AH111)</f>
        <v>252</v>
      </c>
      <c r="AI112" s="240">
        <f t="shared" ref="AI112:AL112" si="217">SUM(AI109:AI111)</f>
        <v>251</v>
      </c>
      <c r="AJ112" s="240">
        <f t="shared" si="217"/>
        <v>1</v>
      </c>
      <c r="AK112" s="240">
        <f t="shared" si="217"/>
        <v>0</v>
      </c>
      <c r="AL112" s="240">
        <f t="shared" si="217"/>
        <v>1</v>
      </c>
      <c r="AM112" s="135"/>
      <c r="AN112" s="240">
        <f>SUM(AN109:AN111)</f>
        <v>26</v>
      </c>
      <c r="AO112" s="240">
        <f>SUM(AO109:AO111)</f>
        <v>0</v>
      </c>
      <c r="AP112" s="241"/>
      <c r="AQ112" s="240">
        <f>SUM(AQ109:AQ111)</f>
        <v>0</v>
      </c>
      <c r="AR112" s="240">
        <f>SUM(AR109:AR111)</f>
        <v>0</v>
      </c>
      <c r="AS112" s="241"/>
      <c r="AT112" s="240">
        <f>SUM(AT109:AT111)</f>
        <v>0</v>
      </c>
      <c r="AU112" s="240">
        <f>SUM(AU109:AU111)</f>
        <v>0</v>
      </c>
      <c r="AV112" s="241"/>
      <c r="AW112" s="240">
        <f>SUM(AW109:AW111)</f>
        <v>0</v>
      </c>
      <c r="AX112" s="240">
        <f>SUM(AX109:AX111)</f>
        <v>0</v>
      </c>
      <c r="AY112" s="241"/>
      <c r="AZ112" s="240">
        <f>SUM(AZ109:AZ111)</f>
        <v>26</v>
      </c>
      <c r="BA112" s="240">
        <f>SUM(BA109:BA111)</f>
        <v>0</v>
      </c>
      <c r="BB112" s="240">
        <f>SUM(AZ112:BA112)</f>
        <v>26</v>
      </c>
      <c r="BC112" s="242">
        <f>(BB112+1)/(AI112+1)</f>
        <v>0.10714285714285714</v>
      </c>
      <c r="BD112" s="98"/>
      <c r="BE112" s="98"/>
    </row>
    <row r="113" spans="29:57" ht="18" customHeight="1" x14ac:dyDescent="0.2">
      <c r="AC113" s="212" t="s">
        <v>303</v>
      </c>
      <c r="AD113" s="15"/>
      <c r="AE113" s="23"/>
      <c r="AF113" s="16"/>
      <c r="AG113" s="15"/>
      <c r="AH113" s="15"/>
      <c r="AI113" s="15"/>
      <c r="AJ113" s="15"/>
      <c r="AK113" s="15"/>
      <c r="AL113" s="22"/>
      <c r="AM113" s="213"/>
      <c r="AN113" s="23"/>
      <c r="AO113" s="23"/>
      <c r="AP113" s="7"/>
      <c r="AQ113" s="15"/>
      <c r="AR113" s="15"/>
      <c r="AS113" s="7"/>
      <c r="AT113" s="15"/>
      <c r="AU113" s="15"/>
      <c r="AV113" s="7"/>
      <c r="AW113" s="15"/>
      <c r="AX113" s="15"/>
      <c r="AY113" s="214"/>
      <c r="AZ113" s="215"/>
      <c r="BA113" s="10"/>
      <c r="BB113" s="7"/>
      <c r="BC113" s="7"/>
      <c r="BD113" s="7"/>
      <c r="BE113" s="7"/>
    </row>
    <row r="114" spans="29:57" ht="18" customHeight="1" x14ac:dyDescent="0.2">
      <c r="AC114" s="216" t="s">
        <v>271</v>
      </c>
      <c r="AD114" s="217"/>
      <c r="AE114" s="217"/>
      <c r="AF114" s="218"/>
      <c r="AG114" s="218"/>
      <c r="AH114" s="219"/>
      <c r="AI114" s="218"/>
      <c r="AJ114" s="218"/>
      <c r="AK114" s="218"/>
      <c r="AL114" s="218"/>
      <c r="AM114" s="220" t="e">
        <f>SUM(AJ114:AL114)/AH114</f>
        <v>#DIV/0!</v>
      </c>
      <c r="AN114" s="218"/>
      <c r="AO114" s="218"/>
      <c r="AP114" s="221" t="e">
        <f>SUM(AN114:AO114)/AI114</f>
        <v>#DIV/0!</v>
      </c>
      <c r="AQ114" s="218"/>
      <c r="AR114" s="218"/>
      <c r="AS114" s="221" t="e">
        <f>(AQ114+AR114)/$AG114</f>
        <v>#DIV/0!</v>
      </c>
      <c r="AT114" s="218"/>
      <c r="AU114" s="218"/>
      <c r="AV114" s="221" t="e">
        <f>(AT114+AU114)/$AG114</f>
        <v>#DIV/0!</v>
      </c>
      <c r="AW114" s="218"/>
      <c r="AX114" s="218"/>
      <c r="AY114" s="221" t="e">
        <f>(AW114+AX114)/$AG114</f>
        <v>#DIV/0!</v>
      </c>
      <c r="AZ114" s="222">
        <f>SUM(AN114,AQ114,AT114,AW114)</f>
        <v>0</v>
      </c>
      <c r="BA114" s="222">
        <f>SUM(AO114,AR114,AU114,AX114)</f>
        <v>0</v>
      </c>
      <c r="BB114" s="222">
        <f>SUM(AZ114:BA114)</f>
        <v>0</v>
      </c>
      <c r="BC114" s="221">
        <f>(BB114+1)/(AI114+1)</f>
        <v>1</v>
      </c>
      <c r="BD114" s="223"/>
      <c r="BE114" s="223"/>
    </row>
    <row r="115" spans="29:57" ht="18" customHeight="1" x14ac:dyDescent="0.2">
      <c r="AC115" s="224" t="s">
        <v>273</v>
      </c>
      <c r="AD115" s="225">
        <v>46085</v>
      </c>
      <c r="AE115" s="225">
        <v>46086</v>
      </c>
      <c r="AF115" s="226">
        <v>1</v>
      </c>
      <c r="AG115" s="226">
        <v>253</v>
      </c>
      <c r="AH115" s="227">
        <v>253</v>
      </c>
      <c r="AI115" s="226">
        <v>253</v>
      </c>
      <c r="AJ115" s="226">
        <v>0</v>
      </c>
      <c r="AK115" s="226">
        <v>0</v>
      </c>
      <c r="AL115" s="226">
        <v>0</v>
      </c>
      <c r="AM115" s="228">
        <f t="shared" ref="AM115:AM116" si="218">SUM(AJ115:AL115)/AH115</f>
        <v>0</v>
      </c>
      <c r="AN115" s="226">
        <v>19</v>
      </c>
      <c r="AO115" s="226">
        <v>0</v>
      </c>
      <c r="AP115" s="229">
        <f t="shared" ref="AP115:AP116" si="219">SUM(AN115:AO115)/AI115</f>
        <v>7.5098814229249009E-2</v>
      </c>
      <c r="AQ115" s="226">
        <v>0</v>
      </c>
      <c r="AR115" s="226">
        <v>0</v>
      </c>
      <c r="AS115" s="229">
        <f>(AQ115+AR115)/$AG115</f>
        <v>0</v>
      </c>
      <c r="AT115" s="226">
        <v>0</v>
      </c>
      <c r="AU115" s="226">
        <v>0</v>
      </c>
      <c r="AV115" s="229">
        <f>(AT115+AU115)/$AG115</f>
        <v>0</v>
      </c>
      <c r="AW115" s="226">
        <v>0</v>
      </c>
      <c r="AX115" s="226">
        <v>0</v>
      </c>
      <c r="AY115" s="229">
        <f>(AW115+AX115)/$AG115</f>
        <v>0</v>
      </c>
      <c r="AZ115" s="230">
        <f t="shared" ref="AZ115:BA116" si="220">SUM(AN115,AQ115,AT115,AW115)</f>
        <v>19</v>
      </c>
      <c r="BA115" s="230">
        <f t="shared" si="220"/>
        <v>0</v>
      </c>
      <c r="BB115" s="230">
        <f t="shared" ref="BB115:BB116" si="221">SUM(AZ115:BA115)</f>
        <v>19</v>
      </c>
      <c r="BC115" s="229">
        <f t="shared" ref="BC115:BC116" si="222">(BB115+1)/(AI115+1)</f>
        <v>7.874015748031496E-2</v>
      </c>
      <c r="BD115" s="231" t="s">
        <v>274</v>
      </c>
      <c r="BE115" s="231" t="s">
        <v>268</v>
      </c>
    </row>
    <row r="116" spans="29:57" ht="18" customHeight="1" x14ac:dyDescent="0.2">
      <c r="AC116" s="232" t="s">
        <v>275</v>
      </c>
      <c r="AD116" s="233"/>
      <c r="AE116" s="233"/>
      <c r="AF116" s="234"/>
      <c r="AG116" s="234"/>
      <c r="AH116" s="235"/>
      <c r="AI116" s="234"/>
      <c r="AJ116" s="234"/>
      <c r="AK116" s="234"/>
      <c r="AL116" s="234"/>
      <c r="AM116" s="236" t="e">
        <f t="shared" si="218"/>
        <v>#DIV/0!</v>
      </c>
      <c r="AN116" s="234"/>
      <c r="AO116" s="234"/>
      <c r="AP116" s="237" t="e">
        <f t="shared" si="219"/>
        <v>#DIV/0!</v>
      </c>
      <c r="AQ116" s="234"/>
      <c r="AR116" s="234"/>
      <c r="AS116" s="237" t="e">
        <f>(AQ116+AR116)/$AG116</f>
        <v>#DIV/0!</v>
      </c>
      <c r="AT116" s="234"/>
      <c r="AU116" s="234"/>
      <c r="AV116" s="237" t="e">
        <f>(AT116+AU116)/$AG116</f>
        <v>#DIV/0!</v>
      </c>
      <c r="AW116" s="234"/>
      <c r="AX116" s="234"/>
      <c r="AY116" s="237" t="e">
        <f>(AW116+AX116)/$AG116</f>
        <v>#DIV/0!</v>
      </c>
      <c r="AZ116" s="238">
        <f t="shared" si="220"/>
        <v>0</v>
      </c>
      <c r="BA116" s="238">
        <f t="shared" si="220"/>
        <v>0</v>
      </c>
      <c r="BB116" s="238">
        <f t="shared" si="221"/>
        <v>0</v>
      </c>
      <c r="BC116" s="237">
        <f t="shared" si="222"/>
        <v>1</v>
      </c>
      <c r="BD116" s="239"/>
      <c r="BE116" s="239"/>
    </row>
    <row r="117" spans="29:57" ht="18" customHeight="1" x14ac:dyDescent="0.2">
      <c r="AC117" s="7"/>
      <c r="AG117" s="240">
        <f>SUM(AG114:AG116)</f>
        <v>253</v>
      </c>
      <c r="AH117" s="240">
        <f>SUM(AH114:AH116)</f>
        <v>253</v>
      </c>
      <c r="AI117" s="240">
        <f t="shared" ref="AI117:AL117" si="223">SUM(AI114:AI116)</f>
        <v>253</v>
      </c>
      <c r="AJ117" s="240">
        <f t="shared" si="223"/>
        <v>0</v>
      </c>
      <c r="AK117" s="240">
        <f t="shared" si="223"/>
        <v>0</v>
      </c>
      <c r="AL117" s="240">
        <f t="shared" si="223"/>
        <v>0</v>
      </c>
      <c r="AM117" s="135"/>
      <c r="AN117" s="240">
        <f>SUM(AN114:AN116)</f>
        <v>19</v>
      </c>
      <c r="AO117" s="240">
        <f>SUM(AO114:AO116)</f>
        <v>0</v>
      </c>
      <c r="AP117" s="241"/>
      <c r="AQ117" s="240">
        <f>SUM(AQ114:AQ116)</f>
        <v>0</v>
      </c>
      <c r="AR117" s="240">
        <f>SUM(AR114:AR116)</f>
        <v>0</v>
      </c>
      <c r="AS117" s="241"/>
      <c r="AT117" s="240">
        <f>SUM(AT114:AT116)</f>
        <v>0</v>
      </c>
      <c r="AU117" s="240">
        <f>SUM(AU114:AU116)</f>
        <v>0</v>
      </c>
      <c r="AV117" s="241"/>
      <c r="AW117" s="240">
        <f>SUM(AW114:AW116)</f>
        <v>0</v>
      </c>
      <c r="AX117" s="240">
        <f>SUM(AX114:AX116)</f>
        <v>0</v>
      </c>
      <c r="AY117" s="241"/>
      <c r="AZ117" s="240">
        <f>SUM(AZ114:AZ116)</f>
        <v>19</v>
      </c>
      <c r="BA117" s="240">
        <f>SUM(BA114:BA116)</f>
        <v>0</v>
      </c>
      <c r="BB117" s="240">
        <f>SUM(AZ117:BA117)</f>
        <v>19</v>
      </c>
      <c r="BC117" s="242">
        <f>(BB117+1)/(AI117+1)</f>
        <v>7.874015748031496E-2</v>
      </c>
      <c r="BD117" s="98"/>
      <c r="BE117" s="98"/>
    </row>
    <row r="118" spans="29:57" ht="18" customHeight="1" x14ac:dyDescent="0.2">
      <c r="AC118" s="212" t="s">
        <v>304</v>
      </c>
      <c r="AD118" s="15"/>
      <c r="AE118" s="23"/>
      <c r="AF118" s="16"/>
      <c r="AG118" s="15"/>
      <c r="AH118" s="15"/>
      <c r="AI118" s="15"/>
      <c r="AJ118" s="15"/>
      <c r="AK118" s="15"/>
      <c r="AL118" s="22"/>
      <c r="AM118" s="213"/>
      <c r="AN118" s="23"/>
      <c r="AO118" s="23"/>
      <c r="AP118" s="7"/>
      <c r="AQ118" s="15"/>
      <c r="AR118" s="15"/>
      <c r="AS118" s="7"/>
      <c r="AT118" s="15"/>
      <c r="AU118" s="15"/>
      <c r="AV118" s="7"/>
      <c r="AW118" s="15"/>
      <c r="AX118" s="15"/>
      <c r="AY118" s="214"/>
      <c r="AZ118" s="215"/>
      <c r="BA118" s="10"/>
      <c r="BB118" s="7"/>
      <c r="BC118" s="7"/>
      <c r="BD118" s="7"/>
      <c r="BE118" s="7"/>
    </row>
    <row r="119" spans="29:57" ht="18" customHeight="1" x14ac:dyDescent="0.2">
      <c r="AC119" s="216" t="s">
        <v>271</v>
      </c>
      <c r="AD119" s="217"/>
      <c r="AE119" s="217"/>
      <c r="AF119" s="218"/>
      <c r="AG119" s="218"/>
      <c r="AH119" s="219"/>
      <c r="AI119" s="218"/>
      <c r="AJ119" s="218"/>
      <c r="AK119" s="218"/>
      <c r="AL119" s="218"/>
      <c r="AM119" s="220" t="e">
        <f>SUM(AJ119:AL119)/AH119</f>
        <v>#DIV/0!</v>
      </c>
      <c r="AN119" s="218"/>
      <c r="AO119" s="218"/>
      <c r="AP119" s="221" t="e">
        <f>SUM(AN119:AO119)/AI119</f>
        <v>#DIV/0!</v>
      </c>
      <c r="AQ119" s="218"/>
      <c r="AR119" s="218"/>
      <c r="AS119" s="221" t="e">
        <f>(AQ119+AR119)/$AG119</f>
        <v>#DIV/0!</v>
      </c>
      <c r="AT119" s="218"/>
      <c r="AU119" s="218"/>
      <c r="AV119" s="221" t="e">
        <f>(AT119+AU119)/$AG119</f>
        <v>#DIV/0!</v>
      </c>
      <c r="AW119" s="218"/>
      <c r="AX119" s="218"/>
      <c r="AY119" s="221" t="e">
        <f>(AW119+AX119)/$AG119</f>
        <v>#DIV/0!</v>
      </c>
      <c r="AZ119" s="222">
        <f>SUM(AN119,AQ119,AT119,AW119)</f>
        <v>0</v>
      </c>
      <c r="BA119" s="222">
        <f>SUM(AO119,AR119,AU119,AX119)</f>
        <v>0</v>
      </c>
      <c r="BB119" s="222">
        <f>SUM(AZ119:BA119)</f>
        <v>0</v>
      </c>
      <c r="BC119" s="221">
        <f>(BB119+1)/(AI119+1)</f>
        <v>1</v>
      </c>
      <c r="BD119" s="223"/>
      <c r="BE119" s="223"/>
    </row>
    <row r="120" spans="29:57" ht="18" customHeight="1" x14ac:dyDescent="0.2">
      <c r="AC120" s="224" t="s">
        <v>273</v>
      </c>
      <c r="AD120" s="225">
        <v>46090</v>
      </c>
      <c r="AE120" s="225">
        <v>46091</v>
      </c>
      <c r="AF120" s="226">
        <v>1</v>
      </c>
      <c r="AG120" s="226">
        <v>266</v>
      </c>
      <c r="AH120" s="227">
        <v>265</v>
      </c>
      <c r="AI120" s="226">
        <v>264</v>
      </c>
      <c r="AJ120" s="226">
        <v>0</v>
      </c>
      <c r="AK120" s="226">
        <v>0</v>
      </c>
      <c r="AL120" s="226">
        <v>0</v>
      </c>
      <c r="AM120" s="228">
        <f t="shared" ref="AM120:AM121" si="224">SUM(AJ120:AL120)/AH120</f>
        <v>0</v>
      </c>
      <c r="AN120" s="226">
        <v>19</v>
      </c>
      <c r="AO120" s="226">
        <v>0</v>
      </c>
      <c r="AP120" s="229">
        <f t="shared" ref="AP120:AP121" si="225">SUM(AN120:AO120)/AI120</f>
        <v>7.1969696969696975E-2</v>
      </c>
      <c r="AQ120" s="226">
        <v>6</v>
      </c>
      <c r="AR120" s="226">
        <v>0</v>
      </c>
      <c r="AS120" s="229">
        <f>(AQ120+AR120)/$AG120</f>
        <v>2.2556390977443608E-2</v>
      </c>
      <c r="AT120" s="226">
        <v>2</v>
      </c>
      <c r="AU120" s="226">
        <v>0</v>
      </c>
      <c r="AV120" s="229">
        <f>(AT120+AU120)/$AG120</f>
        <v>7.5187969924812026E-3</v>
      </c>
      <c r="AW120" s="226">
        <v>0</v>
      </c>
      <c r="AX120" s="226">
        <v>0</v>
      </c>
      <c r="AY120" s="229">
        <f>(AW120+AX120)/$AG120</f>
        <v>0</v>
      </c>
      <c r="AZ120" s="230">
        <f t="shared" ref="AZ120:BA121" si="226">SUM(AN120,AQ120,AT120,AW120)</f>
        <v>27</v>
      </c>
      <c r="BA120" s="230">
        <f t="shared" si="226"/>
        <v>0</v>
      </c>
      <c r="BB120" s="230">
        <f t="shared" ref="BB120:BB121" si="227">SUM(AZ120:BA120)</f>
        <v>27</v>
      </c>
      <c r="BC120" s="229">
        <f t="shared" ref="BC120:BC121" si="228">(BB120+1)/(AI120+1)</f>
        <v>0.10566037735849057</v>
      </c>
      <c r="BD120" s="231" t="s">
        <v>274</v>
      </c>
      <c r="BE120" s="231" t="s">
        <v>268</v>
      </c>
    </row>
    <row r="121" spans="29:57" ht="18" customHeight="1" x14ac:dyDescent="0.2">
      <c r="AC121" s="232" t="s">
        <v>275</v>
      </c>
      <c r="AD121" s="233"/>
      <c r="AE121" s="233"/>
      <c r="AF121" s="234"/>
      <c r="AG121" s="234"/>
      <c r="AH121" s="235"/>
      <c r="AI121" s="234"/>
      <c r="AJ121" s="234"/>
      <c r="AK121" s="234"/>
      <c r="AL121" s="234"/>
      <c r="AM121" s="236" t="e">
        <f t="shared" si="224"/>
        <v>#DIV/0!</v>
      </c>
      <c r="AN121" s="234"/>
      <c r="AO121" s="234"/>
      <c r="AP121" s="237" t="e">
        <f t="shared" si="225"/>
        <v>#DIV/0!</v>
      </c>
      <c r="AQ121" s="234"/>
      <c r="AR121" s="234"/>
      <c r="AS121" s="237" t="e">
        <f>(AQ121+AR121)/$AG121</f>
        <v>#DIV/0!</v>
      </c>
      <c r="AT121" s="234"/>
      <c r="AU121" s="234"/>
      <c r="AV121" s="237" t="e">
        <f>(AT121+AU121)/$AG121</f>
        <v>#DIV/0!</v>
      </c>
      <c r="AW121" s="234"/>
      <c r="AX121" s="234"/>
      <c r="AY121" s="237" t="e">
        <f>(AW121+AX121)/$AG121</f>
        <v>#DIV/0!</v>
      </c>
      <c r="AZ121" s="238">
        <f t="shared" si="226"/>
        <v>0</v>
      </c>
      <c r="BA121" s="238">
        <f t="shared" si="226"/>
        <v>0</v>
      </c>
      <c r="BB121" s="238">
        <f t="shared" si="227"/>
        <v>0</v>
      </c>
      <c r="BC121" s="237">
        <f t="shared" si="228"/>
        <v>1</v>
      </c>
      <c r="BD121" s="239"/>
      <c r="BE121" s="239"/>
    </row>
    <row r="122" spans="29:57" ht="18" customHeight="1" x14ac:dyDescent="0.2">
      <c r="AC122" s="7"/>
      <c r="AG122" s="240">
        <f>SUM(AG119:AG121)</f>
        <v>266</v>
      </c>
      <c r="AH122" s="240">
        <f>SUM(AH119:AH121)</f>
        <v>265</v>
      </c>
      <c r="AI122" s="240">
        <f t="shared" ref="AI122:AL122" si="229">SUM(AI119:AI121)</f>
        <v>264</v>
      </c>
      <c r="AJ122" s="240">
        <f t="shared" si="229"/>
        <v>0</v>
      </c>
      <c r="AK122" s="240">
        <f t="shared" si="229"/>
        <v>0</v>
      </c>
      <c r="AL122" s="240">
        <f t="shared" si="229"/>
        <v>0</v>
      </c>
      <c r="AM122" s="135"/>
      <c r="AN122" s="240">
        <f>SUM(AN119:AN121)</f>
        <v>19</v>
      </c>
      <c r="AO122" s="240">
        <f>SUM(AO119:AO121)</f>
        <v>0</v>
      </c>
      <c r="AP122" s="241"/>
      <c r="AQ122" s="240">
        <f>SUM(AQ119:AQ121)</f>
        <v>6</v>
      </c>
      <c r="AR122" s="240">
        <f>SUM(AR119:AR121)</f>
        <v>0</v>
      </c>
      <c r="AS122" s="241"/>
      <c r="AT122" s="240">
        <f>SUM(AT119:AT121)</f>
        <v>2</v>
      </c>
      <c r="AU122" s="240">
        <f>SUM(AU119:AU121)</f>
        <v>0</v>
      </c>
      <c r="AV122" s="241"/>
      <c r="AW122" s="240">
        <f>SUM(AW119:AW121)</f>
        <v>0</v>
      </c>
      <c r="AX122" s="240">
        <f>SUM(AX119:AX121)</f>
        <v>0</v>
      </c>
      <c r="AY122" s="241"/>
      <c r="AZ122" s="240">
        <f>SUM(AZ119:AZ121)</f>
        <v>27</v>
      </c>
      <c r="BA122" s="240">
        <f>SUM(BA119:BA121)</f>
        <v>0</v>
      </c>
      <c r="BB122" s="240">
        <f>SUM(AZ122:BA122)</f>
        <v>27</v>
      </c>
      <c r="BC122" s="242">
        <f>(BB122+1)/(AI122+1)</f>
        <v>0.10566037735849057</v>
      </c>
      <c r="BD122" s="98"/>
      <c r="BE122" s="98"/>
    </row>
    <row r="123" spans="29:57" ht="18" customHeight="1" x14ac:dyDescent="0.2">
      <c r="AC123" s="212" t="s">
        <v>305</v>
      </c>
      <c r="AD123" s="15"/>
      <c r="AE123" s="23"/>
      <c r="AF123" s="16"/>
      <c r="AG123" s="15"/>
      <c r="AH123" s="15"/>
      <c r="AI123" s="15"/>
      <c r="AJ123" s="15"/>
      <c r="AK123" s="15"/>
      <c r="AL123" s="22"/>
      <c r="AM123" s="213"/>
      <c r="AN123" s="23"/>
      <c r="AO123" s="23"/>
      <c r="AP123" s="7"/>
      <c r="AQ123" s="15"/>
      <c r="AR123" s="15"/>
      <c r="AS123" s="7"/>
      <c r="AT123" s="15"/>
      <c r="AU123" s="15"/>
      <c r="AV123" s="7"/>
      <c r="AW123" s="15"/>
      <c r="AX123" s="15"/>
      <c r="AY123" s="214"/>
      <c r="AZ123" s="215"/>
      <c r="BA123" s="10"/>
      <c r="BB123" s="7"/>
      <c r="BC123" s="7"/>
      <c r="BD123" s="7"/>
      <c r="BE123" s="7"/>
    </row>
    <row r="124" spans="29:57" ht="18" customHeight="1" x14ac:dyDescent="0.2">
      <c r="AC124" s="216" t="s">
        <v>271</v>
      </c>
      <c r="AD124" s="217"/>
      <c r="AE124" s="217"/>
      <c r="AF124" s="218"/>
      <c r="AG124" s="218"/>
      <c r="AH124" s="219"/>
      <c r="AI124" s="218"/>
      <c r="AJ124" s="218"/>
      <c r="AK124" s="218"/>
      <c r="AL124" s="218"/>
      <c r="AM124" s="220" t="e">
        <f>SUM(AJ124:AL124)/AH124</f>
        <v>#DIV/0!</v>
      </c>
      <c r="AN124" s="218"/>
      <c r="AO124" s="218"/>
      <c r="AP124" s="221" t="e">
        <f>SUM(AN124:AO124)/AI124</f>
        <v>#DIV/0!</v>
      </c>
      <c r="AQ124" s="218"/>
      <c r="AR124" s="218"/>
      <c r="AS124" s="221" t="e">
        <f>(AQ124+AR124)/$AG124</f>
        <v>#DIV/0!</v>
      </c>
      <c r="AT124" s="218"/>
      <c r="AU124" s="218"/>
      <c r="AV124" s="221" t="e">
        <f>(AT124+AU124)/$AG124</f>
        <v>#DIV/0!</v>
      </c>
      <c r="AW124" s="218"/>
      <c r="AX124" s="218"/>
      <c r="AY124" s="221" t="e">
        <f>(AW124+AX124)/$AG124</f>
        <v>#DIV/0!</v>
      </c>
      <c r="AZ124" s="222">
        <f>SUM(AN124,AQ124,AT124,AW124)</f>
        <v>0</v>
      </c>
      <c r="BA124" s="222">
        <f>SUM(AO124,AR124,AU124,AX124)</f>
        <v>0</v>
      </c>
      <c r="BB124" s="222">
        <f>SUM(AZ124:BA124)</f>
        <v>0</v>
      </c>
      <c r="BC124" s="221">
        <f>(BB124+1)/(AI124+1)</f>
        <v>1</v>
      </c>
      <c r="BD124" s="223"/>
      <c r="BE124" s="223"/>
    </row>
    <row r="125" spans="29:57" ht="18" customHeight="1" x14ac:dyDescent="0.2">
      <c r="AC125" s="224" t="s">
        <v>273</v>
      </c>
      <c r="AD125" s="225"/>
      <c r="AE125" s="225"/>
      <c r="AF125" s="226"/>
      <c r="AG125" s="226"/>
      <c r="AH125" s="227"/>
      <c r="AI125" s="226"/>
      <c r="AJ125" s="226"/>
      <c r="AK125" s="226"/>
      <c r="AL125" s="226"/>
      <c r="AM125" s="228" t="e">
        <f t="shared" ref="AM125:AM126" si="230">SUM(AJ125:AL125)/AH125</f>
        <v>#DIV/0!</v>
      </c>
      <c r="AN125" s="226"/>
      <c r="AO125" s="226"/>
      <c r="AP125" s="229" t="e">
        <f t="shared" ref="AP125:AP126" si="231">SUM(AN125:AO125)/AI125</f>
        <v>#DIV/0!</v>
      </c>
      <c r="AQ125" s="226"/>
      <c r="AR125" s="226"/>
      <c r="AS125" s="229" t="e">
        <f>(AQ125+AR125)/$AG125</f>
        <v>#DIV/0!</v>
      </c>
      <c r="AT125" s="226"/>
      <c r="AU125" s="226"/>
      <c r="AV125" s="229" t="e">
        <f>(AT125+AU125)/$AG125</f>
        <v>#DIV/0!</v>
      </c>
      <c r="AW125" s="226"/>
      <c r="AX125" s="226"/>
      <c r="AY125" s="229" t="e">
        <f>(AW125+AX125)/$AG125</f>
        <v>#DIV/0!</v>
      </c>
      <c r="AZ125" s="230">
        <f t="shared" ref="AZ125:BA126" si="232">SUM(AN125,AQ125,AT125,AW125)</f>
        <v>0</v>
      </c>
      <c r="BA125" s="230">
        <f t="shared" si="232"/>
        <v>0</v>
      </c>
      <c r="BB125" s="230">
        <f t="shared" ref="BB125:BB126" si="233">SUM(AZ125:BA125)</f>
        <v>0</v>
      </c>
      <c r="BC125" s="229">
        <f t="shared" ref="BC125:BC126" si="234">(BB125+1)/(AI125+1)</f>
        <v>1</v>
      </c>
      <c r="BD125" s="231"/>
      <c r="BE125" s="231"/>
    </row>
    <row r="126" spans="29:57" ht="18" customHeight="1" x14ac:dyDescent="0.2">
      <c r="AC126" s="232" t="s">
        <v>275</v>
      </c>
      <c r="AD126" s="233">
        <v>46090</v>
      </c>
      <c r="AE126" s="233">
        <v>46091</v>
      </c>
      <c r="AF126" s="234">
        <v>1</v>
      </c>
      <c r="AG126" s="234">
        <v>252</v>
      </c>
      <c r="AH126" s="235">
        <v>251</v>
      </c>
      <c r="AI126" s="234">
        <v>251</v>
      </c>
      <c r="AJ126" s="234">
        <v>1</v>
      </c>
      <c r="AK126" s="234">
        <v>0</v>
      </c>
      <c r="AL126" s="234">
        <v>0</v>
      </c>
      <c r="AM126" s="236">
        <f t="shared" si="230"/>
        <v>3.9840637450199202E-3</v>
      </c>
      <c r="AN126" s="234">
        <v>18</v>
      </c>
      <c r="AO126" s="234">
        <v>0</v>
      </c>
      <c r="AP126" s="237">
        <f t="shared" si="231"/>
        <v>7.1713147410358571E-2</v>
      </c>
      <c r="AQ126" s="234">
        <v>4</v>
      </c>
      <c r="AR126" s="234">
        <v>0</v>
      </c>
      <c r="AS126" s="237">
        <f>(AQ126+AR126)/$AG126</f>
        <v>1.5873015873015872E-2</v>
      </c>
      <c r="AT126" s="234">
        <v>4</v>
      </c>
      <c r="AU126" s="234">
        <v>0</v>
      </c>
      <c r="AV126" s="237">
        <f>(AT126+AU126)/$AG126</f>
        <v>1.5873015873015872E-2</v>
      </c>
      <c r="AW126" s="234">
        <v>0</v>
      </c>
      <c r="AX126" s="234">
        <v>0</v>
      </c>
      <c r="AY126" s="237">
        <f>(AW126+AX126)/$AG126</f>
        <v>0</v>
      </c>
      <c r="AZ126" s="238">
        <f t="shared" si="232"/>
        <v>26</v>
      </c>
      <c r="BA126" s="238">
        <f t="shared" si="232"/>
        <v>0</v>
      </c>
      <c r="BB126" s="238">
        <f t="shared" si="233"/>
        <v>26</v>
      </c>
      <c r="BC126" s="237">
        <f t="shared" si="234"/>
        <v>0.10714285714285714</v>
      </c>
      <c r="BD126" s="239" t="s">
        <v>274</v>
      </c>
      <c r="BE126" s="239" t="s">
        <v>268</v>
      </c>
    </row>
    <row r="127" spans="29:57" ht="18" customHeight="1" x14ac:dyDescent="0.2">
      <c r="AC127" s="7"/>
      <c r="AG127" s="240">
        <f>SUM(AG124:AG126)</f>
        <v>252</v>
      </c>
      <c r="AH127" s="240">
        <f>SUM(AH124:AH126)</f>
        <v>251</v>
      </c>
      <c r="AI127" s="240">
        <f t="shared" ref="AI127:AL127" si="235">SUM(AI124:AI126)</f>
        <v>251</v>
      </c>
      <c r="AJ127" s="240">
        <f t="shared" si="235"/>
        <v>1</v>
      </c>
      <c r="AK127" s="240">
        <f t="shared" si="235"/>
        <v>0</v>
      </c>
      <c r="AL127" s="240">
        <f t="shared" si="235"/>
        <v>0</v>
      </c>
      <c r="AM127" s="135"/>
      <c r="AN127" s="240">
        <f>SUM(AN124:AN126)</f>
        <v>18</v>
      </c>
      <c r="AO127" s="240">
        <f>SUM(AO124:AO126)</f>
        <v>0</v>
      </c>
      <c r="AP127" s="241"/>
      <c r="AQ127" s="240">
        <f>SUM(AQ124:AQ126)</f>
        <v>4</v>
      </c>
      <c r="AR127" s="240">
        <f>SUM(AR124:AR126)</f>
        <v>0</v>
      </c>
      <c r="AS127" s="241"/>
      <c r="AT127" s="240">
        <f>SUM(AT124:AT126)</f>
        <v>4</v>
      </c>
      <c r="AU127" s="240">
        <f>SUM(AU124:AU126)</f>
        <v>0</v>
      </c>
      <c r="AV127" s="241"/>
      <c r="AW127" s="240">
        <f>SUM(AW124:AW126)</f>
        <v>0</v>
      </c>
      <c r="AX127" s="240">
        <f>SUM(AX124:AX126)</f>
        <v>0</v>
      </c>
      <c r="AY127" s="241"/>
      <c r="AZ127" s="240">
        <f>SUM(AZ124:AZ126)</f>
        <v>26</v>
      </c>
      <c r="BA127" s="240">
        <f>SUM(BA124:BA126)</f>
        <v>0</v>
      </c>
      <c r="BB127" s="240">
        <f>SUM(AZ127:BA127)</f>
        <v>26</v>
      </c>
      <c r="BC127" s="242">
        <f>(BB127+1)/(AI127+1)</f>
        <v>0.10714285714285714</v>
      </c>
      <c r="BD127" s="98"/>
      <c r="BE127" s="98"/>
    </row>
    <row r="128" spans="29:57" ht="18" customHeight="1" x14ac:dyDescent="0.2">
      <c r="AC128" s="212" t="s">
        <v>306</v>
      </c>
      <c r="AD128" s="15"/>
      <c r="AE128" s="23"/>
      <c r="AF128" s="16"/>
      <c r="AG128" s="15"/>
      <c r="AH128" s="15"/>
      <c r="AI128" s="15"/>
      <c r="AJ128" s="15"/>
      <c r="AK128" s="15"/>
      <c r="AL128" s="22"/>
      <c r="AM128" s="213"/>
      <c r="AN128" s="23"/>
      <c r="AO128" s="23"/>
      <c r="AP128" s="7"/>
      <c r="AQ128" s="15"/>
      <c r="AR128" s="15"/>
      <c r="AS128" s="7"/>
      <c r="AT128" s="15"/>
      <c r="AU128" s="15"/>
      <c r="AV128" s="7"/>
      <c r="AW128" s="15"/>
      <c r="AX128" s="15"/>
      <c r="AY128" s="214"/>
      <c r="AZ128" s="215"/>
      <c r="BA128" s="10"/>
      <c r="BB128" s="7"/>
      <c r="BC128" s="7"/>
      <c r="BD128" s="7"/>
      <c r="BE128" s="7"/>
    </row>
    <row r="129" spans="29:57" ht="18" customHeight="1" x14ac:dyDescent="0.2">
      <c r="AC129" s="216" t="s">
        <v>271</v>
      </c>
      <c r="AD129" s="217"/>
      <c r="AE129" s="217"/>
      <c r="AF129" s="218"/>
      <c r="AG129" s="218"/>
      <c r="AH129" s="219"/>
      <c r="AI129" s="218"/>
      <c r="AJ129" s="218"/>
      <c r="AK129" s="218"/>
      <c r="AL129" s="218"/>
      <c r="AM129" s="220" t="e">
        <f>SUM(AJ129:AL129)/AH129</f>
        <v>#DIV/0!</v>
      </c>
      <c r="AN129" s="218"/>
      <c r="AO129" s="218"/>
      <c r="AP129" s="221" t="e">
        <f>SUM(AN129:AO129)/AI129</f>
        <v>#DIV/0!</v>
      </c>
      <c r="AQ129" s="218"/>
      <c r="AR129" s="218"/>
      <c r="AS129" s="221" t="e">
        <f>(AQ129+AR129)/$AG129</f>
        <v>#DIV/0!</v>
      </c>
      <c r="AT129" s="218"/>
      <c r="AU129" s="218"/>
      <c r="AV129" s="221" t="e">
        <f>(AT129+AU129)/$AG129</f>
        <v>#DIV/0!</v>
      </c>
      <c r="AW129" s="218"/>
      <c r="AX129" s="218"/>
      <c r="AY129" s="221" t="e">
        <f>(AW129+AX129)/$AG129</f>
        <v>#DIV/0!</v>
      </c>
      <c r="AZ129" s="222">
        <f>SUM(AN129,AQ129,AT129,AW129)</f>
        <v>0</v>
      </c>
      <c r="BA129" s="222">
        <f>SUM(AO129,AR129,AU129,AX129)</f>
        <v>0</v>
      </c>
      <c r="BB129" s="222">
        <f>SUM(AZ129:BA129)</f>
        <v>0</v>
      </c>
      <c r="BC129" s="221">
        <f>(BB129+1)/(AI129+1)</f>
        <v>1</v>
      </c>
      <c r="BD129" s="223"/>
      <c r="BE129" s="223"/>
    </row>
    <row r="130" spans="29:57" ht="18" customHeight="1" x14ac:dyDescent="0.2">
      <c r="AC130" s="224" t="s">
        <v>273</v>
      </c>
      <c r="AD130" s="225"/>
      <c r="AE130" s="225"/>
      <c r="AF130" s="226"/>
      <c r="AG130" s="226"/>
      <c r="AH130" s="227"/>
      <c r="AI130" s="226"/>
      <c r="AJ130" s="226"/>
      <c r="AK130" s="226"/>
      <c r="AL130" s="226"/>
      <c r="AM130" s="228" t="e">
        <f t="shared" ref="AM130:AM131" si="236">SUM(AJ130:AL130)/AH130</f>
        <v>#DIV/0!</v>
      </c>
      <c r="AN130" s="226"/>
      <c r="AO130" s="226"/>
      <c r="AP130" s="229" t="e">
        <f t="shared" ref="AP130:AP131" si="237">SUM(AN130:AO130)/AI130</f>
        <v>#DIV/0!</v>
      </c>
      <c r="AQ130" s="226"/>
      <c r="AR130" s="226"/>
      <c r="AS130" s="229" t="e">
        <f>(AQ130+AR130)/$AG130</f>
        <v>#DIV/0!</v>
      </c>
      <c r="AT130" s="226"/>
      <c r="AU130" s="226"/>
      <c r="AV130" s="229" t="e">
        <f>(AT130+AU130)/$AG130</f>
        <v>#DIV/0!</v>
      </c>
      <c r="AW130" s="226"/>
      <c r="AX130" s="226"/>
      <c r="AY130" s="229" t="e">
        <f>(AW130+AX130)/$AG130</f>
        <v>#DIV/0!</v>
      </c>
      <c r="AZ130" s="230">
        <f t="shared" ref="AZ130:BA131" si="238">SUM(AN130,AQ130,AT130,AW130)</f>
        <v>0</v>
      </c>
      <c r="BA130" s="230">
        <f t="shared" si="238"/>
        <v>0</v>
      </c>
      <c r="BB130" s="230">
        <f t="shared" ref="BB130:BB131" si="239">SUM(AZ130:BA130)</f>
        <v>0</v>
      </c>
      <c r="BC130" s="229">
        <f t="shared" ref="BC130:BC131" si="240">(BB130+1)/(AI130+1)</f>
        <v>1</v>
      </c>
      <c r="BD130" s="231"/>
      <c r="BE130" s="231"/>
    </row>
    <row r="131" spans="29:57" ht="18" customHeight="1" x14ac:dyDescent="0.2">
      <c r="AC131" s="232" t="s">
        <v>275</v>
      </c>
      <c r="AD131" s="233">
        <v>46093</v>
      </c>
      <c r="AE131" s="233">
        <v>46094</v>
      </c>
      <c r="AF131" s="234">
        <v>1</v>
      </c>
      <c r="AG131" s="234">
        <v>261</v>
      </c>
      <c r="AH131" s="235">
        <v>261</v>
      </c>
      <c r="AI131" s="234">
        <v>260</v>
      </c>
      <c r="AJ131" s="234">
        <v>0</v>
      </c>
      <c r="AK131" s="234">
        <v>0</v>
      </c>
      <c r="AL131" s="234">
        <v>1</v>
      </c>
      <c r="AM131" s="236">
        <f t="shared" si="236"/>
        <v>3.8314176245210726E-3</v>
      </c>
      <c r="AN131" s="234">
        <v>15</v>
      </c>
      <c r="AO131" s="234">
        <v>0</v>
      </c>
      <c r="AP131" s="237">
        <f t="shared" si="237"/>
        <v>5.7692307692307696E-2</v>
      </c>
      <c r="AQ131" s="234">
        <v>2</v>
      </c>
      <c r="AR131" s="234">
        <v>0</v>
      </c>
      <c r="AS131" s="237">
        <f>(AQ131+AR131)/$AG131</f>
        <v>7.6628352490421452E-3</v>
      </c>
      <c r="AT131" s="234">
        <v>0</v>
      </c>
      <c r="AU131" s="234">
        <v>0</v>
      </c>
      <c r="AV131" s="237">
        <f>(AT131+AU131)/$AG131</f>
        <v>0</v>
      </c>
      <c r="AW131" s="234">
        <v>0</v>
      </c>
      <c r="AX131" s="234">
        <v>0</v>
      </c>
      <c r="AY131" s="237">
        <f>(AW131+AX131)/$AG131</f>
        <v>0</v>
      </c>
      <c r="AZ131" s="238">
        <f t="shared" si="238"/>
        <v>17</v>
      </c>
      <c r="BA131" s="238">
        <f t="shared" si="238"/>
        <v>0</v>
      </c>
      <c r="BB131" s="238">
        <f t="shared" si="239"/>
        <v>17</v>
      </c>
      <c r="BC131" s="237">
        <f t="shared" si="240"/>
        <v>6.8965517241379309E-2</v>
      </c>
      <c r="BD131" s="239" t="s">
        <v>274</v>
      </c>
      <c r="BE131" s="239" t="s">
        <v>268</v>
      </c>
    </row>
    <row r="132" spans="29:57" ht="18" customHeight="1" x14ac:dyDescent="0.2">
      <c r="AC132" s="7"/>
      <c r="AG132" s="240">
        <f>SUM(AG129:AG131)</f>
        <v>261</v>
      </c>
      <c r="AH132" s="240">
        <f>SUM(AH129:AH131)</f>
        <v>261</v>
      </c>
      <c r="AI132" s="240">
        <f t="shared" ref="AI132:AL132" si="241">SUM(AI129:AI131)</f>
        <v>260</v>
      </c>
      <c r="AJ132" s="240">
        <f t="shared" si="241"/>
        <v>0</v>
      </c>
      <c r="AK132" s="240">
        <f t="shared" si="241"/>
        <v>0</v>
      </c>
      <c r="AL132" s="240">
        <f t="shared" si="241"/>
        <v>1</v>
      </c>
      <c r="AM132" s="135"/>
      <c r="AN132" s="240">
        <f>SUM(AN129:AN131)</f>
        <v>15</v>
      </c>
      <c r="AO132" s="240">
        <f>SUM(AO129:AO131)</f>
        <v>0</v>
      </c>
      <c r="AP132" s="241"/>
      <c r="AQ132" s="240">
        <f>SUM(AQ129:AQ131)</f>
        <v>2</v>
      </c>
      <c r="AR132" s="240">
        <f>SUM(AR129:AR131)</f>
        <v>0</v>
      </c>
      <c r="AS132" s="241"/>
      <c r="AT132" s="240">
        <f>SUM(AT129:AT131)</f>
        <v>0</v>
      </c>
      <c r="AU132" s="240">
        <f>SUM(AU129:AU131)</f>
        <v>0</v>
      </c>
      <c r="AV132" s="241"/>
      <c r="AW132" s="240">
        <f>SUM(AW129:AW131)</f>
        <v>0</v>
      </c>
      <c r="AX132" s="240">
        <f>SUM(AX129:AX131)</f>
        <v>0</v>
      </c>
      <c r="AY132" s="241"/>
      <c r="AZ132" s="240">
        <f>SUM(AZ129:AZ131)</f>
        <v>17</v>
      </c>
      <c r="BA132" s="240">
        <f>SUM(BA129:BA131)</f>
        <v>0</v>
      </c>
      <c r="BB132" s="240">
        <f>SUM(AZ132:BA132)</f>
        <v>17</v>
      </c>
      <c r="BC132" s="242">
        <f>(BB132+1)/(AI132+1)</f>
        <v>6.8965517241379309E-2</v>
      </c>
      <c r="BD132" s="98"/>
      <c r="BE132" s="98"/>
    </row>
    <row r="133" spans="29:57" ht="18" customHeight="1" x14ac:dyDescent="0.2">
      <c r="AC133" s="212" t="s">
        <v>307</v>
      </c>
      <c r="AD133" s="15"/>
      <c r="AE133" s="23"/>
      <c r="AF133" s="16"/>
      <c r="AG133" s="15"/>
      <c r="AH133" s="15"/>
      <c r="AI133" s="15"/>
      <c r="AJ133" s="15"/>
      <c r="AK133" s="15"/>
      <c r="AL133" s="22"/>
      <c r="AM133" s="213"/>
      <c r="AN133" s="23"/>
      <c r="AO133" s="23"/>
      <c r="AP133" s="7"/>
      <c r="AQ133" s="15"/>
      <c r="AR133" s="15"/>
      <c r="AS133" s="7"/>
      <c r="AT133" s="15"/>
      <c r="AU133" s="15"/>
      <c r="AV133" s="7"/>
      <c r="AW133" s="15"/>
      <c r="AX133" s="15"/>
      <c r="AY133" s="214"/>
      <c r="AZ133" s="215"/>
      <c r="BA133" s="10"/>
      <c r="BB133" s="7"/>
      <c r="BC133" s="7"/>
      <c r="BD133" s="7"/>
      <c r="BE133" s="7"/>
    </row>
    <row r="134" spans="29:57" ht="18" customHeight="1" x14ac:dyDescent="0.2">
      <c r="AC134" s="216" t="s">
        <v>271</v>
      </c>
      <c r="AD134" s="217">
        <v>46093</v>
      </c>
      <c r="AE134" s="217">
        <v>46094</v>
      </c>
      <c r="AF134" s="218">
        <v>1</v>
      </c>
      <c r="AG134" s="218">
        <v>237</v>
      </c>
      <c r="AH134" s="219">
        <v>237</v>
      </c>
      <c r="AI134" s="218">
        <v>237</v>
      </c>
      <c r="AJ134" s="218">
        <v>0</v>
      </c>
      <c r="AK134" s="218">
        <v>0</v>
      </c>
      <c r="AL134" s="218">
        <v>0</v>
      </c>
      <c r="AM134" s="220">
        <f>SUM(AJ134:AL134)/AH134</f>
        <v>0</v>
      </c>
      <c r="AN134" s="218">
        <v>24</v>
      </c>
      <c r="AO134" s="218">
        <v>0</v>
      </c>
      <c r="AP134" s="221">
        <f>SUM(AN134:AO134)/AI134</f>
        <v>0.10126582278481013</v>
      </c>
      <c r="AQ134" s="218">
        <v>11</v>
      </c>
      <c r="AR134" s="218">
        <v>0</v>
      </c>
      <c r="AS134" s="221">
        <f>(AQ134+AR134)/$AG134</f>
        <v>4.6413502109704644E-2</v>
      </c>
      <c r="AT134" s="218">
        <v>0</v>
      </c>
      <c r="AU134" s="218">
        <v>0</v>
      </c>
      <c r="AV134" s="221">
        <f>(AT134+AU134)/$AG134</f>
        <v>0</v>
      </c>
      <c r="AW134" s="218">
        <v>0</v>
      </c>
      <c r="AX134" s="218">
        <v>0</v>
      </c>
      <c r="AY134" s="221">
        <f>(AW134+AX134)/$AG134</f>
        <v>0</v>
      </c>
      <c r="AZ134" s="222">
        <f>SUM(AN134,AQ134,AT134,AW134)</f>
        <v>35</v>
      </c>
      <c r="BA134" s="222">
        <f>SUM(AO134,AR134,AU134,AX134)</f>
        <v>0</v>
      </c>
      <c r="BB134" s="222">
        <f>SUM(AZ134:BA134)</f>
        <v>35</v>
      </c>
      <c r="BC134" s="221">
        <f>(BB134+1)/(AI134+1)</f>
        <v>0.15126050420168066</v>
      </c>
      <c r="BD134" s="223" t="s">
        <v>274</v>
      </c>
      <c r="BE134" s="223" t="s">
        <v>268</v>
      </c>
    </row>
    <row r="135" spans="29:57" ht="18" customHeight="1" x14ac:dyDescent="0.2">
      <c r="AC135" s="224" t="s">
        <v>273</v>
      </c>
      <c r="AD135" s="225"/>
      <c r="AE135" s="225"/>
      <c r="AF135" s="226"/>
      <c r="AG135" s="226"/>
      <c r="AH135" s="227"/>
      <c r="AI135" s="226"/>
      <c r="AJ135" s="226"/>
      <c r="AK135" s="226"/>
      <c r="AL135" s="226"/>
      <c r="AM135" s="228" t="e">
        <f t="shared" ref="AM135:AM136" si="242">SUM(AJ135:AL135)/AH135</f>
        <v>#DIV/0!</v>
      </c>
      <c r="AN135" s="226"/>
      <c r="AO135" s="226"/>
      <c r="AP135" s="229" t="e">
        <f t="shared" ref="AP135:AP136" si="243">SUM(AN135:AO135)/AI135</f>
        <v>#DIV/0!</v>
      </c>
      <c r="AQ135" s="226"/>
      <c r="AR135" s="226"/>
      <c r="AS135" s="229" t="e">
        <f>(AQ135+AR135)/$AG135</f>
        <v>#DIV/0!</v>
      </c>
      <c r="AT135" s="226"/>
      <c r="AU135" s="226"/>
      <c r="AV135" s="229" t="e">
        <f>(AT135+AU135)/$AG135</f>
        <v>#DIV/0!</v>
      </c>
      <c r="AW135" s="226"/>
      <c r="AX135" s="226"/>
      <c r="AY135" s="229" t="e">
        <f>(AW135+AX135)/$AG135</f>
        <v>#DIV/0!</v>
      </c>
      <c r="AZ135" s="230">
        <f t="shared" ref="AZ135:BA136" si="244">SUM(AN135,AQ135,AT135,AW135)</f>
        <v>0</v>
      </c>
      <c r="BA135" s="230">
        <f t="shared" si="244"/>
        <v>0</v>
      </c>
      <c r="BB135" s="230">
        <f t="shared" ref="BB135:BB136" si="245">SUM(AZ135:BA135)</f>
        <v>0</v>
      </c>
      <c r="BC135" s="229">
        <f t="shared" ref="BC135:BC136" si="246">(BB135+1)/(AI135+1)</f>
        <v>1</v>
      </c>
      <c r="BD135" s="231"/>
      <c r="BE135" s="231"/>
    </row>
    <row r="136" spans="29:57" ht="18" customHeight="1" x14ac:dyDescent="0.2">
      <c r="AC136" s="232" t="s">
        <v>275</v>
      </c>
      <c r="AD136" s="233"/>
      <c r="AE136" s="233"/>
      <c r="AF136" s="234"/>
      <c r="AG136" s="234"/>
      <c r="AH136" s="235"/>
      <c r="AI136" s="234"/>
      <c r="AJ136" s="234"/>
      <c r="AK136" s="234"/>
      <c r="AL136" s="234"/>
      <c r="AM136" s="236" t="e">
        <f t="shared" si="242"/>
        <v>#DIV/0!</v>
      </c>
      <c r="AN136" s="234"/>
      <c r="AO136" s="234"/>
      <c r="AP136" s="237" t="e">
        <f t="shared" si="243"/>
        <v>#DIV/0!</v>
      </c>
      <c r="AQ136" s="234"/>
      <c r="AR136" s="234"/>
      <c r="AS136" s="237" t="e">
        <f>(AQ136+AR136)/$AG136</f>
        <v>#DIV/0!</v>
      </c>
      <c r="AT136" s="234"/>
      <c r="AU136" s="234"/>
      <c r="AV136" s="237" t="e">
        <f>(AT136+AU136)/$AG136</f>
        <v>#DIV/0!</v>
      </c>
      <c r="AW136" s="234"/>
      <c r="AX136" s="234"/>
      <c r="AY136" s="237" t="e">
        <f>(AW136+AX136)/$AG136</f>
        <v>#DIV/0!</v>
      </c>
      <c r="AZ136" s="238">
        <f t="shared" si="244"/>
        <v>0</v>
      </c>
      <c r="BA136" s="238">
        <f t="shared" si="244"/>
        <v>0</v>
      </c>
      <c r="BB136" s="238">
        <f t="shared" si="245"/>
        <v>0</v>
      </c>
      <c r="BC136" s="237">
        <f t="shared" si="246"/>
        <v>1</v>
      </c>
      <c r="BD136" s="239"/>
      <c r="BE136" s="239"/>
    </row>
    <row r="137" spans="29:57" ht="18" customHeight="1" x14ac:dyDescent="0.2">
      <c r="AC137" s="7"/>
      <c r="AG137" s="240">
        <f>SUM(AG134:AG136)</f>
        <v>237</v>
      </c>
      <c r="AH137" s="240">
        <f>SUM(AH134:AH136)</f>
        <v>237</v>
      </c>
      <c r="AI137" s="240">
        <f t="shared" ref="AI137:AL137" si="247">SUM(AI134:AI136)</f>
        <v>237</v>
      </c>
      <c r="AJ137" s="240">
        <f t="shared" si="247"/>
        <v>0</v>
      </c>
      <c r="AK137" s="240">
        <f t="shared" si="247"/>
        <v>0</v>
      </c>
      <c r="AL137" s="240">
        <f t="shared" si="247"/>
        <v>0</v>
      </c>
      <c r="AM137" s="135"/>
      <c r="AN137" s="240">
        <f>SUM(AN134:AN136)</f>
        <v>24</v>
      </c>
      <c r="AO137" s="240">
        <f>SUM(AO134:AO136)</f>
        <v>0</v>
      </c>
      <c r="AP137" s="241"/>
      <c r="AQ137" s="240">
        <f>SUM(AQ134:AQ136)</f>
        <v>11</v>
      </c>
      <c r="AR137" s="240">
        <f>SUM(AR134:AR136)</f>
        <v>0</v>
      </c>
      <c r="AS137" s="241"/>
      <c r="AT137" s="240">
        <f>SUM(AT134:AT136)</f>
        <v>0</v>
      </c>
      <c r="AU137" s="240">
        <f>SUM(AU134:AU136)</f>
        <v>0</v>
      </c>
      <c r="AV137" s="241"/>
      <c r="AW137" s="240">
        <f>SUM(AW134:AW136)</f>
        <v>0</v>
      </c>
      <c r="AX137" s="240">
        <f>SUM(AX134:AX136)</f>
        <v>0</v>
      </c>
      <c r="AY137" s="241"/>
      <c r="AZ137" s="240">
        <f>SUM(AZ134:AZ136)</f>
        <v>35</v>
      </c>
      <c r="BA137" s="240">
        <f>SUM(BA134:BA136)</f>
        <v>0</v>
      </c>
      <c r="BB137" s="240">
        <f>SUM(AZ137:BA137)</f>
        <v>35</v>
      </c>
      <c r="BC137" s="242">
        <f>(BB137+1)/(AI137+1)</f>
        <v>0.15126050420168066</v>
      </c>
      <c r="BD137" s="98"/>
      <c r="BE137" s="98"/>
    </row>
    <row r="138" spans="29:57" ht="18" customHeight="1" x14ac:dyDescent="0.2">
      <c r="AC138" s="212" t="s">
        <v>308</v>
      </c>
      <c r="AD138" s="15"/>
      <c r="AE138" s="23"/>
      <c r="AF138" s="16"/>
      <c r="AG138" s="15"/>
      <c r="AH138" s="15"/>
      <c r="AI138" s="15"/>
      <c r="AJ138" s="15"/>
      <c r="AK138" s="15"/>
      <c r="AL138" s="22"/>
      <c r="AM138" s="213"/>
      <c r="AN138" s="23"/>
      <c r="AO138" s="23"/>
      <c r="AP138" s="7"/>
      <c r="AQ138" s="15"/>
      <c r="AR138" s="15"/>
      <c r="AS138" s="7"/>
      <c r="AT138" s="15"/>
      <c r="AU138" s="15"/>
      <c r="AV138" s="7"/>
      <c r="AW138" s="15"/>
      <c r="AX138" s="15"/>
      <c r="AY138" s="214"/>
      <c r="AZ138" s="215"/>
      <c r="BA138" s="10"/>
      <c r="BB138" s="7"/>
      <c r="BC138" s="7"/>
      <c r="BD138" s="7"/>
      <c r="BE138" s="7"/>
    </row>
    <row r="139" spans="29:57" ht="18" customHeight="1" x14ac:dyDescent="0.2">
      <c r="AC139" s="216" t="s">
        <v>271</v>
      </c>
      <c r="AD139" s="217">
        <v>46097</v>
      </c>
      <c r="AE139" s="217"/>
      <c r="AF139" s="218">
        <v>5</v>
      </c>
      <c r="AG139" s="218">
        <v>261</v>
      </c>
      <c r="AH139" s="219">
        <v>260</v>
      </c>
      <c r="AI139" s="218">
        <v>260</v>
      </c>
      <c r="AJ139" s="218">
        <v>1</v>
      </c>
      <c r="AK139" s="218">
        <v>0</v>
      </c>
      <c r="AL139" s="218">
        <v>0</v>
      </c>
      <c r="AM139" s="220">
        <f>SUM(AJ139:AL139)/AH139</f>
        <v>3.8461538461538464E-3</v>
      </c>
      <c r="AN139" s="218">
        <v>52</v>
      </c>
      <c r="AO139" s="218">
        <v>0</v>
      </c>
      <c r="AP139" s="221">
        <f>SUM(AN139:AO139)/AI139</f>
        <v>0.2</v>
      </c>
      <c r="AQ139" s="218">
        <v>3</v>
      </c>
      <c r="AR139" s="218">
        <v>0</v>
      </c>
      <c r="AS139" s="221">
        <f>(AQ139+AR139)/$AG139</f>
        <v>1.1494252873563218E-2</v>
      </c>
      <c r="AT139" s="218">
        <v>0</v>
      </c>
      <c r="AU139" s="218">
        <v>0</v>
      </c>
      <c r="AV139" s="221">
        <f>(AT139+AU139)/$AG139</f>
        <v>0</v>
      </c>
      <c r="AW139" s="218">
        <v>0</v>
      </c>
      <c r="AX139" s="218">
        <v>0</v>
      </c>
      <c r="AY139" s="221">
        <f>(AW139+AX139)/$AG139</f>
        <v>0</v>
      </c>
      <c r="AZ139" s="222">
        <f>SUM(AN139,AQ139,AT139,AW139)</f>
        <v>55</v>
      </c>
      <c r="BA139" s="222">
        <f>SUM(AO139,AR139,AU139,AX139)</f>
        <v>0</v>
      </c>
      <c r="BB139" s="222">
        <f>SUM(AZ139:BA139)</f>
        <v>55</v>
      </c>
      <c r="BC139" s="221">
        <f>(BB139+1)/(AI139+1)</f>
        <v>0.21455938697318008</v>
      </c>
      <c r="BD139" s="223" t="s">
        <v>274</v>
      </c>
      <c r="BE139" s="223" t="s">
        <v>268</v>
      </c>
    </row>
    <row r="140" spans="29:57" ht="18" customHeight="1" x14ac:dyDescent="0.2">
      <c r="AC140" s="224" t="s">
        <v>273</v>
      </c>
      <c r="AD140" s="225"/>
      <c r="AE140" s="225"/>
      <c r="AF140" s="226"/>
      <c r="AG140" s="226"/>
      <c r="AH140" s="227"/>
      <c r="AI140" s="226"/>
      <c r="AJ140" s="226"/>
      <c r="AK140" s="226"/>
      <c r="AL140" s="226"/>
      <c r="AM140" s="228" t="e">
        <f t="shared" ref="AM140:AM141" si="248">SUM(AJ140:AL140)/AH140</f>
        <v>#DIV/0!</v>
      </c>
      <c r="AN140" s="226"/>
      <c r="AO140" s="226"/>
      <c r="AP140" s="229" t="e">
        <f t="shared" ref="AP140:AP141" si="249">SUM(AN140:AO140)/AI140</f>
        <v>#DIV/0!</v>
      </c>
      <c r="AQ140" s="226"/>
      <c r="AR140" s="226"/>
      <c r="AS140" s="229" t="e">
        <f>(AQ140+AR140)/$AG140</f>
        <v>#DIV/0!</v>
      </c>
      <c r="AT140" s="226"/>
      <c r="AU140" s="226"/>
      <c r="AV140" s="229" t="e">
        <f>(AT140+AU140)/$AG140</f>
        <v>#DIV/0!</v>
      </c>
      <c r="AW140" s="226"/>
      <c r="AX140" s="226"/>
      <c r="AY140" s="229" t="e">
        <f>(AW140+AX140)/$AG140</f>
        <v>#DIV/0!</v>
      </c>
      <c r="AZ140" s="230">
        <f t="shared" ref="AZ140:BA141" si="250">SUM(AN140,AQ140,AT140,AW140)</f>
        <v>0</v>
      </c>
      <c r="BA140" s="230">
        <f t="shared" si="250"/>
        <v>0</v>
      </c>
      <c r="BB140" s="230">
        <f t="shared" ref="BB140:BB141" si="251">SUM(AZ140:BA140)</f>
        <v>0</v>
      </c>
      <c r="BC140" s="229">
        <f t="shared" ref="BC140:BC141" si="252">(BB140+1)/(AI140+1)</f>
        <v>1</v>
      </c>
      <c r="BD140" s="231"/>
      <c r="BE140" s="231"/>
    </row>
    <row r="141" spans="29:57" ht="18" customHeight="1" x14ac:dyDescent="0.2">
      <c r="AC141" s="232" t="s">
        <v>275</v>
      </c>
      <c r="AD141" s="233"/>
      <c r="AE141" s="233"/>
      <c r="AF141" s="234"/>
      <c r="AG141" s="234"/>
      <c r="AH141" s="235"/>
      <c r="AI141" s="234"/>
      <c r="AJ141" s="234"/>
      <c r="AK141" s="234"/>
      <c r="AL141" s="234"/>
      <c r="AM141" s="236" t="e">
        <f t="shared" si="248"/>
        <v>#DIV/0!</v>
      </c>
      <c r="AN141" s="234"/>
      <c r="AO141" s="234"/>
      <c r="AP141" s="237" t="e">
        <f t="shared" si="249"/>
        <v>#DIV/0!</v>
      </c>
      <c r="AQ141" s="234"/>
      <c r="AR141" s="234"/>
      <c r="AS141" s="237" t="e">
        <f>(AQ141+AR141)/$AG141</f>
        <v>#DIV/0!</v>
      </c>
      <c r="AT141" s="234"/>
      <c r="AU141" s="234"/>
      <c r="AV141" s="237" t="e">
        <f>(AT141+AU141)/$AG141</f>
        <v>#DIV/0!</v>
      </c>
      <c r="AW141" s="234"/>
      <c r="AX141" s="234"/>
      <c r="AY141" s="237" t="e">
        <f>(AW141+AX141)/$AG141</f>
        <v>#DIV/0!</v>
      </c>
      <c r="AZ141" s="238">
        <f t="shared" si="250"/>
        <v>0</v>
      </c>
      <c r="BA141" s="238">
        <f t="shared" si="250"/>
        <v>0</v>
      </c>
      <c r="BB141" s="238">
        <f t="shared" si="251"/>
        <v>0</v>
      </c>
      <c r="BC141" s="237">
        <f t="shared" si="252"/>
        <v>1</v>
      </c>
      <c r="BD141" s="239"/>
      <c r="BE141" s="239"/>
    </row>
    <row r="142" spans="29:57" ht="18" customHeight="1" x14ac:dyDescent="0.2">
      <c r="AC142" s="7"/>
      <c r="AG142" s="240">
        <f>SUM(AG139:AG141)</f>
        <v>261</v>
      </c>
      <c r="AH142" s="240">
        <f>SUM(AH139:AH141)</f>
        <v>260</v>
      </c>
      <c r="AI142" s="240">
        <f t="shared" ref="AI142:AL142" si="253">SUM(AI139:AI141)</f>
        <v>260</v>
      </c>
      <c r="AJ142" s="240">
        <f t="shared" si="253"/>
        <v>1</v>
      </c>
      <c r="AK142" s="240">
        <f t="shared" si="253"/>
        <v>0</v>
      </c>
      <c r="AL142" s="240">
        <f t="shared" si="253"/>
        <v>0</v>
      </c>
      <c r="AM142" s="135"/>
      <c r="AN142" s="240">
        <f>SUM(AN139:AN141)</f>
        <v>52</v>
      </c>
      <c r="AO142" s="240">
        <f>SUM(AO139:AO141)</f>
        <v>0</v>
      </c>
      <c r="AP142" s="241"/>
      <c r="AQ142" s="240">
        <f>SUM(AQ139:AQ141)</f>
        <v>3</v>
      </c>
      <c r="AR142" s="240">
        <f>SUM(AR139:AR141)</f>
        <v>0</v>
      </c>
      <c r="AS142" s="241"/>
      <c r="AT142" s="240">
        <f>SUM(AT139:AT141)</f>
        <v>0</v>
      </c>
      <c r="AU142" s="240">
        <f>SUM(AU139:AU141)</f>
        <v>0</v>
      </c>
      <c r="AV142" s="241"/>
      <c r="AW142" s="240">
        <f>SUM(AW139:AW141)</f>
        <v>0</v>
      </c>
      <c r="AX142" s="240">
        <f>SUM(AX139:AX141)</f>
        <v>0</v>
      </c>
      <c r="AY142" s="241"/>
      <c r="AZ142" s="240">
        <f>SUM(AZ139:AZ141)</f>
        <v>55</v>
      </c>
      <c r="BA142" s="240">
        <f>SUM(BA139:BA141)</f>
        <v>0</v>
      </c>
      <c r="BB142" s="240">
        <f>SUM(AZ142:BA142)</f>
        <v>55</v>
      </c>
      <c r="BC142" s="242">
        <f>(BB142+1)/(AI142+1)</f>
        <v>0.21455938697318008</v>
      </c>
      <c r="BD142" s="98"/>
      <c r="BE142" s="98"/>
    </row>
    <row r="143" spans="29:57" ht="18" customHeight="1" x14ac:dyDescent="0.2">
      <c r="AC143" s="212" t="s">
        <v>309</v>
      </c>
      <c r="AD143" s="15"/>
      <c r="AE143" s="23"/>
      <c r="AF143" s="16"/>
      <c r="AG143" s="15"/>
      <c r="AH143" s="15"/>
      <c r="AI143" s="15"/>
      <c r="AJ143" s="15"/>
      <c r="AK143" s="15"/>
      <c r="AL143" s="22"/>
      <c r="AM143" s="213"/>
      <c r="AN143" s="23"/>
      <c r="AO143" s="23"/>
      <c r="AP143" s="7"/>
      <c r="AQ143" s="15"/>
      <c r="AR143" s="15"/>
      <c r="AS143" s="7"/>
      <c r="AT143" s="15"/>
      <c r="AU143" s="15"/>
      <c r="AV143" s="7"/>
      <c r="AW143" s="15"/>
      <c r="AX143" s="15"/>
      <c r="AY143" s="214"/>
      <c r="AZ143" s="215"/>
      <c r="BA143" s="10"/>
      <c r="BB143" s="7"/>
      <c r="BC143" s="7"/>
      <c r="BD143" s="7"/>
      <c r="BE143" s="7"/>
    </row>
    <row r="144" spans="29:57" ht="18" customHeight="1" x14ac:dyDescent="0.2">
      <c r="AC144" s="216" t="s">
        <v>271</v>
      </c>
      <c r="AD144" s="217"/>
      <c r="AE144" s="217"/>
      <c r="AF144" s="218"/>
      <c r="AG144" s="218"/>
      <c r="AH144" s="219"/>
      <c r="AI144" s="218"/>
      <c r="AJ144" s="218"/>
      <c r="AK144" s="218"/>
      <c r="AL144" s="218"/>
      <c r="AM144" s="220" t="e">
        <f>SUM(AJ144:AL144)/AH144</f>
        <v>#DIV/0!</v>
      </c>
      <c r="AN144" s="218"/>
      <c r="AO144" s="218"/>
      <c r="AP144" s="221" t="e">
        <f>SUM(AN144:AO144)/AI144</f>
        <v>#DIV/0!</v>
      </c>
      <c r="AQ144" s="218"/>
      <c r="AR144" s="218"/>
      <c r="AS144" s="221" t="e">
        <f>(AQ144+AR144)/$AG144</f>
        <v>#DIV/0!</v>
      </c>
      <c r="AT144" s="218"/>
      <c r="AU144" s="218"/>
      <c r="AV144" s="221" t="e">
        <f>(AT144+AU144)/$AG144</f>
        <v>#DIV/0!</v>
      </c>
      <c r="AW144" s="218"/>
      <c r="AX144" s="218"/>
      <c r="AY144" s="221" t="e">
        <f>(AW144+AX144)/$AG144</f>
        <v>#DIV/0!</v>
      </c>
      <c r="AZ144" s="222">
        <f>SUM(AN144,AQ144,AT144,AW144)</f>
        <v>0</v>
      </c>
      <c r="BA144" s="222">
        <f>SUM(AO144,AR144,AU144,AX144)</f>
        <v>0</v>
      </c>
      <c r="BB144" s="222">
        <f>SUM(AZ144:BA144)</f>
        <v>0</v>
      </c>
      <c r="BC144" s="221">
        <f>(BB144+1)/(AI144+1)</f>
        <v>1</v>
      </c>
      <c r="BD144" s="223"/>
      <c r="BE144" s="223"/>
    </row>
    <row r="145" spans="29:57" ht="18" customHeight="1" x14ac:dyDescent="0.2">
      <c r="AC145" s="224" t="s">
        <v>273</v>
      </c>
      <c r="AD145" s="225"/>
      <c r="AE145" s="225"/>
      <c r="AF145" s="226"/>
      <c r="AG145" s="226"/>
      <c r="AH145" s="227"/>
      <c r="AI145" s="226"/>
      <c r="AJ145" s="226"/>
      <c r="AK145" s="226"/>
      <c r="AL145" s="226"/>
      <c r="AM145" s="228" t="e">
        <f t="shared" ref="AM145:AM146" si="254">SUM(AJ145:AL145)/AH145</f>
        <v>#DIV/0!</v>
      </c>
      <c r="AN145" s="226"/>
      <c r="AO145" s="226"/>
      <c r="AP145" s="229" t="e">
        <f t="shared" ref="AP145:AP146" si="255">SUM(AN145:AO145)/AI145</f>
        <v>#DIV/0!</v>
      </c>
      <c r="AQ145" s="226"/>
      <c r="AR145" s="226"/>
      <c r="AS145" s="229" t="e">
        <f>(AQ145+AR145)/$AG145</f>
        <v>#DIV/0!</v>
      </c>
      <c r="AT145" s="226"/>
      <c r="AU145" s="226"/>
      <c r="AV145" s="229" t="e">
        <f>(AT145+AU145)/$AG145</f>
        <v>#DIV/0!</v>
      </c>
      <c r="AW145" s="226"/>
      <c r="AX145" s="226"/>
      <c r="AY145" s="229" t="e">
        <f>(AW145+AX145)/$AG145</f>
        <v>#DIV/0!</v>
      </c>
      <c r="AZ145" s="230">
        <f t="shared" ref="AZ145:BA146" si="256">SUM(AN145,AQ145,AT145,AW145)</f>
        <v>0</v>
      </c>
      <c r="BA145" s="230">
        <f t="shared" si="256"/>
        <v>0</v>
      </c>
      <c r="BB145" s="230">
        <f t="shared" ref="BB145:BB146" si="257">SUM(AZ145:BA145)</f>
        <v>0</v>
      </c>
      <c r="BC145" s="229">
        <f t="shared" ref="BC145:BC146" si="258">(BB145+1)/(AI145+1)</f>
        <v>1</v>
      </c>
      <c r="BD145" s="231"/>
      <c r="BE145" s="231"/>
    </row>
    <row r="146" spans="29:57" ht="18" customHeight="1" x14ac:dyDescent="0.2">
      <c r="AC146" s="232" t="s">
        <v>275</v>
      </c>
      <c r="AD146" s="233">
        <v>46097</v>
      </c>
      <c r="AE146" s="233"/>
      <c r="AF146" s="234">
        <v>5</v>
      </c>
      <c r="AG146" s="234">
        <v>251</v>
      </c>
      <c r="AH146" s="235">
        <v>250</v>
      </c>
      <c r="AI146" s="234">
        <v>248</v>
      </c>
      <c r="AJ146" s="234">
        <v>0</v>
      </c>
      <c r="AK146" s="234">
        <v>0</v>
      </c>
      <c r="AL146" s="234">
        <v>0</v>
      </c>
      <c r="AM146" s="236">
        <f t="shared" si="254"/>
        <v>0</v>
      </c>
      <c r="AN146" s="234">
        <v>27</v>
      </c>
      <c r="AO146" s="234">
        <v>0</v>
      </c>
      <c r="AP146" s="237">
        <f t="shared" si="255"/>
        <v>0.10887096774193548</v>
      </c>
      <c r="AQ146" s="234">
        <v>3</v>
      </c>
      <c r="AR146" s="234">
        <v>0</v>
      </c>
      <c r="AS146" s="237">
        <f>(AQ146+AR146)/$AG146</f>
        <v>1.1952191235059761E-2</v>
      </c>
      <c r="AT146" s="234">
        <v>0</v>
      </c>
      <c r="AU146" s="234">
        <v>0</v>
      </c>
      <c r="AV146" s="237">
        <f>(AT146+AU146)/$AG146</f>
        <v>0</v>
      </c>
      <c r="AW146" s="234">
        <v>0</v>
      </c>
      <c r="AX146" s="234">
        <v>0</v>
      </c>
      <c r="AY146" s="237">
        <f>(AW146+AX146)/$AG146</f>
        <v>0</v>
      </c>
      <c r="AZ146" s="238">
        <f t="shared" si="256"/>
        <v>30</v>
      </c>
      <c r="BA146" s="238">
        <f t="shared" si="256"/>
        <v>0</v>
      </c>
      <c r="BB146" s="238">
        <f t="shared" si="257"/>
        <v>30</v>
      </c>
      <c r="BC146" s="237">
        <f t="shared" si="258"/>
        <v>0.12449799196787148</v>
      </c>
      <c r="BD146" s="239" t="s">
        <v>274</v>
      </c>
      <c r="BE146" s="239" t="s">
        <v>268</v>
      </c>
    </row>
    <row r="147" spans="29:57" ht="18" customHeight="1" x14ac:dyDescent="0.2">
      <c r="AC147" s="7"/>
      <c r="AG147" s="240">
        <f>SUM(AG144:AG146)</f>
        <v>251</v>
      </c>
      <c r="AH147" s="240">
        <f>SUM(AH144:AH146)</f>
        <v>250</v>
      </c>
      <c r="AI147" s="240">
        <f t="shared" ref="AI147:AL147" si="259">SUM(AI144:AI146)</f>
        <v>248</v>
      </c>
      <c r="AJ147" s="240">
        <f t="shared" si="259"/>
        <v>0</v>
      </c>
      <c r="AK147" s="240">
        <f t="shared" si="259"/>
        <v>0</v>
      </c>
      <c r="AL147" s="240">
        <f t="shared" si="259"/>
        <v>0</v>
      </c>
      <c r="AM147" s="135"/>
      <c r="AN147" s="240">
        <f>SUM(AN144:AN146)</f>
        <v>27</v>
      </c>
      <c r="AO147" s="240">
        <f>SUM(AO144:AO146)</f>
        <v>0</v>
      </c>
      <c r="AP147" s="241"/>
      <c r="AQ147" s="240">
        <f>SUM(AQ144:AQ146)</f>
        <v>3</v>
      </c>
      <c r="AR147" s="240">
        <f>SUM(AR144:AR146)</f>
        <v>0</v>
      </c>
      <c r="AS147" s="241"/>
      <c r="AT147" s="240">
        <f>SUM(AT144:AT146)</f>
        <v>0</v>
      </c>
      <c r="AU147" s="240">
        <f>SUM(AU144:AU146)</f>
        <v>0</v>
      </c>
      <c r="AV147" s="241"/>
      <c r="AW147" s="240">
        <f>SUM(AW144:AW146)</f>
        <v>0</v>
      </c>
      <c r="AX147" s="240">
        <f>SUM(AX144:AX146)</f>
        <v>0</v>
      </c>
      <c r="AY147" s="241"/>
      <c r="AZ147" s="240">
        <f>SUM(AZ144:AZ146)</f>
        <v>30</v>
      </c>
      <c r="BA147" s="240">
        <f>SUM(BA144:BA146)</f>
        <v>0</v>
      </c>
      <c r="BB147" s="240">
        <f>SUM(AZ147:BA147)</f>
        <v>30</v>
      </c>
      <c r="BC147" s="242">
        <f>(BB147+1)/(AI147+1)</f>
        <v>0.12449799196787148</v>
      </c>
      <c r="BD147" s="98"/>
      <c r="BE147" s="98"/>
    </row>
    <row r="148" spans="29:57" ht="18" customHeight="1" x14ac:dyDescent="0.2">
      <c r="AC148" s="212" t="s">
        <v>310</v>
      </c>
      <c r="AD148" s="15"/>
      <c r="AE148" s="23"/>
      <c r="AF148" s="16"/>
      <c r="AG148" s="15"/>
      <c r="AH148" s="15"/>
      <c r="AI148" s="15"/>
      <c r="AJ148" s="15"/>
      <c r="AK148" s="15"/>
      <c r="AL148" s="22"/>
      <c r="AM148" s="213"/>
      <c r="AN148" s="23"/>
      <c r="AO148" s="23"/>
      <c r="AP148" s="7"/>
      <c r="AQ148" s="15"/>
      <c r="AR148" s="15"/>
      <c r="AS148" s="7"/>
      <c r="AT148" s="15"/>
      <c r="AU148" s="15"/>
      <c r="AV148" s="7"/>
      <c r="AW148" s="15"/>
      <c r="AX148" s="15"/>
      <c r="AY148" s="214"/>
      <c r="AZ148" s="215"/>
      <c r="BA148" s="10"/>
      <c r="BB148" s="7"/>
      <c r="BC148" s="7"/>
      <c r="BD148" s="7"/>
      <c r="BE148" s="7"/>
    </row>
    <row r="149" spans="29:57" ht="18" customHeight="1" x14ac:dyDescent="0.2">
      <c r="AC149" s="216" t="s">
        <v>271</v>
      </c>
      <c r="AD149" s="217">
        <v>46100</v>
      </c>
      <c r="AE149" s="217">
        <v>46101</v>
      </c>
      <c r="AF149" s="218">
        <v>1</v>
      </c>
      <c r="AG149" s="218">
        <v>250</v>
      </c>
      <c r="AH149" s="219">
        <v>250</v>
      </c>
      <c r="AI149" s="218">
        <v>249</v>
      </c>
      <c r="AJ149" s="218">
        <v>0</v>
      </c>
      <c r="AK149" s="218">
        <v>0</v>
      </c>
      <c r="AL149" s="218">
        <v>1</v>
      </c>
      <c r="AM149" s="220">
        <f>SUM(AJ149:AL149)/AH149</f>
        <v>4.0000000000000001E-3</v>
      </c>
      <c r="AN149" s="218">
        <v>28</v>
      </c>
      <c r="AO149" s="218">
        <v>0</v>
      </c>
      <c r="AP149" s="221">
        <f>SUM(AN149:AO149)/AI149</f>
        <v>0.11244979919678715</v>
      </c>
      <c r="AQ149" s="218">
        <v>1</v>
      </c>
      <c r="AR149" s="218">
        <v>0</v>
      </c>
      <c r="AS149" s="221">
        <f>(AQ149+AR149)/$AG149</f>
        <v>4.0000000000000001E-3</v>
      </c>
      <c r="AT149" s="218">
        <v>0</v>
      </c>
      <c r="AU149" s="218">
        <v>0</v>
      </c>
      <c r="AV149" s="221">
        <f>(AT149+AU149)/$AG149</f>
        <v>0</v>
      </c>
      <c r="AW149" s="218">
        <v>1</v>
      </c>
      <c r="AX149" s="218">
        <v>0</v>
      </c>
      <c r="AY149" s="221">
        <f>(AW149+AX149)/$AG149</f>
        <v>4.0000000000000001E-3</v>
      </c>
      <c r="AZ149" s="222">
        <f>SUM(AN149,AQ149,AT149,AW149)</f>
        <v>30</v>
      </c>
      <c r="BA149" s="222">
        <f>SUM(AO149,AR149,AU149,AX149)</f>
        <v>0</v>
      </c>
      <c r="BB149" s="222">
        <f>SUM(AZ149:BA149)</f>
        <v>30</v>
      </c>
      <c r="BC149" s="221">
        <f>(BB149+1)/(AI149+1)</f>
        <v>0.124</v>
      </c>
      <c r="BD149" s="223" t="s">
        <v>274</v>
      </c>
      <c r="BE149" s="223" t="s">
        <v>268</v>
      </c>
    </row>
    <row r="150" spans="29:57" ht="18" customHeight="1" x14ac:dyDescent="0.2">
      <c r="AC150" s="224" t="s">
        <v>273</v>
      </c>
      <c r="AD150" s="225"/>
      <c r="AE150" s="225"/>
      <c r="AF150" s="226"/>
      <c r="AG150" s="226"/>
      <c r="AH150" s="227"/>
      <c r="AI150" s="226"/>
      <c r="AJ150" s="226"/>
      <c r="AK150" s="226"/>
      <c r="AL150" s="226"/>
      <c r="AM150" s="228" t="e">
        <f t="shared" ref="AM150:AM151" si="260">SUM(AJ150:AL150)/AH150</f>
        <v>#DIV/0!</v>
      </c>
      <c r="AN150" s="226"/>
      <c r="AO150" s="226"/>
      <c r="AP150" s="229" t="e">
        <f t="shared" ref="AP150:AP151" si="261">SUM(AN150:AO150)/AI150</f>
        <v>#DIV/0!</v>
      </c>
      <c r="AQ150" s="226"/>
      <c r="AR150" s="226"/>
      <c r="AS150" s="229" t="e">
        <f>(AQ150+AR150)/$AG150</f>
        <v>#DIV/0!</v>
      </c>
      <c r="AT150" s="226"/>
      <c r="AU150" s="226"/>
      <c r="AV150" s="229" t="e">
        <f>(AT150+AU150)/$AG150</f>
        <v>#DIV/0!</v>
      </c>
      <c r="AW150" s="226"/>
      <c r="AX150" s="226"/>
      <c r="AY150" s="229" t="e">
        <f>(AW150+AX150)/$AG150</f>
        <v>#DIV/0!</v>
      </c>
      <c r="AZ150" s="230">
        <f t="shared" ref="AZ150:BA151" si="262">SUM(AN150,AQ150,AT150,AW150)</f>
        <v>0</v>
      </c>
      <c r="BA150" s="230">
        <f t="shared" si="262"/>
        <v>0</v>
      </c>
      <c r="BB150" s="230">
        <f t="shared" ref="BB150:BB151" si="263">SUM(AZ150:BA150)</f>
        <v>0</v>
      </c>
      <c r="BC150" s="229">
        <f t="shared" ref="BC150:BC151" si="264">(BB150+1)/(AI150+1)</f>
        <v>1</v>
      </c>
      <c r="BD150" s="231"/>
      <c r="BE150" s="231"/>
    </row>
    <row r="151" spans="29:57" ht="18" customHeight="1" x14ac:dyDescent="0.2">
      <c r="AC151" s="232" t="s">
        <v>275</v>
      </c>
      <c r="AD151" s="233"/>
      <c r="AE151" s="233"/>
      <c r="AF151" s="234"/>
      <c r="AG151" s="234"/>
      <c r="AH151" s="235"/>
      <c r="AI151" s="234"/>
      <c r="AJ151" s="234"/>
      <c r="AK151" s="234"/>
      <c r="AL151" s="234"/>
      <c r="AM151" s="236" t="e">
        <f t="shared" si="260"/>
        <v>#DIV/0!</v>
      </c>
      <c r="AN151" s="234"/>
      <c r="AO151" s="234"/>
      <c r="AP151" s="237" t="e">
        <f t="shared" si="261"/>
        <v>#DIV/0!</v>
      </c>
      <c r="AQ151" s="234"/>
      <c r="AR151" s="234"/>
      <c r="AS151" s="237" t="e">
        <f>(AQ151+AR151)/$AG151</f>
        <v>#DIV/0!</v>
      </c>
      <c r="AT151" s="234"/>
      <c r="AU151" s="234"/>
      <c r="AV151" s="237" t="e">
        <f>(AT151+AU151)/$AG151</f>
        <v>#DIV/0!</v>
      </c>
      <c r="AW151" s="234"/>
      <c r="AX151" s="234"/>
      <c r="AY151" s="237" t="e">
        <f>(AW151+AX151)/$AG151</f>
        <v>#DIV/0!</v>
      </c>
      <c r="AZ151" s="238">
        <f t="shared" si="262"/>
        <v>0</v>
      </c>
      <c r="BA151" s="238">
        <f t="shared" si="262"/>
        <v>0</v>
      </c>
      <c r="BB151" s="238">
        <f t="shared" si="263"/>
        <v>0</v>
      </c>
      <c r="BC151" s="237">
        <f t="shared" si="264"/>
        <v>1</v>
      </c>
      <c r="BD151" s="239"/>
      <c r="BE151" s="239"/>
    </row>
    <row r="152" spans="29:57" ht="18" customHeight="1" x14ac:dyDescent="0.2">
      <c r="AC152" s="7"/>
      <c r="AG152" s="240">
        <f>SUM(AG149:AG151)</f>
        <v>250</v>
      </c>
      <c r="AH152" s="240">
        <f>SUM(AH149:AH151)</f>
        <v>250</v>
      </c>
      <c r="AI152" s="240">
        <f t="shared" ref="AI152:AL152" si="265">SUM(AI149:AI151)</f>
        <v>249</v>
      </c>
      <c r="AJ152" s="240">
        <f t="shared" si="265"/>
        <v>0</v>
      </c>
      <c r="AK152" s="240">
        <f t="shared" si="265"/>
        <v>0</v>
      </c>
      <c r="AL152" s="240">
        <f t="shared" si="265"/>
        <v>1</v>
      </c>
      <c r="AM152" s="135"/>
      <c r="AN152" s="240">
        <f>SUM(AN149:AN151)</f>
        <v>28</v>
      </c>
      <c r="AO152" s="240">
        <f>SUM(AO149:AO151)</f>
        <v>0</v>
      </c>
      <c r="AP152" s="241"/>
      <c r="AQ152" s="240">
        <f>SUM(AQ149:AQ151)</f>
        <v>1</v>
      </c>
      <c r="AR152" s="240">
        <f>SUM(AR149:AR151)</f>
        <v>0</v>
      </c>
      <c r="AS152" s="241"/>
      <c r="AT152" s="240">
        <f>SUM(AT149:AT151)</f>
        <v>0</v>
      </c>
      <c r="AU152" s="240">
        <f>SUM(AU149:AU151)</f>
        <v>0</v>
      </c>
      <c r="AV152" s="241"/>
      <c r="AW152" s="240">
        <f>SUM(AW149:AW151)</f>
        <v>1</v>
      </c>
      <c r="AX152" s="240">
        <f>SUM(AX149:AX151)</f>
        <v>0</v>
      </c>
      <c r="AY152" s="241"/>
      <c r="AZ152" s="240">
        <f>SUM(AZ149:AZ151)</f>
        <v>30</v>
      </c>
      <c r="BA152" s="240">
        <f>SUM(BA149:BA151)</f>
        <v>0</v>
      </c>
      <c r="BB152" s="240">
        <f>SUM(AZ152:BA152)</f>
        <v>30</v>
      </c>
      <c r="BC152" s="242">
        <f>(BB152+1)/(AI152+1)</f>
        <v>0.124</v>
      </c>
      <c r="BD152" s="98"/>
      <c r="BE152" s="98"/>
    </row>
    <row r="153" spans="29:57" ht="18" customHeight="1" x14ac:dyDescent="0.2">
      <c r="AC153" s="212" t="s">
        <v>311</v>
      </c>
      <c r="AD153" s="15"/>
      <c r="AE153" s="23"/>
      <c r="AF153" s="16"/>
      <c r="AG153" s="15"/>
      <c r="AH153" s="15"/>
      <c r="AI153" s="15"/>
      <c r="AJ153" s="15"/>
      <c r="AK153" s="15"/>
      <c r="AL153" s="22"/>
      <c r="AM153" s="213"/>
      <c r="AN153" s="23"/>
      <c r="AO153" s="23"/>
      <c r="AP153" s="7"/>
      <c r="AQ153" s="15"/>
      <c r="AR153" s="15"/>
      <c r="AS153" s="7"/>
      <c r="AT153" s="15"/>
      <c r="AU153" s="15"/>
      <c r="AV153" s="7"/>
      <c r="AW153" s="15"/>
      <c r="AX153" s="15"/>
      <c r="AY153" s="214"/>
      <c r="AZ153" s="215"/>
      <c r="BA153" s="10"/>
      <c r="BB153" s="7"/>
      <c r="BC153" s="7"/>
      <c r="BD153" s="7"/>
      <c r="BE153" s="7"/>
    </row>
    <row r="154" spans="29:57" ht="18" customHeight="1" x14ac:dyDescent="0.2">
      <c r="AC154" s="216" t="s">
        <v>271</v>
      </c>
      <c r="AD154" s="217"/>
      <c r="AE154" s="217"/>
      <c r="AF154" s="218"/>
      <c r="AG154" s="218"/>
      <c r="AH154" s="219"/>
      <c r="AI154" s="218"/>
      <c r="AJ154" s="218"/>
      <c r="AK154" s="218"/>
      <c r="AL154" s="218"/>
      <c r="AM154" s="220" t="e">
        <f>SUM(AJ154:AL154)/AH154</f>
        <v>#DIV/0!</v>
      </c>
      <c r="AN154" s="218"/>
      <c r="AO154" s="218"/>
      <c r="AP154" s="221" t="e">
        <f>SUM(AN154:AO154)/AI154</f>
        <v>#DIV/0!</v>
      </c>
      <c r="AQ154" s="218"/>
      <c r="AR154" s="218"/>
      <c r="AS154" s="221" t="e">
        <f>(AQ154+AR154)/$AG154</f>
        <v>#DIV/0!</v>
      </c>
      <c r="AT154" s="218"/>
      <c r="AU154" s="218"/>
      <c r="AV154" s="221" t="e">
        <f>(AT154+AU154)/$AG154</f>
        <v>#DIV/0!</v>
      </c>
      <c r="AW154" s="218"/>
      <c r="AX154" s="218"/>
      <c r="AY154" s="221" t="e">
        <f>(AW154+AX154)/$AG154</f>
        <v>#DIV/0!</v>
      </c>
      <c r="AZ154" s="222">
        <f>SUM(AN154,AQ154,AT154,AW154)</f>
        <v>0</v>
      </c>
      <c r="BA154" s="222">
        <f>SUM(AO154,AR154,AU154,AX154)</f>
        <v>0</v>
      </c>
      <c r="BB154" s="222">
        <f>SUM(AZ154:BA154)</f>
        <v>0</v>
      </c>
      <c r="BC154" s="221">
        <f>(BB154+1)/(AI154+1)</f>
        <v>1</v>
      </c>
      <c r="BD154" s="223"/>
      <c r="BE154" s="223"/>
    </row>
    <row r="155" spans="29:57" ht="18" customHeight="1" x14ac:dyDescent="0.2">
      <c r="AC155" s="224" t="s">
        <v>273</v>
      </c>
      <c r="AD155" s="225"/>
      <c r="AE155" s="225"/>
      <c r="AF155" s="226"/>
      <c r="AG155" s="226"/>
      <c r="AH155" s="227"/>
      <c r="AI155" s="226"/>
      <c r="AJ155" s="226"/>
      <c r="AK155" s="226"/>
      <c r="AL155" s="226"/>
      <c r="AM155" s="228" t="e">
        <f t="shared" ref="AM155:AM156" si="266">SUM(AJ155:AL155)/AH155</f>
        <v>#DIV/0!</v>
      </c>
      <c r="AN155" s="226"/>
      <c r="AO155" s="226"/>
      <c r="AP155" s="229" t="e">
        <f t="shared" ref="AP155:AP156" si="267">SUM(AN155:AO155)/AI155</f>
        <v>#DIV/0!</v>
      </c>
      <c r="AQ155" s="226"/>
      <c r="AR155" s="226"/>
      <c r="AS155" s="229" t="e">
        <f>(AQ155+AR155)/$AG155</f>
        <v>#DIV/0!</v>
      </c>
      <c r="AT155" s="226"/>
      <c r="AU155" s="226"/>
      <c r="AV155" s="229" t="e">
        <f>(AT155+AU155)/$AG155</f>
        <v>#DIV/0!</v>
      </c>
      <c r="AW155" s="226"/>
      <c r="AX155" s="226"/>
      <c r="AY155" s="229" t="e">
        <f>(AW155+AX155)/$AG155</f>
        <v>#DIV/0!</v>
      </c>
      <c r="AZ155" s="230">
        <f t="shared" ref="AZ155:BA156" si="268">SUM(AN155,AQ155,AT155,AW155)</f>
        <v>0</v>
      </c>
      <c r="BA155" s="230">
        <f t="shared" si="268"/>
        <v>0</v>
      </c>
      <c r="BB155" s="230">
        <f t="shared" ref="BB155:BB156" si="269">SUM(AZ155:BA155)</f>
        <v>0</v>
      </c>
      <c r="BC155" s="229">
        <f t="shared" ref="BC155:BC156" si="270">(BB155+1)/(AI155+1)</f>
        <v>1</v>
      </c>
      <c r="BD155" s="231"/>
      <c r="BE155" s="231"/>
    </row>
    <row r="156" spans="29:57" ht="18" customHeight="1" x14ac:dyDescent="0.2">
      <c r="AC156" s="232" t="s">
        <v>275</v>
      </c>
      <c r="AD156" s="233">
        <v>46100</v>
      </c>
      <c r="AE156" s="233">
        <v>46101</v>
      </c>
      <c r="AF156" s="234">
        <v>1</v>
      </c>
      <c r="AG156" s="234">
        <v>247</v>
      </c>
      <c r="AH156" s="235">
        <v>240</v>
      </c>
      <c r="AI156" s="234">
        <v>239</v>
      </c>
      <c r="AJ156" s="234">
        <v>0</v>
      </c>
      <c r="AK156" s="234">
        <v>5</v>
      </c>
      <c r="AL156" s="234">
        <v>1</v>
      </c>
      <c r="AM156" s="236">
        <f t="shared" si="266"/>
        <v>2.5000000000000001E-2</v>
      </c>
      <c r="AN156" s="234">
        <v>26</v>
      </c>
      <c r="AO156" s="234">
        <v>0</v>
      </c>
      <c r="AP156" s="237">
        <f t="shared" si="267"/>
        <v>0.10878661087866109</v>
      </c>
      <c r="AQ156" s="234">
        <v>1</v>
      </c>
      <c r="AR156" s="234">
        <v>0</v>
      </c>
      <c r="AS156" s="237">
        <f>(AQ156+AR156)/$AG156</f>
        <v>4.048582995951417E-3</v>
      </c>
      <c r="AT156" s="234">
        <v>0</v>
      </c>
      <c r="AU156" s="234">
        <v>0</v>
      </c>
      <c r="AV156" s="237">
        <f>(AT156+AU156)/$AG156</f>
        <v>0</v>
      </c>
      <c r="AW156" s="234">
        <v>0</v>
      </c>
      <c r="AX156" s="234">
        <v>0</v>
      </c>
      <c r="AY156" s="237">
        <f>(AW156+AX156)/$AG156</f>
        <v>0</v>
      </c>
      <c r="AZ156" s="238">
        <f t="shared" si="268"/>
        <v>27</v>
      </c>
      <c r="BA156" s="238">
        <f t="shared" si="268"/>
        <v>0</v>
      </c>
      <c r="BB156" s="238">
        <f t="shared" si="269"/>
        <v>27</v>
      </c>
      <c r="BC156" s="237">
        <f t="shared" si="270"/>
        <v>0.11666666666666667</v>
      </c>
      <c r="BD156" s="239" t="s">
        <v>274</v>
      </c>
      <c r="BE156" s="239" t="s">
        <v>268</v>
      </c>
    </row>
    <row r="157" spans="29:57" ht="18" customHeight="1" x14ac:dyDescent="0.2">
      <c r="AC157" s="7"/>
      <c r="AG157" s="240">
        <f>SUM(AG154:AG156)</f>
        <v>247</v>
      </c>
      <c r="AH157" s="240">
        <f>SUM(AH154:AH156)</f>
        <v>240</v>
      </c>
      <c r="AI157" s="240">
        <f t="shared" ref="AI157:AL157" si="271">SUM(AI154:AI156)</f>
        <v>239</v>
      </c>
      <c r="AJ157" s="240">
        <f t="shared" si="271"/>
        <v>0</v>
      </c>
      <c r="AK157" s="240">
        <f t="shared" si="271"/>
        <v>5</v>
      </c>
      <c r="AL157" s="240">
        <f t="shared" si="271"/>
        <v>1</v>
      </c>
      <c r="AM157" s="135"/>
      <c r="AN157" s="240">
        <f>SUM(AN154:AN156)</f>
        <v>26</v>
      </c>
      <c r="AO157" s="240">
        <f>SUM(AO154:AO156)</f>
        <v>0</v>
      </c>
      <c r="AP157" s="241"/>
      <c r="AQ157" s="240">
        <f>SUM(AQ154:AQ156)</f>
        <v>1</v>
      </c>
      <c r="AR157" s="240">
        <f>SUM(AR154:AR156)</f>
        <v>0</v>
      </c>
      <c r="AS157" s="241"/>
      <c r="AT157" s="240">
        <f>SUM(AT154:AT156)</f>
        <v>0</v>
      </c>
      <c r="AU157" s="240">
        <f>SUM(AU154:AU156)</f>
        <v>0</v>
      </c>
      <c r="AV157" s="241"/>
      <c r="AW157" s="240">
        <f>SUM(AW154:AW156)</f>
        <v>0</v>
      </c>
      <c r="AX157" s="240">
        <f>SUM(AX154:AX156)</f>
        <v>0</v>
      </c>
      <c r="AY157" s="241"/>
      <c r="AZ157" s="240">
        <f>SUM(AZ154:AZ156)</f>
        <v>27</v>
      </c>
      <c r="BA157" s="240">
        <f>SUM(BA154:BA156)</f>
        <v>0</v>
      </c>
      <c r="BB157" s="240">
        <f>SUM(AZ157:BA157)</f>
        <v>27</v>
      </c>
      <c r="BC157" s="242">
        <f>(BB157+1)/(AI157+1)</f>
        <v>0.11666666666666667</v>
      </c>
      <c r="BD157" s="98"/>
      <c r="BE157" s="98"/>
    </row>
    <row r="158" spans="29:57" ht="18" customHeight="1" x14ac:dyDescent="0.2">
      <c r="AC158" s="212" t="s">
        <v>312</v>
      </c>
      <c r="AD158" s="15"/>
      <c r="AE158" s="23"/>
      <c r="AF158" s="16"/>
      <c r="AG158" s="15"/>
      <c r="AH158" s="15"/>
      <c r="AI158" s="15"/>
      <c r="AJ158" s="15"/>
      <c r="AK158" s="15"/>
      <c r="AL158" s="22"/>
      <c r="AM158" s="213"/>
      <c r="AN158" s="23"/>
      <c r="AO158" s="23"/>
      <c r="AP158" s="7"/>
      <c r="AQ158" s="15"/>
      <c r="AR158" s="15"/>
      <c r="AS158" s="7"/>
      <c r="AT158" s="15"/>
      <c r="AU158" s="15"/>
      <c r="AV158" s="7"/>
      <c r="AW158" s="15"/>
      <c r="AX158" s="15"/>
      <c r="AY158" s="214"/>
      <c r="AZ158" s="215"/>
      <c r="BA158" s="10"/>
      <c r="BB158" s="7"/>
      <c r="BC158" s="7"/>
      <c r="BD158" s="7"/>
      <c r="BE158" s="7"/>
    </row>
    <row r="159" spans="29:57" ht="18" customHeight="1" x14ac:dyDescent="0.2">
      <c r="AC159" s="216" t="s">
        <v>271</v>
      </c>
      <c r="AD159" s="217"/>
      <c r="AE159" s="217"/>
      <c r="AF159" s="218"/>
      <c r="AG159" s="218"/>
      <c r="AH159" s="219"/>
      <c r="AI159" s="218"/>
      <c r="AJ159" s="218"/>
      <c r="AK159" s="218"/>
      <c r="AL159" s="218"/>
      <c r="AM159" s="220" t="e">
        <f>SUM(AJ159:AL159)/AH159</f>
        <v>#DIV/0!</v>
      </c>
      <c r="AN159" s="218"/>
      <c r="AO159" s="218"/>
      <c r="AP159" s="221" t="e">
        <f>SUM(AN159:AO159)/AI159</f>
        <v>#DIV/0!</v>
      </c>
      <c r="AQ159" s="218"/>
      <c r="AR159" s="218"/>
      <c r="AS159" s="221" t="e">
        <f>(AQ159+AR159)/$AG159</f>
        <v>#DIV/0!</v>
      </c>
      <c r="AT159" s="218"/>
      <c r="AU159" s="218"/>
      <c r="AV159" s="221" t="e">
        <f>(AT159+AU159)/$AG159</f>
        <v>#DIV/0!</v>
      </c>
      <c r="AW159" s="218"/>
      <c r="AX159" s="218"/>
      <c r="AY159" s="221" t="e">
        <f>(AW159+AX159)/$AG159</f>
        <v>#DIV/0!</v>
      </c>
      <c r="AZ159" s="222">
        <f>SUM(AN159,AQ159,AT159,AW159)</f>
        <v>0</v>
      </c>
      <c r="BA159" s="222">
        <f>SUM(AO159,AR159,AU159,AX159)</f>
        <v>0</v>
      </c>
      <c r="BB159" s="222">
        <f>SUM(AZ159:BA159)</f>
        <v>0</v>
      </c>
      <c r="BC159" s="221">
        <f>(BB159+1)/(AI159+1)</f>
        <v>1</v>
      </c>
      <c r="BD159" s="223"/>
      <c r="BE159" s="223"/>
    </row>
    <row r="160" spans="29:57" ht="18" customHeight="1" x14ac:dyDescent="0.2">
      <c r="AC160" s="224" t="s">
        <v>273</v>
      </c>
      <c r="AD160" s="225">
        <v>46107</v>
      </c>
      <c r="AE160" s="225">
        <v>46108</v>
      </c>
      <c r="AF160" s="226">
        <v>1</v>
      </c>
      <c r="AG160" s="226">
        <v>256</v>
      </c>
      <c r="AH160" s="227">
        <v>256</v>
      </c>
      <c r="AI160" s="226">
        <v>252</v>
      </c>
      <c r="AJ160" s="226">
        <v>0</v>
      </c>
      <c r="AK160" s="226">
        <v>0</v>
      </c>
      <c r="AL160" s="226">
        <v>0</v>
      </c>
      <c r="AM160" s="228">
        <f t="shared" ref="AM160:AM161" si="272">SUM(AJ160:AL160)/AH160</f>
        <v>0</v>
      </c>
      <c r="AN160" s="226">
        <v>21</v>
      </c>
      <c r="AO160" s="226">
        <v>0</v>
      </c>
      <c r="AP160" s="229">
        <f t="shared" ref="AP160:AP161" si="273">SUM(AN160:AO160)/AI160</f>
        <v>8.3333333333333329E-2</v>
      </c>
      <c r="AQ160" s="226">
        <v>2</v>
      </c>
      <c r="AR160" s="226">
        <v>0</v>
      </c>
      <c r="AS160" s="229">
        <f>(AQ160+AR160)/$AG160</f>
        <v>7.8125E-3</v>
      </c>
      <c r="AT160" s="226">
        <v>5</v>
      </c>
      <c r="AU160" s="226">
        <v>0</v>
      </c>
      <c r="AV160" s="229">
        <f>(AT160+AU160)/$AG160</f>
        <v>1.953125E-2</v>
      </c>
      <c r="AW160" s="226">
        <v>0</v>
      </c>
      <c r="AX160" s="226">
        <v>0</v>
      </c>
      <c r="AY160" s="229">
        <f>(AW160+AX160)/$AG160</f>
        <v>0</v>
      </c>
      <c r="AZ160" s="230">
        <f t="shared" ref="AZ160:BA161" si="274">SUM(AN160,AQ160,AT160,AW160)</f>
        <v>28</v>
      </c>
      <c r="BA160" s="230">
        <f t="shared" si="274"/>
        <v>0</v>
      </c>
      <c r="BB160" s="230">
        <f t="shared" ref="BB160:BB161" si="275">SUM(AZ160:BA160)</f>
        <v>28</v>
      </c>
      <c r="BC160" s="229">
        <f t="shared" ref="BC160:BC161" si="276">(BB160+1)/(AI160+1)</f>
        <v>0.11462450592885376</v>
      </c>
      <c r="BD160" s="231" t="s">
        <v>274</v>
      </c>
      <c r="BE160" s="231" t="s">
        <v>268</v>
      </c>
    </row>
    <row r="161" spans="29:57" ht="18" customHeight="1" x14ac:dyDescent="0.2">
      <c r="AC161" s="232" t="s">
        <v>275</v>
      </c>
      <c r="AD161" s="233"/>
      <c r="AE161" s="233"/>
      <c r="AF161" s="234"/>
      <c r="AG161" s="234"/>
      <c r="AH161" s="235"/>
      <c r="AI161" s="234"/>
      <c r="AJ161" s="234"/>
      <c r="AK161" s="234"/>
      <c r="AL161" s="234"/>
      <c r="AM161" s="236" t="e">
        <f t="shared" si="272"/>
        <v>#DIV/0!</v>
      </c>
      <c r="AN161" s="234"/>
      <c r="AO161" s="234"/>
      <c r="AP161" s="237" t="e">
        <f t="shared" si="273"/>
        <v>#DIV/0!</v>
      </c>
      <c r="AQ161" s="234"/>
      <c r="AR161" s="234"/>
      <c r="AS161" s="237" t="e">
        <f>(AQ161+AR161)/$AG161</f>
        <v>#DIV/0!</v>
      </c>
      <c r="AT161" s="234"/>
      <c r="AU161" s="234"/>
      <c r="AV161" s="237" t="e">
        <f>(AT161+AU161)/$AG161</f>
        <v>#DIV/0!</v>
      </c>
      <c r="AW161" s="234"/>
      <c r="AX161" s="234"/>
      <c r="AY161" s="237" t="e">
        <f>(AW161+AX161)/$AG161</f>
        <v>#DIV/0!</v>
      </c>
      <c r="AZ161" s="238">
        <f t="shared" si="274"/>
        <v>0</v>
      </c>
      <c r="BA161" s="238">
        <f t="shared" si="274"/>
        <v>0</v>
      </c>
      <c r="BB161" s="238">
        <f t="shared" si="275"/>
        <v>0</v>
      </c>
      <c r="BC161" s="237">
        <f t="shared" si="276"/>
        <v>1</v>
      </c>
      <c r="BD161" s="239"/>
      <c r="BE161" s="239"/>
    </row>
    <row r="162" spans="29:57" ht="18" customHeight="1" x14ac:dyDescent="0.2">
      <c r="AC162" s="7"/>
      <c r="AG162" s="240">
        <f>SUM(AG159:AG161)</f>
        <v>256</v>
      </c>
      <c r="AH162" s="240">
        <f>SUM(AH159:AH161)</f>
        <v>256</v>
      </c>
      <c r="AI162" s="240">
        <f t="shared" ref="AI162:AL162" si="277">SUM(AI159:AI161)</f>
        <v>252</v>
      </c>
      <c r="AJ162" s="240">
        <f t="shared" si="277"/>
        <v>0</v>
      </c>
      <c r="AK162" s="240">
        <f t="shared" si="277"/>
        <v>0</v>
      </c>
      <c r="AL162" s="240">
        <f t="shared" si="277"/>
        <v>0</v>
      </c>
      <c r="AM162" s="135"/>
      <c r="AN162" s="240">
        <f>SUM(AN159:AN161)</f>
        <v>21</v>
      </c>
      <c r="AO162" s="240">
        <f>SUM(AO159:AO161)</f>
        <v>0</v>
      </c>
      <c r="AP162" s="241"/>
      <c r="AQ162" s="240">
        <f>SUM(AQ159:AQ161)</f>
        <v>2</v>
      </c>
      <c r="AR162" s="240">
        <f>SUM(AR159:AR161)</f>
        <v>0</v>
      </c>
      <c r="AS162" s="241"/>
      <c r="AT162" s="240">
        <f>SUM(AT159:AT161)</f>
        <v>5</v>
      </c>
      <c r="AU162" s="240">
        <f>SUM(AU159:AU161)</f>
        <v>0</v>
      </c>
      <c r="AV162" s="241"/>
      <c r="AW162" s="240">
        <f>SUM(AW159:AW161)</f>
        <v>0</v>
      </c>
      <c r="AX162" s="240">
        <f>SUM(AX159:AX161)</f>
        <v>0</v>
      </c>
      <c r="AY162" s="241"/>
      <c r="AZ162" s="240">
        <f>SUM(AZ159:AZ161)</f>
        <v>28</v>
      </c>
      <c r="BA162" s="240">
        <f>SUM(BA159:BA161)</f>
        <v>0</v>
      </c>
      <c r="BB162" s="240">
        <f>SUM(AZ162:BA162)</f>
        <v>28</v>
      </c>
      <c r="BC162" s="242">
        <f>(BB162+1)/(AI162+1)</f>
        <v>0.11462450592885376</v>
      </c>
      <c r="BD162" s="98"/>
      <c r="BE162" s="98"/>
    </row>
    <row r="163" spans="29:57" ht="18" customHeight="1" x14ac:dyDescent="0.2">
      <c r="AC163" s="212" t="s">
        <v>313</v>
      </c>
      <c r="AD163" s="15"/>
      <c r="AE163" s="23"/>
      <c r="AF163" s="16"/>
      <c r="AG163" s="15"/>
      <c r="AH163" s="15"/>
      <c r="AI163" s="15"/>
      <c r="AJ163" s="15"/>
      <c r="AK163" s="15"/>
      <c r="AL163" s="22"/>
      <c r="AM163" s="213"/>
      <c r="AN163" s="23"/>
      <c r="AO163" s="23"/>
      <c r="AP163" s="7"/>
      <c r="AQ163" s="15"/>
      <c r="AR163" s="15"/>
      <c r="AS163" s="7"/>
      <c r="AT163" s="15"/>
      <c r="AU163" s="15"/>
      <c r="AV163" s="7"/>
      <c r="AW163" s="15"/>
      <c r="AX163" s="15"/>
      <c r="AY163" s="214"/>
      <c r="AZ163" s="215"/>
      <c r="BA163" s="10"/>
      <c r="BB163" s="7"/>
      <c r="BC163" s="7"/>
      <c r="BD163" s="7"/>
      <c r="BE163" s="7"/>
    </row>
    <row r="164" spans="29:57" ht="18" customHeight="1" x14ac:dyDescent="0.2">
      <c r="AC164" s="216" t="s">
        <v>271</v>
      </c>
      <c r="AD164" s="410">
        <v>46107</v>
      </c>
      <c r="AE164" s="400">
        <v>46108</v>
      </c>
      <c r="AF164" s="406">
        <v>1</v>
      </c>
      <c r="AG164" s="218">
        <v>250</v>
      </c>
      <c r="AH164" s="219">
        <v>250</v>
      </c>
      <c r="AI164" s="218">
        <v>250</v>
      </c>
      <c r="AJ164" s="218">
        <v>0</v>
      </c>
      <c r="AK164" s="218">
        <v>0</v>
      </c>
      <c r="AL164" s="218">
        <v>0</v>
      </c>
      <c r="AM164" s="220"/>
      <c r="AN164" s="218">
        <v>19</v>
      </c>
      <c r="AO164" s="218">
        <v>0</v>
      </c>
      <c r="AP164" s="221">
        <f>SUM(AN164:AO164)/AI164</f>
        <v>7.5999999999999998E-2</v>
      </c>
      <c r="AQ164" s="218">
        <v>4</v>
      </c>
      <c r="AR164" s="218">
        <v>0</v>
      </c>
      <c r="AS164" s="221">
        <f>(AQ164+AR164)/$AG164</f>
        <v>1.6E-2</v>
      </c>
      <c r="AT164" s="218">
        <v>2</v>
      </c>
      <c r="AU164" s="218">
        <v>0</v>
      </c>
      <c r="AV164" s="221">
        <f>(AT164+AU164)/$AG164</f>
        <v>8.0000000000000002E-3</v>
      </c>
      <c r="AW164" s="218">
        <v>0</v>
      </c>
      <c r="AX164" s="218">
        <v>0</v>
      </c>
      <c r="AY164" s="221">
        <f>(AW164+AX164)/$AG164</f>
        <v>0</v>
      </c>
      <c r="AZ164" s="222">
        <f>SUM(AN164,AQ164,AT164,AW164)</f>
        <v>25</v>
      </c>
      <c r="BA164" s="222">
        <f>SUM(AO164,AR164,AU164,AX164)</f>
        <v>0</v>
      </c>
      <c r="BB164" s="222">
        <f>SUM(AZ164:BA164)</f>
        <v>25</v>
      </c>
      <c r="BC164" s="221">
        <f>(BB164+1)/(AI164+1)</f>
        <v>0.10358565737051793</v>
      </c>
      <c r="BD164" s="223" t="s">
        <v>274</v>
      </c>
      <c r="BE164" s="223" t="s">
        <v>268</v>
      </c>
    </row>
    <row r="165" spans="29:57" ht="18" customHeight="1" x14ac:dyDescent="0.2">
      <c r="AC165" s="224" t="s">
        <v>273</v>
      </c>
      <c r="AD165" s="411"/>
      <c r="AE165" s="401"/>
      <c r="AF165" s="407"/>
      <c r="AG165" s="226"/>
      <c r="AH165" s="227"/>
      <c r="AI165" s="226"/>
      <c r="AJ165" s="226"/>
      <c r="AK165" s="226"/>
      <c r="AL165" s="226"/>
      <c r="AM165" s="228" t="e">
        <f t="shared" ref="AM165:AM166" si="278">SUM(AJ165:AL165)/AH165</f>
        <v>#DIV/0!</v>
      </c>
      <c r="AN165" s="226"/>
      <c r="AO165" s="226"/>
      <c r="AP165" s="229" t="e">
        <f t="shared" ref="AP165:AP166" si="279">SUM(AN165:AO165)/AI165</f>
        <v>#DIV/0!</v>
      </c>
      <c r="AQ165" s="226"/>
      <c r="AR165" s="226"/>
      <c r="AS165" s="229" t="e">
        <f>(AQ165+AR165)/$AG165</f>
        <v>#DIV/0!</v>
      </c>
      <c r="AT165" s="226"/>
      <c r="AU165" s="226"/>
      <c r="AV165" s="229" t="e">
        <f>(AT165+AU165)/$AG165</f>
        <v>#DIV/0!</v>
      </c>
      <c r="AW165" s="226"/>
      <c r="AX165" s="226"/>
      <c r="AY165" s="229" t="e">
        <f>(AW165+AX165)/$AG165</f>
        <v>#DIV/0!</v>
      </c>
      <c r="AZ165" s="230">
        <f t="shared" ref="AZ165:BA166" si="280">SUM(AN165,AQ165,AT165,AW165)</f>
        <v>0</v>
      </c>
      <c r="BA165" s="230">
        <f t="shared" si="280"/>
        <v>0</v>
      </c>
      <c r="BB165" s="230">
        <f t="shared" ref="BB165:BB166" si="281">SUM(AZ165:BA165)</f>
        <v>0</v>
      </c>
      <c r="BC165" s="229">
        <f t="shared" ref="BC165:BC166" si="282">(BB165+1)/(AI165+1)</f>
        <v>1</v>
      </c>
      <c r="BD165" s="231"/>
      <c r="BE165" s="231"/>
    </row>
    <row r="166" spans="29:57" ht="18" customHeight="1" x14ac:dyDescent="0.2">
      <c r="AC166" s="232" t="s">
        <v>275</v>
      </c>
      <c r="AD166" s="415"/>
      <c r="AE166" s="409"/>
      <c r="AF166" s="408"/>
      <c r="AG166" s="234"/>
      <c r="AH166" s="235"/>
      <c r="AI166" s="234"/>
      <c r="AJ166" s="234"/>
      <c r="AK166" s="234"/>
      <c r="AL166" s="234"/>
      <c r="AM166" s="236" t="e">
        <f t="shared" si="278"/>
        <v>#DIV/0!</v>
      </c>
      <c r="AN166" s="234"/>
      <c r="AO166" s="234"/>
      <c r="AP166" s="237" t="e">
        <f t="shared" si="279"/>
        <v>#DIV/0!</v>
      </c>
      <c r="AQ166" s="234"/>
      <c r="AR166" s="234"/>
      <c r="AS166" s="237" t="e">
        <f>(AQ166+AR166)/$AG166</f>
        <v>#DIV/0!</v>
      </c>
      <c r="AT166" s="234"/>
      <c r="AU166" s="234"/>
      <c r="AV166" s="237" t="e">
        <f>(AT166+AU166)/$AG166</f>
        <v>#DIV/0!</v>
      </c>
      <c r="AW166" s="234"/>
      <c r="AX166" s="234"/>
      <c r="AY166" s="237" t="e">
        <f>(AW166+AX166)/$AG166</f>
        <v>#DIV/0!</v>
      </c>
      <c r="AZ166" s="238">
        <f t="shared" si="280"/>
        <v>0</v>
      </c>
      <c r="BA166" s="238">
        <f t="shared" si="280"/>
        <v>0</v>
      </c>
      <c r="BB166" s="238">
        <f t="shared" si="281"/>
        <v>0</v>
      </c>
      <c r="BC166" s="237">
        <f t="shared" si="282"/>
        <v>1</v>
      </c>
      <c r="BD166" s="239"/>
      <c r="BE166" s="239"/>
    </row>
    <row r="167" spans="29:57" ht="18" customHeight="1" x14ac:dyDescent="0.2">
      <c r="AC167" s="7"/>
      <c r="AG167" s="240">
        <f>SUM(AG164:AG166)</f>
        <v>250</v>
      </c>
      <c r="AH167" s="240">
        <f>SUM(AH164:AH166)</f>
        <v>250</v>
      </c>
      <c r="AI167" s="240">
        <f t="shared" ref="AI167:AL167" si="283">SUM(AI164:AI166)</f>
        <v>250</v>
      </c>
      <c r="AJ167" s="240">
        <f t="shared" si="283"/>
        <v>0</v>
      </c>
      <c r="AK167" s="240">
        <f t="shared" si="283"/>
        <v>0</v>
      </c>
      <c r="AL167" s="240">
        <f t="shared" si="283"/>
        <v>0</v>
      </c>
      <c r="AM167" s="135"/>
      <c r="AN167" s="240">
        <f>SUM(AN164:AN166)</f>
        <v>19</v>
      </c>
      <c r="AO167" s="240">
        <f>SUM(AO164:AO166)</f>
        <v>0</v>
      </c>
      <c r="AP167" s="241"/>
      <c r="AQ167" s="240">
        <f>SUM(AQ164:AQ166)</f>
        <v>4</v>
      </c>
      <c r="AR167" s="240">
        <f>SUM(AR164:AR166)</f>
        <v>0</v>
      </c>
      <c r="AS167" s="241"/>
      <c r="AT167" s="240">
        <f>SUM(AT164:AT166)</f>
        <v>2</v>
      </c>
      <c r="AU167" s="240">
        <f>SUM(AU164:AU166)</f>
        <v>0</v>
      </c>
      <c r="AV167" s="241"/>
      <c r="AW167" s="240">
        <f>SUM(AW164:AW166)</f>
        <v>0</v>
      </c>
      <c r="AX167" s="240">
        <f>SUM(AX164:AX166)</f>
        <v>0</v>
      </c>
      <c r="AY167" s="241"/>
      <c r="AZ167" s="240">
        <f>SUM(AZ164:AZ166)</f>
        <v>25</v>
      </c>
      <c r="BA167" s="240">
        <f>SUM(BA164:BA166)</f>
        <v>0</v>
      </c>
      <c r="BB167" s="240">
        <f>SUM(AZ167:BA167)</f>
        <v>25</v>
      </c>
      <c r="BC167" s="242">
        <f>(BB167+1)/(AI167+1)</f>
        <v>0.10358565737051793</v>
      </c>
      <c r="BD167" s="98"/>
      <c r="BE167" s="98"/>
    </row>
    <row r="168" spans="29:57" ht="18" customHeight="1" x14ac:dyDescent="0.2">
      <c r="AC168" s="212" t="s">
        <v>314</v>
      </c>
      <c r="AD168" s="15"/>
      <c r="AE168" s="23"/>
      <c r="AF168" s="16"/>
      <c r="AG168" s="15"/>
      <c r="AH168" s="15"/>
      <c r="AI168" s="15"/>
      <c r="AJ168" s="15"/>
      <c r="AK168" s="15"/>
      <c r="AL168" s="22"/>
      <c r="AM168" s="213"/>
      <c r="AN168" s="23"/>
      <c r="AO168" s="23"/>
      <c r="AP168" s="7"/>
      <c r="AQ168" s="15"/>
      <c r="AR168" s="15"/>
      <c r="AS168" s="7"/>
      <c r="AT168" s="15"/>
      <c r="AU168" s="15"/>
      <c r="AV168" s="7"/>
      <c r="AW168" s="15"/>
      <c r="AX168" s="15"/>
      <c r="AY168" s="214"/>
      <c r="AZ168" s="215"/>
      <c r="BA168" s="10"/>
      <c r="BB168" s="7"/>
      <c r="BC168" s="7"/>
      <c r="BD168" s="7"/>
      <c r="BE168" s="7"/>
    </row>
    <row r="169" spans="29:57" ht="18" customHeight="1" x14ac:dyDescent="0.2">
      <c r="AC169" s="216" t="s">
        <v>271</v>
      </c>
      <c r="AD169" s="217"/>
      <c r="AE169" s="217"/>
      <c r="AF169" s="218"/>
      <c r="AG169" s="218"/>
      <c r="AH169" s="219"/>
      <c r="AI169" s="218"/>
      <c r="AJ169" s="218"/>
      <c r="AK169" s="218"/>
      <c r="AL169" s="218"/>
      <c r="AM169" s="220" t="e">
        <f>SUM(AJ169:AL169)/AH169</f>
        <v>#DIV/0!</v>
      </c>
      <c r="AN169" s="218"/>
      <c r="AO169" s="218"/>
      <c r="AP169" s="221" t="e">
        <f>SUM(AN169:AO169)/AI169</f>
        <v>#DIV/0!</v>
      </c>
      <c r="AQ169" s="218"/>
      <c r="AR169" s="218"/>
      <c r="AS169" s="221" t="e">
        <f>(AQ169+AR169)/$AG169</f>
        <v>#DIV/0!</v>
      </c>
      <c r="AT169" s="218"/>
      <c r="AU169" s="218"/>
      <c r="AV169" s="221" t="e">
        <f>(AT169+AU169)/$AG169</f>
        <v>#DIV/0!</v>
      </c>
      <c r="AW169" s="218"/>
      <c r="AX169" s="218"/>
      <c r="AY169" s="221" t="e">
        <f>(AW169+AX169)/$AG169</f>
        <v>#DIV/0!</v>
      </c>
      <c r="AZ169" s="222">
        <f>SUM(AN169,AQ169,AT169,AW169)</f>
        <v>0</v>
      </c>
      <c r="BA169" s="222">
        <f>SUM(AO169,AR169,AU169,AX169)</f>
        <v>0</v>
      </c>
      <c r="BB169" s="222">
        <f>SUM(AZ169:BA169)</f>
        <v>0</v>
      </c>
      <c r="BC169" s="221">
        <f>(BB169+1)/(AI169+1)</f>
        <v>1</v>
      </c>
      <c r="BD169" s="223"/>
      <c r="BE169" s="223"/>
    </row>
    <row r="170" spans="29:57" ht="18" customHeight="1" x14ac:dyDescent="0.2">
      <c r="AC170" s="224" t="s">
        <v>273</v>
      </c>
      <c r="AD170" s="225">
        <v>46111</v>
      </c>
      <c r="AE170" s="225">
        <v>46112</v>
      </c>
      <c r="AF170" s="226">
        <v>4</v>
      </c>
      <c r="AG170" s="226">
        <v>244</v>
      </c>
      <c r="AH170" s="227">
        <v>244</v>
      </c>
      <c r="AI170" s="226">
        <v>245</v>
      </c>
      <c r="AJ170" s="226">
        <v>0</v>
      </c>
      <c r="AK170" s="226">
        <v>0</v>
      </c>
      <c r="AL170" s="226">
        <v>1</v>
      </c>
      <c r="AM170" s="228">
        <f t="shared" ref="AM170:AM171" si="284">SUM(AJ170:AL170)/AH170</f>
        <v>4.0983606557377051E-3</v>
      </c>
      <c r="AN170" s="226">
        <v>25</v>
      </c>
      <c r="AO170" s="226">
        <v>0</v>
      </c>
      <c r="AP170" s="229">
        <f t="shared" ref="AP170:AP171" si="285">SUM(AN170:AO170)/AI170</f>
        <v>0.10204081632653061</v>
      </c>
      <c r="AQ170" s="226">
        <v>6</v>
      </c>
      <c r="AR170" s="226">
        <v>0</v>
      </c>
      <c r="AS170" s="229">
        <f>(AQ170+AR170)/$AG170</f>
        <v>2.4590163934426229E-2</v>
      </c>
      <c r="AT170" s="226">
        <v>2</v>
      </c>
      <c r="AU170" s="226">
        <v>0</v>
      </c>
      <c r="AV170" s="229">
        <f>(AT170+AU170)/$AG170</f>
        <v>8.1967213114754103E-3</v>
      </c>
      <c r="AW170" s="226">
        <v>0</v>
      </c>
      <c r="AX170" s="226">
        <v>0</v>
      </c>
      <c r="AY170" s="229">
        <f>(AW170+AX170)/$AG170</f>
        <v>0</v>
      </c>
      <c r="AZ170" s="230">
        <f t="shared" ref="AZ170:BA171" si="286">SUM(AN170,AQ170,AT170,AW170)</f>
        <v>33</v>
      </c>
      <c r="BA170" s="230">
        <f t="shared" si="286"/>
        <v>0</v>
      </c>
      <c r="BB170" s="230">
        <f t="shared" ref="BB170:BB171" si="287">SUM(AZ170:BA170)</f>
        <v>33</v>
      </c>
      <c r="BC170" s="229">
        <f t="shared" ref="BC170:BC171" si="288">(BB170+1)/(AI170+1)</f>
        <v>0.13821138211382114</v>
      </c>
      <c r="BD170" s="231" t="s">
        <v>274</v>
      </c>
      <c r="BE170" s="231" t="s">
        <v>268</v>
      </c>
    </row>
    <row r="171" spans="29:57" ht="18" customHeight="1" x14ac:dyDescent="0.2">
      <c r="AC171" s="232" t="s">
        <v>275</v>
      </c>
      <c r="AD171" s="233"/>
      <c r="AE171" s="233"/>
      <c r="AF171" s="234"/>
      <c r="AG171" s="234"/>
      <c r="AH171" s="235"/>
      <c r="AI171" s="234"/>
      <c r="AJ171" s="234"/>
      <c r="AK171" s="234"/>
      <c r="AL171" s="234"/>
      <c r="AM171" s="236" t="e">
        <f t="shared" si="284"/>
        <v>#DIV/0!</v>
      </c>
      <c r="AN171" s="234"/>
      <c r="AO171" s="234"/>
      <c r="AP171" s="237" t="e">
        <f t="shared" si="285"/>
        <v>#DIV/0!</v>
      </c>
      <c r="AQ171" s="234"/>
      <c r="AR171" s="234"/>
      <c r="AS171" s="237" t="e">
        <f>(AQ171+AR171)/$AG171</f>
        <v>#DIV/0!</v>
      </c>
      <c r="AT171" s="234"/>
      <c r="AU171" s="234"/>
      <c r="AV171" s="237" t="e">
        <f>(AT171+AU171)/$AG171</f>
        <v>#DIV/0!</v>
      </c>
      <c r="AW171" s="234"/>
      <c r="AX171" s="234"/>
      <c r="AY171" s="237" t="e">
        <f>(AW171+AX171)/$AG171</f>
        <v>#DIV/0!</v>
      </c>
      <c r="AZ171" s="238">
        <f t="shared" si="286"/>
        <v>0</v>
      </c>
      <c r="BA171" s="238">
        <f t="shared" si="286"/>
        <v>0</v>
      </c>
      <c r="BB171" s="238">
        <f t="shared" si="287"/>
        <v>0</v>
      </c>
      <c r="BC171" s="237">
        <f t="shared" si="288"/>
        <v>1</v>
      </c>
      <c r="BD171" s="239"/>
      <c r="BE171" s="239"/>
    </row>
    <row r="172" spans="29:57" ht="18" customHeight="1" x14ac:dyDescent="0.2">
      <c r="AC172" s="7"/>
      <c r="AG172" s="240">
        <f>SUM(AG169:AG171)</f>
        <v>244</v>
      </c>
      <c r="AH172" s="240">
        <f>SUM(AH169:AH171)</f>
        <v>244</v>
      </c>
      <c r="AI172" s="240">
        <f t="shared" ref="AI172:AL172" si="289">SUM(AI169:AI171)</f>
        <v>245</v>
      </c>
      <c r="AJ172" s="240">
        <f t="shared" si="289"/>
        <v>0</v>
      </c>
      <c r="AK172" s="240">
        <f t="shared" si="289"/>
        <v>0</v>
      </c>
      <c r="AL172" s="240">
        <f t="shared" si="289"/>
        <v>1</v>
      </c>
      <c r="AM172" s="135"/>
      <c r="AN172" s="240">
        <f>SUM(AN169:AN171)</f>
        <v>25</v>
      </c>
      <c r="AO172" s="240">
        <f>SUM(AO169:AO171)</f>
        <v>0</v>
      </c>
      <c r="AP172" s="241"/>
      <c r="AQ172" s="240">
        <f>SUM(AQ169:AQ171)</f>
        <v>6</v>
      </c>
      <c r="AR172" s="240">
        <f>SUM(AR169:AR171)</f>
        <v>0</v>
      </c>
      <c r="AS172" s="241"/>
      <c r="AT172" s="240">
        <f>SUM(AT169:AT171)</f>
        <v>2</v>
      </c>
      <c r="AU172" s="240">
        <f>SUM(AU169:AU171)</f>
        <v>0</v>
      </c>
      <c r="AV172" s="241"/>
      <c r="AW172" s="240">
        <f>SUM(AW169:AW171)</f>
        <v>0</v>
      </c>
      <c r="AX172" s="240">
        <f>SUM(AX169:AX171)</f>
        <v>0</v>
      </c>
      <c r="AY172" s="241"/>
      <c r="AZ172" s="240">
        <f>SUM(AZ169:AZ171)</f>
        <v>33</v>
      </c>
      <c r="BA172" s="240">
        <f>SUM(BA169:BA171)</f>
        <v>0</v>
      </c>
      <c r="BB172" s="240">
        <f>SUM(AZ172:BA172)</f>
        <v>33</v>
      </c>
      <c r="BC172" s="242">
        <f>(BB172+1)/(AI172+1)</f>
        <v>0.13821138211382114</v>
      </c>
      <c r="BD172" s="98"/>
      <c r="BE172" s="98"/>
    </row>
    <row r="173" spans="29:57" ht="18" customHeight="1" x14ac:dyDescent="0.2">
      <c r="AC173" s="212" t="s">
        <v>315</v>
      </c>
      <c r="AD173" s="15"/>
      <c r="AE173" s="23"/>
      <c r="AF173" s="16"/>
      <c r="AG173" s="15"/>
      <c r="AH173" s="15"/>
      <c r="AI173" s="15"/>
      <c r="AJ173" s="15"/>
      <c r="AK173" s="15"/>
      <c r="AL173" s="22"/>
      <c r="AM173" s="213"/>
      <c r="AN173" s="23"/>
      <c r="AO173" s="23"/>
      <c r="AP173" s="7"/>
      <c r="AQ173" s="15"/>
      <c r="AR173" s="15"/>
      <c r="AS173" s="7"/>
      <c r="AT173" s="15"/>
      <c r="AU173" s="15"/>
      <c r="AV173" s="7"/>
      <c r="AW173" s="15"/>
      <c r="AX173" s="15"/>
      <c r="AY173" s="214"/>
      <c r="AZ173" s="215"/>
      <c r="BA173" s="10"/>
      <c r="BB173" s="7"/>
      <c r="BC173" s="7"/>
      <c r="BD173" s="7"/>
      <c r="BE173" s="7"/>
    </row>
    <row r="174" spans="29:57" ht="18" customHeight="1" x14ac:dyDescent="0.2">
      <c r="AC174" s="216" t="s">
        <v>271</v>
      </c>
      <c r="AD174" s="403">
        <v>46111</v>
      </c>
      <c r="AE174" s="400">
        <v>46112</v>
      </c>
      <c r="AF174" s="406">
        <v>4</v>
      </c>
      <c r="AG174" s="218">
        <v>257</v>
      </c>
      <c r="AH174" s="219">
        <v>257</v>
      </c>
      <c r="AI174" s="218">
        <v>257</v>
      </c>
      <c r="AJ174" s="218">
        <v>0</v>
      </c>
      <c r="AK174" s="218">
        <v>0</v>
      </c>
      <c r="AL174" s="218">
        <v>0</v>
      </c>
      <c r="AM174" s="220">
        <f>SUM(AJ174:AL174)/AH174</f>
        <v>0</v>
      </c>
      <c r="AN174" s="218">
        <v>21</v>
      </c>
      <c r="AO174" s="218">
        <v>0</v>
      </c>
      <c r="AP174" s="221">
        <f>SUM(AN174:AO174)/AI174</f>
        <v>8.171206225680934E-2</v>
      </c>
      <c r="AQ174" s="218">
        <v>5</v>
      </c>
      <c r="AR174" s="218">
        <v>0</v>
      </c>
      <c r="AS174" s="221">
        <f>(AQ174+AR174)/$AG174</f>
        <v>1.9455252918287938E-2</v>
      </c>
      <c r="AT174" s="218">
        <v>3</v>
      </c>
      <c r="AU174" s="218">
        <v>0</v>
      </c>
      <c r="AV174" s="221">
        <f>(AT174+AU174)/$AG174</f>
        <v>1.1673151750972763E-2</v>
      </c>
      <c r="AW174" s="218">
        <v>0</v>
      </c>
      <c r="AX174" s="218">
        <v>0</v>
      </c>
      <c r="AY174" s="221">
        <f>(AW174+AX174)/$AG174</f>
        <v>0</v>
      </c>
      <c r="AZ174" s="222">
        <f>SUM(AN174,AQ174,AT174,AW174)</f>
        <v>29</v>
      </c>
      <c r="BA174" s="222">
        <f>SUM(AO174,AR174,AU174,AX174)</f>
        <v>0</v>
      </c>
      <c r="BB174" s="222">
        <f>SUM(AZ174:BA174)</f>
        <v>29</v>
      </c>
      <c r="BC174" s="221">
        <f>(BB174+1)/(AI174+1)</f>
        <v>0.11627906976744186</v>
      </c>
      <c r="BD174" s="223" t="s">
        <v>274</v>
      </c>
      <c r="BE174" s="223" t="s">
        <v>268</v>
      </c>
    </row>
    <row r="175" spans="29:57" ht="18" customHeight="1" x14ac:dyDescent="0.2">
      <c r="AC175" s="224" t="s">
        <v>273</v>
      </c>
      <c r="AD175" s="404"/>
      <c r="AE175" s="401"/>
      <c r="AF175" s="407"/>
      <c r="AG175" s="226"/>
      <c r="AH175" s="227"/>
      <c r="AI175" s="226"/>
      <c r="AJ175" s="226"/>
      <c r="AK175" s="226"/>
      <c r="AL175" s="226"/>
      <c r="AM175" s="228" t="e">
        <f t="shared" ref="AM175:AM176" si="290">SUM(AJ175:AL175)/AH175</f>
        <v>#DIV/0!</v>
      </c>
      <c r="AN175" s="226"/>
      <c r="AO175" s="226"/>
      <c r="AP175" s="229" t="e">
        <f t="shared" ref="AP175:AP176" si="291">SUM(AN175:AO175)/AI175</f>
        <v>#DIV/0!</v>
      </c>
      <c r="AQ175" s="226"/>
      <c r="AR175" s="226"/>
      <c r="AS175" s="229" t="e">
        <f>(AQ175+AR175)/$AG175</f>
        <v>#DIV/0!</v>
      </c>
      <c r="AT175" s="226"/>
      <c r="AU175" s="226"/>
      <c r="AV175" s="229" t="e">
        <f>(AT175+AU175)/$AG175</f>
        <v>#DIV/0!</v>
      </c>
      <c r="AW175" s="226"/>
      <c r="AX175" s="226"/>
      <c r="AY175" s="229" t="e">
        <f>(AW175+AX175)/$AG175</f>
        <v>#DIV/0!</v>
      </c>
      <c r="AZ175" s="230">
        <f t="shared" ref="AZ175:BA176" si="292">SUM(AN175,AQ175,AT175,AW175)</f>
        <v>0</v>
      </c>
      <c r="BA175" s="230">
        <f t="shared" si="292"/>
        <v>0</v>
      </c>
      <c r="BB175" s="230">
        <f t="shared" ref="BB175:BB176" si="293">SUM(AZ175:BA175)</f>
        <v>0</v>
      </c>
      <c r="BC175" s="229">
        <f t="shared" ref="BC175:BC176" si="294">(BB175+1)/(AI175+1)</f>
        <v>1</v>
      </c>
      <c r="BD175" s="231"/>
      <c r="BE175" s="231"/>
    </row>
    <row r="176" spans="29:57" ht="18" customHeight="1" x14ac:dyDescent="0.2">
      <c r="AC176" s="232" t="s">
        <v>275</v>
      </c>
      <c r="AD176" s="405"/>
      <c r="AE176" s="402"/>
      <c r="AF176" s="408"/>
      <c r="AG176" s="234"/>
      <c r="AH176" s="235"/>
      <c r="AI176" s="234"/>
      <c r="AJ176" s="234"/>
      <c r="AK176" s="234"/>
      <c r="AL176" s="234"/>
      <c r="AM176" s="236" t="e">
        <f t="shared" si="290"/>
        <v>#DIV/0!</v>
      </c>
      <c r="AN176" s="234"/>
      <c r="AO176" s="234"/>
      <c r="AP176" s="237" t="e">
        <f t="shared" si="291"/>
        <v>#DIV/0!</v>
      </c>
      <c r="AQ176" s="234"/>
      <c r="AR176" s="234"/>
      <c r="AS176" s="237" t="e">
        <f>(AQ176+AR176)/$AG176</f>
        <v>#DIV/0!</v>
      </c>
      <c r="AT176" s="234"/>
      <c r="AU176" s="234"/>
      <c r="AV176" s="237" t="e">
        <f>(AT176+AU176)/$AG176</f>
        <v>#DIV/0!</v>
      </c>
      <c r="AW176" s="234"/>
      <c r="AX176" s="234"/>
      <c r="AY176" s="237" t="e">
        <f>(AW176+AX176)/$AG176</f>
        <v>#DIV/0!</v>
      </c>
      <c r="AZ176" s="238">
        <f t="shared" si="292"/>
        <v>0</v>
      </c>
      <c r="BA176" s="238">
        <f t="shared" si="292"/>
        <v>0</v>
      </c>
      <c r="BB176" s="238">
        <f t="shared" si="293"/>
        <v>0</v>
      </c>
      <c r="BC176" s="237">
        <f t="shared" si="294"/>
        <v>1</v>
      </c>
      <c r="BD176" s="239"/>
      <c r="BE176" s="239"/>
    </row>
    <row r="177" spans="29:57" ht="18" customHeight="1" x14ac:dyDescent="0.2">
      <c r="AC177" s="7"/>
      <c r="AG177" s="240">
        <f>SUM(AG174:AG176)</f>
        <v>257</v>
      </c>
      <c r="AH177" s="240">
        <f>SUM(AH174:AH176)</f>
        <v>257</v>
      </c>
      <c r="AI177" s="240">
        <f t="shared" ref="AI177:AL177" si="295">SUM(AI174:AI176)</f>
        <v>257</v>
      </c>
      <c r="AJ177" s="240">
        <f t="shared" si="295"/>
        <v>0</v>
      </c>
      <c r="AK177" s="240">
        <f t="shared" si="295"/>
        <v>0</v>
      </c>
      <c r="AL177" s="240">
        <f t="shared" si="295"/>
        <v>0</v>
      </c>
      <c r="AM177" s="135"/>
      <c r="AN177" s="240">
        <f>SUM(AN174:AN176)</f>
        <v>21</v>
      </c>
      <c r="AO177" s="240">
        <f>SUM(AO174:AO176)</f>
        <v>0</v>
      </c>
      <c r="AP177" s="241"/>
      <c r="AQ177" s="240">
        <f>SUM(AQ174:AQ176)</f>
        <v>5</v>
      </c>
      <c r="AR177" s="240">
        <f>SUM(AR174:AR176)</f>
        <v>0</v>
      </c>
      <c r="AS177" s="241"/>
      <c r="AT177" s="240">
        <f>SUM(AT174:AT176)</f>
        <v>3</v>
      </c>
      <c r="AU177" s="240">
        <f>SUM(AU174:AU176)</f>
        <v>0</v>
      </c>
      <c r="AV177" s="241"/>
      <c r="AW177" s="240">
        <f>SUM(AW174:AW176)</f>
        <v>0</v>
      </c>
      <c r="AX177" s="240">
        <f>SUM(AX174:AX176)</f>
        <v>0</v>
      </c>
      <c r="AY177" s="241"/>
      <c r="AZ177" s="240">
        <f>SUM(AZ174:AZ176)</f>
        <v>29</v>
      </c>
      <c r="BA177" s="240">
        <f>SUM(BA174:BA176)</f>
        <v>0</v>
      </c>
      <c r="BB177" s="240">
        <f>SUM(AZ177:BA177)</f>
        <v>29</v>
      </c>
      <c r="BC177" s="242">
        <f>(BB177+1)/(AI177+1)</f>
        <v>0.11627906976744186</v>
      </c>
      <c r="BD177" s="98"/>
      <c r="BE177" s="98"/>
    </row>
    <row r="178" spans="29:57" ht="18" customHeight="1" x14ac:dyDescent="0.2">
      <c r="AC178" s="212" t="s">
        <v>316</v>
      </c>
      <c r="AD178" s="15"/>
      <c r="AE178" s="23"/>
      <c r="AF178" s="16"/>
      <c r="AG178" s="15"/>
      <c r="AH178" s="15"/>
      <c r="AI178" s="15"/>
      <c r="AJ178" s="15"/>
      <c r="AK178" s="15"/>
      <c r="AL178" s="22"/>
      <c r="AM178" s="213"/>
      <c r="AN178" s="23"/>
      <c r="AO178" s="23"/>
      <c r="AP178" s="7"/>
      <c r="AQ178" s="15"/>
      <c r="AR178" s="15"/>
      <c r="AS178" s="7"/>
      <c r="AT178" s="15"/>
      <c r="AU178" s="15"/>
      <c r="AV178" s="7"/>
      <c r="AW178" s="15"/>
      <c r="AX178" s="15"/>
      <c r="AY178" s="214"/>
      <c r="AZ178" s="215"/>
      <c r="BA178" s="10"/>
      <c r="BB178" s="7"/>
      <c r="BC178" s="7"/>
      <c r="BD178" s="7"/>
      <c r="BE178" s="7"/>
    </row>
    <row r="179" spans="29:57" ht="18" customHeight="1" x14ac:dyDescent="0.2">
      <c r="AC179" s="216" t="s">
        <v>271</v>
      </c>
      <c r="AD179" s="217"/>
      <c r="AE179" s="217"/>
      <c r="AF179" s="218"/>
      <c r="AG179" s="218"/>
      <c r="AH179" s="219"/>
      <c r="AI179" s="218"/>
      <c r="AJ179" s="218"/>
      <c r="AK179" s="218"/>
      <c r="AL179" s="218"/>
      <c r="AM179" s="220" t="e">
        <f>SUM(AJ179:AL179)/AH179</f>
        <v>#DIV/0!</v>
      </c>
      <c r="AN179" s="218"/>
      <c r="AO179" s="218"/>
      <c r="AP179" s="221" t="e">
        <f>SUM(AN179:AO179)/AI179</f>
        <v>#DIV/0!</v>
      </c>
      <c r="AQ179" s="218"/>
      <c r="AR179" s="218"/>
      <c r="AS179" s="221" t="e">
        <f>(AQ179+AR179)/$AG179</f>
        <v>#DIV/0!</v>
      </c>
      <c r="AT179" s="218"/>
      <c r="AU179" s="218"/>
      <c r="AV179" s="221" t="e">
        <f>(AT179+AU179)/$AG179</f>
        <v>#DIV/0!</v>
      </c>
      <c r="AW179" s="218"/>
      <c r="AX179" s="218"/>
      <c r="AY179" s="221" t="e">
        <f>(AW179+AX179)/$AG179</f>
        <v>#DIV/0!</v>
      </c>
      <c r="AZ179" s="222">
        <f>SUM(AN179,AQ179,AT179,AW179)</f>
        <v>0</v>
      </c>
      <c r="BA179" s="222">
        <f>SUM(AO179,AR179,AU179,AX179)</f>
        <v>0</v>
      </c>
      <c r="BB179" s="222">
        <f>SUM(AZ179:BA179)</f>
        <v>0</v>
      </c>
      <c r="BC179" s="395">
        <f>(BB179+1)/(AI179+1)</f>
        <v>1</v>
      </c>
      <c r="BD179" s="393"/>
      <c r="BE179" s="397"/>
    </row>
    <row r="180" spans="29:57" ht="18" customHeight="1" x14ac:dyDescent="0.2">
      <c r="AC180" s="224" t="s">
        <v>273</v>
      </c>
      <c r="AD180" s="225">
        <v>46114</v>
      </c>
      <c r="AE180" s="225">
        <v>46115</v>
      </c>
      <c r="AF180" s="226">
        <v>1</v>
      </c>
      <c r="AG180" s="226">
        <v>250</v>
      </c>
      <c r="AH180" s="227">
        <v>249</v>
      </c>
      <c r="AI180" s="226">
        <v>249</v>
      </c>
      <c r="AJ180" s="226">
        <v>1</v>
      </c>
      <c r="AK180" s="226">
        <v>0</v>
      </c>
      <c r="AL180" s="226">
        <v>0</v>
      </c>
      <c r="AM180" s="228">
        <f t="shared" ref="AM180:AM181" si="296">SUM(AJ180:AL180)/AH180</f>
        <v>4.0160642570281121E-3</v>
      </c>
      <c r="AN180" s="226">
        <v>22</v>
      </c>
      <c r="AO180" s="226">
        <v>0</v>
      </c>
      <c r="AP180" s="229">
        <f t="shared" ref="AP180:AP181" si="297">SUM(AN180:AO180)/AI180</f>
        <v>8.8353413654618476E-2</v>
      </c>
      <c r="AQ180" s="226">
        <v>3</v>
      </c>
      <c r="AR180" s="226">
        <v>0</v>
      </c>
      <c r="AS180" s="229">
        <f>(AQ180+AR180)/$AG180</f>
        <v>1.2E-2</v>
      </c>
      <c r="AT180" s="226">
        <v>0</v>
      </c>
      <c r="AU180" s="226">
        <v>0</v>
      </c>
      <c r="AV180" s="229">
        <f>(AT180+AU180)/$AG180</f>
        <v>0</v>
      </c>
      <c r="AW180" s="226">
        <v>1</v>
      </c>
      <c r="AX180" s="226">
        <v>0</v>
      </c>
      <c r="AY180" s="229">
        <f>(AW180+AX180)/$AG180</f>
        <v>4.0000000000000001E-3</v>
      </c>
      <c r="AZ180" s="230">
        <f t="shared" ref="AZ180:BA181" si="298">SUM(AN180,AQ180,AT180,AW180)</f>
        <v>26</v>
      </c>
      <c r="BA180" s="230">
        <f t="shared" si="298"/>
        <v>0</v>
      </c>
      <c r="BB180" s="230">
        <f t="shared" ref="BB180:BB181" si="299">SUM(AZ180:BA180)</f>
        <v>26</v>
      </c>
      <c r="BC180" s="391">
        <f t="shared" ref="BC180:BC181" si="300">(BB180+1)/(AI180+1)</f>
        <v>0.108</v>
      </c>
      <c r="BD180" s="399" t="s">
        <v>274</v>
      </c>
      <c r="BE180" s="392" t="s">
        <v>268</v>
      </c>
    </row>
    <row r="181" spans="29:57" ht="18" customHeight="1" x14ac:dyDescent="0.2">
      <c r="AC181" s="232" t="s">
        <v>275</v>
      </c>
      <c r="AD181" s="233"/>
      <c r="AE181" s="233"/>
      <c r="AF181" s="234"/>
      <c r="AG181" s="234"/>
      <c r="AH181" s="235"/>
      <c r="AI181" s="234"/>
      <c r="AJ181" s="234"/>
      <c r="AK181" s="234"/>
      <c r="AL181" s="234"/>
      <c r="AM181" s="236" t="e">
        <f t="shared" si="296"/>
        <v>#DIV/0!</v>
      </c>
      <c r="AN181" s="234"/>
      <c r="AO181" s="234"/>
      <c r="AP181" s="237" t="e">
        <f t="shared" si="297"/>
        <v>#DIV/0!</v>
      </c>
      <c r="AQ181" s="234"/>
      <c r="AR181" s="234"/>
      <c r="AS181" s="237" t="e">
        <f>(AQ181+AR181)/$AG181</f>
        <v>#DIV/0!</v>
      </c>
      <c r="AT181" s="234"/>
      <c r="AU181" s="234"/>
      <c r="AV181" s="237" t="e">
        <f>(AT181+AU181)/$AG181</f>
        <v>#DIV/0!</v>
      </c>
      <c r="AW181" s="234"/>
      <c r="AX181" s="234"/>
      <c r="AY181" s="237" t="e">
        <f>(AW181+AX181)/$AG181</f>
        <v>#DIV/0!</v>
      </c>
      <c r="AZ181" s="238">
        <f t="shared" si="298"/>
        <v>0</v>
      </c>
      <c r="BA181" s="238">
        <f t="shared" si="298"/>
        <v>0</v>
      </c>
      <c r="BB181" s="238">
        <f t="shared" si="299"/>
        <v>0</v>
      </c>
      <c r="BC181" s="396">
        <f t="shared" si="300"/>
        <v>1</v>
      </c>
      <c r="BD181" s="394"/>
      <c r="BE181" s="398"/>
    </row>
    <row r="182" spans="29:57" ht="18" customHeight="1" x14ac:dyDescent="0.2">
      <c r="AC182" s="7"/>
      <c r="AG182" s="240">
        <f>SUM(AG179:AG181)</f>
        <v>250</v>
      </c>
      <c r="AH182" s="240">
        <f>SUM(AH179:AH181)</f>
        <v>249</v>
      </c>
      <c r="AI182" s="240">
        <f t="shared" ref="AI182:AL182" si="301">SUM(AI179:AI181)</f>
        <v>249</v>
      </c>
      <c r="AJ182" s="240">
        <f t="shared" si="301"/>
        <v>1</v>
      </c>
      <c r="AK182" s="240">
        <f t="shared" si="301"/>
        <v>0</v>
      </c>
      <c r="AL182" s="240">
        <f t="shared" si="301"/>
        <v>0</v>
      </c>
      <c r="AM182" s="135"/>
      <c r="AN182" s="240">
        <f>SUM(AN179:AN181)</f>
        <v>22</v>
      </c>
      <c r="AO182" s="240">
        <f>SUM(AO179:AO181)</f>
        <v>0</v>
      </c>
      <c r="AP182" s="241"/>
      <c r="AQ182" s="240">
        <f>SUM(AQ179:AQ181)</f>
        <v>3</v>
      </c>
      <c r="AR182" s="240">
        <f>SUM(AR179:AR181)</f>
        <v>0</v>
      </c>
      <c r="AS182" s="241"/>
      <c r="AT182" s="240">
        <f>SUM(AT179:AT181)</f>
        <v>0</v>
      </c>
      <c r="AU182" s="240">
        <f>SUM(AU179:AU181)</f>
        <v>0</v>
      </c>
      <c r="AV182" s="241"/>
      <c r="AW182" s="240">
        <f>SUM(AW179:AW181)</f>
        <v>1</v>
      </c>
      <c r="AX182" s="240">
        <f>SUM(AX179:AX181)</f>
        <v>0</v>
      </c>
      <c r="AY182" s="241"/>
      <c r="AZ182" s="240">
        <f>SUM(AZ179:AZ181)</f>
        <v>26</v>
      </c>
      <c r="BA182" s="240">
        <f>SUM(BA179:BA181)</f>
        <v>0</v>
      </c>
      <c r="BB182" s="240">
        <f>SUM(AZ182:BA182)</f>
        <v>26</v>
      </c>
      <c r="BC182" s="242">
        <f>(BB182+1)/(AI182+1)</f>
        <v>0.108</v>
      </c>
      <c r="BD182" s="98"/>
      <c r="BE182" s="98"/>
    </row>
    <row r="183" spans="29:57" ht="18" customHeight="1" x14ac:dyDescent="0.2">
      <c r="AC183" s="212" t="s">
        <v>317</v>
      </c>
      <c r="AD183" s="15"/>
      <c r="AE183" s="23"/>
      <c r="AF183" s="16"/>
      <c r="AG183" s="15"/>
      <c r="AH183" s="15"/>
      <c r="AI183" s="15"/>
      <c r="AJ183" s="15"/>
      <c r="AK183" s="15"/>
      <c r="AL183" s="22"/>
      <c r="AM183" s="213"/>
      <c r="AN183" s="23"/>
      <c r="AO183" s="23"/>
      <c r="AP183" s="7"/>
      <c r="AQ183" s="15"/>
      <c r="AR183" s="15"/>
      <c r="AS183" s="7"/>
      <c r="AT183" s="15"/>
      <c r="AU183" s="15"/>
      <c r="AV183" s="7"/>
      <c r="AW183" s="15"/>
      <c r="AX183" s="15"/>
      <c r="AY183" s="214"/>
      <c r="AZ183" s="215"/>
      <c r="BA183" s="10"/>
      <c r="BB183" s="7"/>
      <c r="BC183" s="7"/>
      <c r="BD183" s="7"/>
      <c r="BE183" s="7"/>
    </row>
    <row r="184" spans="29:57" ht="18" customHeight="1" x14ac:dyDescent="0.2">
      <c r="AC184" s="216" t="s">
        <v>271</v>
      </c>
      <c r="AD184" s="350">
        <v>46114</v>
      </c>
      <c r="AE184" s="350">
        <v>46115</v>
      </c>
      <c r="AF184" s="351">
        <v>1</v>
      </c>
      <c r="AG184" s="218">
        <v>252</v>
      </c>
      <c r="AH184" s="219">
        <v>252</v>
      </c>
      <c r="AI184" s="218">
        <v>251</v>
      </c>
      <c r="AJ184" s="218">
        <v>0</v>
      </c>
      <c r="AK184" s="218">
        <v>0</v>
      </c>
      <c r="AL184" s="218">
        <v>1</v>
      </c>
      <c r="AM184" s="220">
        <f>SUM(AJ184:AL184)/AH184</f>
        <v>3.968253968253968E-3</v>
      </c>
      <c r="AN184" s="218">
        <v>24</v>
      </c>
      <c r="AO184" s="218">
        <v>0</v>
      </c>
      <c r="AP184" s="221">
        <f>SUM(AN184:AO184)/AI184</f>
        <v>9.5617529880478086E-2</v>
      </c>
      <c r="AQ184" s="218">
        <v>0</v>
      </c>
      <c r="AR184" s="218">
        <v>0</v>
      </c>
      <c r="AS184" s="221">
        <f>(AQ184+AR184)/$AG184</f>
        <v>0</v>
      </c>
      <c r="AT184" s="218">
        <v>0</v>
      </c>
      <c r="AU184" s="218">
        <v>0</v>
      </c>
      <c r="AV184" s="221">
        <f>(AT184+AU184)/$AG184</f>
        <v>0</v>
      </c>
      <c r="AW184" s="218">
        <v>7</v>
      </c>
      <c r="AX184" s="218">
        <v>0</v>
      </c>
      <c r="AY184" s="221">
        <f>(AW184+AX184)/$AG184</f>
        <v>2.7777777777777776E-2</v>
      </c>
      <c r="AZ184" s="222">
        <f>SUM(AN184,AQ184,AT184,AW184)</f>
        <v>31</v>
      </c>
      <c r="BA184" s="222">
        <f>SUM(AO184,AR184,AU184,AX184)</f>
        <v>0</v>
      </c>
      <c r="BB184" s="222">
        <f>SUM(AZ184:BA184)</f>
        <v>31</v>
      </c>
      <c r="BC184" s="221">
        <f>(BB184+1)/(AI184+1)</f>
        <v>0.12698412698412698</v>
      </c>
      <c r="BD184" s="223" t="s">
        <v>274</v>
      </c>
      <c r="BE184" s="223" t="s">
        <v>268</v>
      </c>
    </row>
    <row r="185" spans="29:57" ht="18" customHeight="1" x14ac:dyDescent="0.2">
      <c r="AC185" s="224" t="s">
        <v>273</v>
      </c>
      <c r="AD185" s="225"/>
      <c r="AE185" s="225"/>
      <c r="AF185" s="226"/>
      <c r="AG185" s="226"/>
      <c r="AH185" s="227"/>
      <c r="AI185" s="226"/>
      <c r="AJ185" s="226"/>
      <c r="AK185" s="226"/>
      <c r="AL185" s="226"/>
      <c r="AM185" s="228" t="e">
        <f t="shared" ref="AM185:AM186" si="302">SUM(AJ185:AL185)/AH185</f>
        <v>#DIV/0!</v>
      </c>
      <c r="AN185" s="226"/>
      <c r="AO185" s="226"/>
      <c r="AP185" s="229" t="e">
        <f t="shared" ref="AP185:AP186" si="303">SUM(AN185:AO185)/AI185</f>
        <v>#DIV/0!</v>
      </c>
      <c r="AQ185" s="226"/>
      <c r="AR185" s="226"/>
      <c r="AS185" s="229" t="e">
        <f>(AQ185+AR185)/$AG185</f>
        <v>#DIV/0!</v>
      </c>
      <c r="AT185" s="226"/>
      <c r="AU185" s="226"/>
      <c r="AV185" s="229" t="e">
        <f>(AT185+AU185)/$AG185</f>
        <v>#DIV/0!</v>
      </c>
      <c r="AW185" s="226"/>
      <c r="AX185" s="226"/>
      <c r="AY185" s="229" t="e">
        <f>(AW185+AX185)/$AG185</f>
        <v>#DIV/0!</v>
      </c>
      <c r="AZ185" s="230">
        <f t="shared" ref="AZ185:BA186" si="304">SUM(AN185,AQ185,AT185,AW185)</f>
        <v>0</v>
      </c>
      <c r="BA185" s="230">
        <f t="shared" si="304"/>
        <v>0</v>
      </c>
      <c r="BB185" s="230">
        <f t="shared" ref="BB185:BB186" si="305">SUM(AZ185:BA185)</f>
        <v>0</v>
      </c>
      <c r="BC185" s="229">
        <f t="shared" ref="BC185:BC186" si="306">(BB185+1)/(AI185+1)</f>
        <v>1</v>
      </c>
      <c r="BD185" s="231"/>
      <c r="BE185" s="231"/>
    </row>
    <row r="186" spans="29:57" ht="18" customHeight="1" x14ac:dyDescent="0.2">
      <c r="AC186" s="232" t="s">
        <v>275</v>
      </c>
      <c r="AD186" s="233"/>
      <c r="AE186" s="233"/>
      <c r="AF186" s="234"/>
      <c r="AG186" s="234"/>
      <c r="AH186" s="235"/>
      <c r="AI186" s="234"/>
      <c r="AJ186" s="234"/>
      <c r="AK186" s="234"/>
      <c r="AL186" s="234"/>
      <c r="AM186" s="236" t="e">
        <f t="shared" si="302"/>
        <v>#DIV/0!</v>
      </c>
      <c r="AN186" s="234"/>
      <c r="AO186" s="234"/>
      <c r="AP186" s="237" t="e">
        <f t="shared" si="303"/>
        <v>#DIV/0!</v>
      </c>
      <c r="AQ186" s="234"/>
      <c r="AR186" s="234"/>
      <c r="AS186" s="237" t="e">
        <f>(AQ186+AR186)/$AG186</f>
        <v>#DIV/0!</v>
      </c>
      <c r="AT186" s="234"/>
      <c r="AU186" s="234"/>
      <c r="AV186" s="237" t="e">
        <f>(AT186+AU186)/$AG186</f>
        <v>#DIV/0!</v>
      </c>
      <c r="AW186" s="234"/>
      <c r="AX186" s="234"/>
      <c r="AY186" s="237" t="e">
        <f>(AW186+AX186)/$AG186</f>
        <v>#DIV/0!</v>
      </c>
      <c r="AZ186" s="238">
        <f t="shared" si="304"/>
        <v>0</v>
      </c>
      <c r="BA186" s="238">
        <f t="shared" si="304"/>
        <v>0</v>
      </c>
      <c r="BB186" s="238">
        <f t="shared" si="305"/>
        <v>0</v>
      </c>
      <c r="BC186" s="237">
        <f t="shared" si="306"/>
        <v>1</v>
      </c>
      <c r="BD186" s="239"/>
      <c r="BE186" s="239"/>
    </row>
    <row r="187" spans="29:57" ht="18" customHeight="1" x14ac:dyDescent="0.2">
      <c r="AC187" s="7"/>
      <c r="AG187" s="240">
        <f>SUM(AG184:AG186)</f>
        <v>252</v>
      </c>
      <c r="AH187" s="240">
        <f>SUM(AH184:AH186)</f>
        <v>252</v>
      </c>
      <c r="AI187" s="240">
        <f t="shared" ref="AI187:AL187" si="307">SUM(AI184:AI186)</f>
        <v>251</v>
      </c>
      <c r="AJ187" s="240">
        <f t="shared" si="307"/>
        <v>0</v>
      </c>
      <c r="AK187" s="240">
        <f t="shared" si="307"/>
        <v>0</v>
      </c>
      <c r="AL187" s="240">
        <f t="shared" si="307"/>
        <v>1</v>
      </c>
      <c r="AM187" s="135"/>
      <c r="AN187" s="240">
        <f>SUM(AN184:AN186)</f>
        <v>24</v>
      </c>
      <c r="AO187" s="240">
        <f>SUM(AO184:AO186)</f>
        <v>0</v>
      </c>
      <c r="AP187" s="241"/>
      <c r="AQ187" s="240">
        <f>SUM(AQ184:AQ186)</f>
        <v>0</v>
      </c>
      <c r="AR187" s="240">
        <f>SUM(AR184:AR186)</f>
        <v>0</v>
      </c>
      <c r="AS187" s="241"/>
      <c r="AT187" s="240">
        <f>SUM(AT184:AT186)</f>
        <v>0</v>
      </c>
      <c r="AU187" s="240">
        <f>SUM(AU184:AU186)</f>
        <v>0</v>
      </c>
      <c r="AV187" s="241"/>
      <c r="AW187" s="240">
        <f>SUM(AW184:AW186)</f>
        <v>7</v>
      </c>
      <c r="AX187" s="240">
        <f>SUM(AX184:AX186)</f>
        <v>0</v>
      </c>
      <c r="AY187" s="241"/>
      <c r="AZ187" s="240">
        <f>SUM(AZ184:AZ186)</f>
        <v>31</v>
      </c>
      <c r="BA187" s="240">
        <f>SUM(BA184:BA186)</f>
        <v>0</v>
      </c>
      <c r="BB187" s="240">
        <f>SUM(AZ187:BA187)</f>
        <v>31</v>
      </c>
      <c r="BC187" s="242">
        <f>(BB187+1)/(AI187+1)</f>
        <v>0.12698412698412698</v>
      </c>
      <c r="BD187" s="98"/>
      <c r="BE187" s="98"/>
    </row>
    <row r="188" spans="29:57" ht="18" customHeight="1" x14ac:dyDescent="0.2">
      <c r="AC188" s="212" t="s">
        <v>318</v>
      </c>
      <c r="AD188" s="15"/>
      <c r="AE188" s="23"/>
      <c r="AF188" s="16"/>
      <c r="AG188" s="15"/>
      <c r="AH188" s="15"/>
      <c r="AI188" s="15"/>
      <c r="AJ188" s="15"/>
      <c r="AK188" s="15"/>
      <c r="AL188" s="22"/>
      <c r="AM188" s="213"/>
      <c r="AN188" s="23"/>
      <c r="AO188" s="23"/>
      <c r="AP188" s="7"/>
      <c r="AQ188" s="15"/>
      <c r="AR188" s="15"/>
      <c r="AS188" s="7"/>
      <c r="AT188" s="15"/>
      <c r="AU188" s="15"/>
      <c r="AV188" s="7"/>
      <c r="AW188" s="15"/>
      <c r="AX188" s="15"/>
      <c r="AY188" s="214"/>
      <c r="AZ188" s="215"/>
      <c r="BA188" s="10"/>
      <c r="BB188" s="7"/>
      <c r="BC188" s="7"/>
      <c r="BD188" s="7"/>
      <c r="BE188" s="7"/>
    </row>
    <row r="189" spans="29:57" ht="18" customHeight="1" x14ac:dyDescent="0.2">
      <c r="AC189" s="216" t="s">
        <v>271</v>
      </c>
      <c r="AD189" s="217">
        <v>46118</v>
      </c>
      <c r="AE189" s="217">
        <v>46119</v>
      </c>
      <c r="AF189" s="218">
        <v>5</v>
      </c>
      <c r="AG189" s="218">
        <v>504</v>
      </c>
      <c r="AH189" s="219">
        <v>504</v>
      </c>
      <c r="AI189" s="218">
        <v>478</v>
      </c>
      <c r="AJ189" s="218">
        <v>0</v>
      </c>
      <c r="AK189" s="218">
        <v>4</v>
      </c>
      <c r="AL189" s="218">
        <v>26</v>
      </c>
      <c r="AM189" s="220">
        <f>SUM(AJ189:AL189)/AH189</f>
        <v>5.9523809523809521E-2</v>
      </c>
      <c r="AN189" s="218">
        <v>47</v>
      </c>
      <c r="AO189" s="218">
        <v>0</v>
      </c>
      <c r="AP189" s="221">
        <f>SUM(AN189:AO189)/AI189</f>
        <v>9.832635983263599E-2</v>
      </c>
      <c r="AQ189" s="218">
        <v>8</v>
      </c>
      <c r="AR189" s="218">
        <v>0</v>
      </c>
      <c r="AS189" s="221">
        <f>(AQ189+AR189)/$AG189</f>
        <v>1.5873015873015872E-2</v>
      </c>
      <c r="AT189" s="218">
        <v>1</v>
      </c>
      <c r="AU189" s="218">
        <v>0</v>
      </c>
      <c r="AV189" s="221">
        <f>(AT189+AU189)/$AG189</f>
        <v>1.984126984126984E-3</v>
      </c>
      <c r="AW189" s="218">
        <v>5</v>
      </c>
      <c r="AX189" s="218">
        <v>0</v>
      </c>
      <c r="AY189" s="221">
        <f>(AW189+AX189)/$AG189</f>
        <v>9.9206349206349201E-3</v>
      </c>
      <c r="AZ189" s="222">
        <f>SUM(AN189,AQ189,AT189,AW189)</f>
        <v>61</v>
      </c>
      <c r="BA189" s="222">
        <f>SUM(AO189,AR189,AU189,AX189)</f>
        <v>0</v>
      </c>
      <c r="BB189" s="222">
        <f>SUM(AZ189:BA189)</f>
        <v>61</v>
      </c>
      <c r="BC189" s="221">
        <f>(BB189+1)/(AI189+1)</f>
        <v>0.12943632567849686</v>
      </c>
      <c r="BD189" s="223" t="s">
        <v>274</v>
      </c>
      <c r="BE189" s="223" t="s">
        <v>268</v>
      </c>
    </row>
    <row r="190" spans="29:57" ht="18" customHeight="1" x14ac:dyDescent="0.2">
      <c r="AC190" s="224" t="s">
        <v>273</v>
      </c>
      <c r="AD190" s="225"/>
      <c r="AE190" s="225"/>
      <c r="AF190" s="226"/>
      <c r="AG190" s="226"/>
      <c r="AH190" s="227"/>
      <c r="AI190" s="226"/>
      <c r="AJ190" s="226"/>
      <c r="AK190" s="226"/>
      <c r="AL190" s="226"/>
      <c r="AM190" s="228" t="e">
        <f t="shared" ref="AM190:AM191" si="308">SUM(AJ190:AL190)/AH190</f>
        <v>#DIV/0!</v>
      </c>
      <c r="AN190" s="226"/>
      <c r="AO190" s="226"/>
      <c r="AP190" s="229" t="e">
        <f t="shared" ref="AP190:AP191" si="309">SUM(AN190:AO190)/AI190</f>
        <v>#DIV/0!</v>
      </c>
      <c r="AQ190" s="226"/>
      <c r="AR190" s="226"/>
      <c r="AS190" s="229" t="e">
        <f>(AQ190+AR190)/$AG190</f>
        <v>#DIV/0!</v>
      </c>
      <c r="AT190" s="226"/>
      <c r="AU190" s="226"/>
      <c r="AV190" s="229" t="e">
        <f>(AT190+AU190)/$AG190</f>
        <v>#DIV/0!</v>
      </c>
      <c r="AW190" s="226"/>
      <c r="AX190" s="226"/>
      <c r="AY190" s="229" t="e">
        <f>(AW190+AX190)/$AG190</f>
        <v>#DIV/0!</v>
      </c>
      <c r="AZ190" s="230">
        <f t="shared" ref="AZ190:BA191" si="310">SUM(AN190,AQ190,AT190,AW190)</f>
        <v>0</v>
      </c>
      <c r="BA190" s="230">
        <f t="shared" si="310"/>
        <v>0</v>
      </c>
      <c r="BB190" s="230">
        <f t="shared" ref="BB190:BB191" si="311">SUM(AZ190:BA190)</f>
        <v>0</v>
      </c>
      <c r="BC190" s="229">
        <f t="shared" ref="BC190:BC191" si="312">(BB190+1)/(AI190+1)</f>
        <v>1</v>
      </c>
      <c r="BD190" s="231"/>
      <c r="BE190" s="231"/>
    </row>
    <row r="191" spans="29:57" ht="18" customHeight="1" x14ac:dyDescent="0.2">
      <c r="AC191" s="232" t="s">
        <v>275</v>
      </c>
      <c r="AD191" s="233"/>
      <c r="AE191" s="233"/>
      <c r="AF191" s="234"/>
      <c r="AG191" s="234"/>
      <c r="AH191" s="235"/>
      <c r="AI191" s="234"/>
      <c r="AJ191" s="234"/>
      <c r="AK191" s="234"/>
      <c r="AL191" s="234"/>
      <c r="AM191" s="236" t="e">
        <f t="shared" si="308"/>
        <v>#DIV/0!</v>
      </c>
      <c r="AN191" s="234"/>
      <c r="AO191" s="234"/>
      <c r="AP191" s="237" t="e">
        <f t="shared" si="309"/>
        <v>#DIV/0!</v>
      </c>
      <c r="AQ191" s="234"/>
      <c r="AR191" s="234"/>
      <c r="AS191" s="237" t="e">
        <f>(AQ191+AR191)/$AG191</f>
        <v>#DIV/0!</v>
      </c>
      <c r="AT191" s="234"/>
      <c r="AU191" s="234"/>
      <c r="AV191" s="237" t="e">
        <f>(AT191+AU191)/$AG191</f>
        <v>#DIV/0!</v>
      </c>
      <c r="AW191" s="234"/>
      <c r="AX191" s="234"/>
      <c r="AY191" s="237" t="e">
        <f>(AW191+AX191)/$AG191</f>
        <v>#DIV/0!</v>
      </c>
      <c r="AZ191" s="238">
        <f t="shared" si="310"/>
        <v>0</v>
      </c>
      <c r="BA191" s="238">
        <f t="shared" si="310"/>
        <v>0</v>
      </c>
      <c r="BB191" s="238">
        <f t="shared" si="311"/>
        <v>0</v>
      </c>
      <c r="BC191" s="237">
        <f t="shared" si="312"/>
        <v>1</v>
      </c>
      <c r="BD191" s="239"/>
      <c r="BE191" s="239"/>
    </row>
    <row r="192" spans="29:57" ht="18" customHeight="1" x14ac:dyDescent="0.2">
      <c r="AC192" s="7"/>
      <c r="AG192" s="240">
        <f>SUM(AG189:AG191)</f>
        <v>504</v>
      </c>
      <c r="AH192" s="240">
        <f>SUM(AH189:AH191)</f>
        <v>504</v>
      </c>
      <c r="AI192" s="240">
        <f t="shared" ref="AI192:AL192" si="313">SUM(AI189:AI191)</f>
        <v>478</v>
      </c>
      <c r="AJ192" s="240">
        <f t="shared" si="313"/>
        <v>0</v>
      </c>
      <c r="AK192" s="240">
        <f t="shared" si="313"/>
        <v>4</v>
      </c>
      <c r="AL192" s="240">
        <f t="shared" si="313"/>
        <v>26</v>
      </c>
      <c r="AM192" s="135"/>
      <c r="AN192" s="240">
        <f>SUM(AN189:AN191)</f>
        <v>47</v>
      </c>
      <c r="AO192" s="240">
        <f>SUM(AO189:AO191)</f>
        <v>0</v>
      </c>
      <c r="AP192" s="241"/>
      <c r="AQ192" s="240">
        <f>SUM(AQ189:AQ191)</f>
        <v>8</v>
      </c>
      <c r="AR192" s="240">
        <f>SUM(AR189:AR191)</f>
        <v>0</v>
      </c>
      <c r="AS192" s="241"/>
      <c r="AT192" s="240">
        <f>SUM(AT189:AT191)</f>
        <v>1</v>
      </c>
      <c r="AU192" s="240">
        <f>SUM(AU189:AU191)</f>
        <v>0</v>
      </c>
      <c r="AV192" s="241"/>
      <c r="AW192" s="240">
        <f>SUM(AW189:AW191)</f>
        <v>5</v>
      </c>
      <c r="AX192" s="240">
        <f>SUM(AX189:AX191)</f>
        <v>0</v>
      </c>
      <c r="AY192" s="241"/>
      <c r="AZ192" s="240">
        <f>SUM(AZ189:AZ191)</f>
        <v>61</v>
      </c>
      <c r="BA192" s="240">
        <f>SUM(BA189:BA191)</f>
        <v>0</v>
      </c>
      <c r="BB192" s="240">
        <f>SUM(AZ192:BA192)</f>
        <v>61</v>
      </c>
      <c r="BC192" s="242">
        <f>(BB192+1)/(AI192+1)</f>
        <v>0.12943632567849686</v>
      </c>
      <c r="BD192" s="98"/>
      <c r="BE192" s="98"/>
    </row>
    <row r="193" spans="29:57" ht="18" customHeight="1" x14ac:dyDescent="0.2">
      <c r="AC193" s="212" t="s">
        <v>319</v>
      </c>
      <c r="AD193" s="15"/>
      <c r="AE193" s="23"/>
      <c r="AF193" s="16"/>
      <c r="AG193" s="15"/>
      <c r="AH193" s="15"/>
      <c r="AI193" s="15"/>
      <c r="AJ193" s="15"/>
      <c r="AK193" s="15"/>
      <c r="AL193" s="22"/>
      <c r="AM193" s="213"/>
      <c r="AN193" s="23"/>
      <c r="AO193" s="23"/>
      <c r="AP193" s="7"/>
      <c r="AQ193" s="15"/>
      <c r="AR193" s="15"/>
      <c r="AS193" s="7"/>
      <c r="AT193" s="15"/>
      <c r="AU193" s="15"/>
      <c r="AV193" s="7"/>
      <c r="AW193" s="15"/>
      <c r="AX193" s="15"/>
      <c r="AY193" s="214"/>
      <c r="AZ193" s="215"/>
      <c r="BA193" s="10"/>
      <c r="BB193" s="7"/>
      <c r="BC193" s="7"/>
      <c r="BD193" s="7"/>
      <c r="BE193" s="7"/>
    </row>
    <row r="194" spans="29:57" ht="18" customHeight="1" x14ac:dyDescent="0.2">
      <c r="AC194" s="216" t="s">
        <v>271</v>
      </c>
      <c r="AD194" s="403"/>
      <c r="AE194" s="400"/>
      <c r="AF194" s="406"/>
      <c r="AG194" s="218"/>
      <c r="AH194" s="219"/>
      <c r="AI194" s="218"/>
      <c r="AJ194" s="218"/>
      <c r="AK194" s="218"/>
      <c r="AL194" s="218"/>
      <c r="AM194" s="220" t="e">
        <f>SUM(AJ194:AL194)/AH194</f>
        <v>#DIV/0!</v>
      </c>
      <c r="AN194" s="218"/>
      <c r="AO194" s="218"/>
      <c r="AP194" s="221" t="e">
        <f>SUM(AN194:AO194)/AI194</f>
        <v>#DIV/0!</v>
      </c>
      <c r="AQ194" s="218"/>
      <c r="AR194" s="218"/>
      <c r="AS194" s="221" t="e">
        <f>(AQ194+AR194)/$AG194</f>
        <v>#DIV/0!</v>
      </c>
      <c r="AT194" s="218"/>
      <c r="AU194" s="218"/>
      <c r="AV194" s="221" t="e">
        <f>(AT194+AU194)/$AG194</f>
        <v>#DIV/0!</v>
      </c>
      <c r="AW194" s="218"/>
      <c r="AX194" s="218"/>
      <c r="AY194" s="221" t="e">
        <f>(AW194+AX194)/$AG194</f>
        <v>#DIV/0!</v>
      </c>
      <c r="AZ194" s="222">
        <f>SUM(AN194,AQ194,AT194,AW194)</f>
        <v>0</v>
      </c>
      <c r="BA194" s="222">
        <f>SUM(AO194,AR194,AU194,AX194)</f>
        <v>0</v>
      </c>
      <c r="BB194" s="222">
        <f>SUM(AZ194:BA194)</f>
        <v>0</v>
      </c>
      <c r="BC194" s="221">
        <f>(BB194+1)/(AI194+1)</f>
        <v>1</v>
      </c>
      <c r="BD194" s="223"/>
      <c r="BE194" s="223"/>
    </row>
    <row r="195" spans="29:57" ht="18" customHeight="1" x14ac:dyDescent="0.2">
      <c r="AC195" s="224" t="s">
        <v>273</v>
      </c>
      <c r="AD195" s="404"/>
      <c r="AE195" s="401"/>
      <c r="AF195" s="407"/>
      <c r="AG195" s="226"/>
      <c r="AH195" s="227"/>
      <c r="AI195" s="226"/>
      <c r="AJ195" s="226"/>
      <c r="AK195" s="226"/>
      <c r="AL195" s="226"/>
      <c r="AM195" s="228" t="e">
        <f t="shared" ref="AM195:AM196" si="314">SUM(AJ195:AL195)/AH195</f>
        <v>#DIV/0!</v>
      </c>
      <c r="AN195" s="226"/>
      <c r="AO195" s="226"/>
      <c r="AP195" s="229" t="e">
        <f t="shared" ref="AP195:AP196" si="315">SUM(AN195:AO195)/AI195</f>
        <v>#DIV/0!</v>
      </c>
      <c r="AQ195" s="226"/>
      <c r="AR195" s="226"/>
      <c r="AS195" s="229" t="e">
        <f>(AQ195+AR195)/$AG195</f>
        <v>#DIV/0!</v>
      </c>
      <c r="AT195" s="226"/>
      <c r="AU195" s="226"/>
      <c r="AV195" s="229" t="e">
        <f>(AT195+AU195)/$AG195</f>
        <v>#DIV/0!</v>
      </c>
      <c r="AW195" s="226"/>
      <c r="AX195" s="226"/>
      <c r="AY195" s="229" t="e">
        <f>(AW195+AX195)/$AG195</f>
        <v>#DIV/0!</v>
      </c>
      <c r="AZ195" s="230">
        <f t="shared" ref="AZ195:BA196" si="316">SUM(AN195,AQ195,AT195,AW195)</f>
        <v>0</v>
      </c>
      <c r="BA195" s="230">
        <f t="shared" si="316"/>
        <v>0</v>
      </c>
      <c r="BB195" s="230">
        <f t="shared" ref="BB195:BB196" si="317">SUM(AZ195:BA195)</f>
        <v>0</v>
      </c>
      <c r="BC195" s="229">
        <f t="shared" ref="BC195:BC196" si="318">(BB195+1)/(AI195+1)</f>
        <v>1</v>
      </c>
      <c r="BD195" s="231"/>
      <c r="BE195" s="231"/>
    </row>
    <row r="196" spans="29:57" ht="18" customHeight="1" x14ac:dyDescent="0.2">
      <c r="AC196" s="232" t="s">
        <v>275</v>
      </c>
      <c r="AD196" s="416">
        <v>46132</v>
      </c>
      <c r="AE196" s="409">
        <v>46133</v>
      </c>
      <c r="AF196" s="407">
        <v>1</v>
      </c>
      <c r="AG196" s="234">
        <v>495</v>
      </c>
      <c r="AH196" s="235">
        <v>495</v>
      </c>
      <c r="AI196" s="234">
        <v>487</v>
      </c>
      <c r="AJ196" s="234">
        <v>3</v>
      </c>
      <c r="AK196" s="234">
        <v>1</v>
      </c>
      <c r="AL196" s="234">
        <v>3</v>
      </c>
      <c r="AM196" s="236">
        <f t="shared" si="314"/>
        <v>1.4141414141414142E-2</v>
      </c>
      <c r="AN196" s="234">
        <v>2</v>
      </c>
      <c r="AO196" s="234">
        <v>12</v>
      </c>
      <c r="AP196" s="237">
        <f t="shared" si="315"/>
        <v>2.8747433264887063E-2</v>
      </c>
      <c r="AQ196" s="234">
        <v>0</v>
      </c>
      <c r="AR196" s="234">
        <v>0</v>
      </c>
      <c r="AS196" s="237">
        <f>(AQ196+AR196)/$AG196</f>
        <v>0</v>
      </c>
      <c r="AT196" s="234">
        <v>0</v>
      </c>
      <c r="AU196" s="234">
        <v>0</v>
      </c>
      <c r="AV196" s="237">
        <f>(AT196+AU196)/$AG196</f>
        <v>0</v>
      </c>
      <c r="AW196" s="234">
        <v>0</v>
      </c>
      <c r="AX196" s="234">
        <v>0</v>
      </c>
      <c r="AY196" s="237">
        <f>(AW196+AX196)/$AG196</f>
        <v>0</v>
      </c>
      <c r="AZ196" s="238">
        <f t="shared" si="316"/>
        <v>2</v>
      </c>
      <c r="BA196" s="238">
        <f t="shared" si="316"/>
        <v>12</v>
      </c>
      <c r="BB196" s="238">
        <f t="shared" si="317"/>
        <v>14</v>
      </c>
      <c r="BC196" s="237">
        <f t="shared" si="318"/>
        <v>3.0737704918032786E-2</v>
      </c>
      <c r="BD196" s="239" t="s">
        <v>283</v>
      </c>
      <c r="BE196" s="239" t="s">
        <v>268</v>
      </c>
    </row>
    <row r="197" spans="29:57" ht="18" customHeight="1" x14ac:dyDescent="0.2">
      <c r="AC197" s="7"/>
      <c r="AG197" s="240">
        <f>SUM(AG194:AG196)</f>
        <v>495</v>
      </c>
      <c r="AH197" s="240">
        <f>SUM(AH194:AH196)</f>
        <v>495</v>
      </c>
      <c r="AI197" s="240">
        <f t="shared" ref="AI197:AL197" si="319">SUM(AI194:AI196)</f>
        <v>487</v>
      </c>
      <c r="AJ197" s="240">
        <f t="shared" si="319"/>
        <v>3</v>
      </c>
      <c r="AK197" s="240">
        <f t="shared" si="319"/>
        <v>1</v>
      </c>
      <c r="AL197" s="240">
        <f t="shared" si="319"/>
        <v>3</v>
      </c>
      <c r="AM197" s="135"/>
      <c r="AN197" s="240">
        <f>SUM(AN194:AN196)</f>
        <v>2</v>
      </c>
      <c r="AO197" s="240">
        <f>SUM(AO194:AO196)</f>
        <v>12</v>
      </c>
      <c r="AP197" s="241"/>
      <c r="AQ197" s="240">
        <f>SUM(AQ194:AQ196)</f>
        <v>0</v>
      </c>
      <c r="AR197" s="240">
        <f>SUM(AR194:AR196)</f>
        <v>0</v>
      </c>
      <c r="AS197" s="241"/>
      <c r="AT197" s="240">
        <f>SUM(AT194:AT196)</f>
        <v>0</v>
      </c>
      <c r="AU197" s="240">
        <f>SUM(AU194:AU196)</f>
        <v>0</v>
      </c>
      <c r="AV197" s="241"/>
      <c r="AW197" s="240">
        <f>SUM(AW194:AW196)</f>
        <v>0</v>
      </c>
      <c r="AX197" s="240">
        <f>SUM(AX194:AX196)</f>
        <v>0</v>
      </c>
      <c r="AY197" s="241"/>
      <c r="AZ197" s="240">
        <f>SUM(AZ194:AZ196)</f>
        <v>2</v>
      </c>
      <c r="BA197" s="240">
        <f>SUM(BA194:BA196)</f>
        <v>12</v>
      </c>
      <c r="BB197" s="240">
        <f>SUM(AZ197:BA197)</f>
        <v>14</v>
      </c>
      <c r="BC197" s="242">
        <f>(BB197+1)/(AI197+1)</f>
        <v>3.0737704918032786E-2</v>
      </c>
      <c r="BD197" s="98"/>
      <c r="BE197" s="98"/>
    </row>
    <row r="198" spans="29:57" ht="18" customHeight="1" x14ac:dyDescent="0.2">
      <c r="AC198" s="212" t="s">
        <v>320</v>
      </c>
      <c r="AD198" s="15"/>
      <c r="AE198" s="23"/>
      <c r="AF198" s="16"/>
      <c r="AG198" s="15"/>
      <c r="AH198" s="15"/>
      <c r="AI198" s="15"/>
      <c r="AJ198" s="15"/>
      <c r="AK198" s="15"/>
      <c r="AL198" s="22"/>
      <c r="AM198" s="213"/>
      <c r="AN198" s="23"/>
      <c r="AO198" s="23"/>
      <c r="AP198" s="7"/>
      <c r="AQ198" s="15"/>
      <c r="AR198" s="15"/>
      <c r="AS198" s="7"/>
      <c r="AT198" s="15"/>
      <c r="AU198" s="15"/>
      <c r="AV198" s="7"/>
      <c r="AW198" s="15"/>
      <c r="AX198" s="15"/>
      <c r="AY198" s="214"/>
      <c r="AZ198" s="215"/>
      <c r="BA198" s="10"/>
      <c r="BB198" s="7"/>
      <c r="BC198" s="7"/>
      <c r="BD198" s="7"/>
      <c r="BE198" s="7"/>
    </row>
    <row r="199" spans="29:57" ht="18" customHeight="1" x14ac:dyDescent="0.2">
      <c r="AC199" s="216" t="s">
        <v>271</v>
      </c>
      <c r="AD199" s="217">
        <v>46168</v>
      </c>
      <c r="AE199" s="217">
        <v>46169</v>
      </c>
      <c r="AF199" s="218">
        <v>1</v>
      </c>
      <c r="AG199" s="218">
        <v>328</v>
      </c>
      <c r="AH199" s="219">
        <v>327</v>
      </c>
      <c r="AI199" s="218">
        <v>328</v>
      </c>
      <c r="AJ199" s="218">
        <v>1</v>
      </c>
      <c r="AK199" s="218">
        <v>0</v>
      </c>
      <c r="AL199" s="218">
        <v>4</v>
      </c>
      <c r="AM199" s="220">
        <f>SUM(AJ199:AL199)/AH199</f>
        <v>1.5290519877675841E-2</v>
      </c>
      <c r="AN199" s="218">
        <v>47</v>
      </c>
      <c r="AO199" s="218">
        <v>0</v>
      </c>
      <c r="AP199" s="221">
        <f>SUM(AN199:AO199)/AI199</f>
        <v>0.14329268292682926</v>
      </c>
      <c r="AQ199" s="218">
        <v>14</v>
      </c>
      <c r="AR199" s="218">
        <v>0</v>
      </c>
      <c r="AS199" s="221">
        <f>(AQ199+AR199)/$AG199</f>
        <v>4.2682926829268296E-2</v>
      </c>
      <c r="AT199" s="218">
        <v>0</v>
      </c>
      <c r="AU199" s="218">
        <v>0</v>
      </c>
      <c r="AV199" s="221">
        <f>(AT199+AU199)/$AG199</f>
        <v>0</v>
      </c>
      <c r="AW199" s="218">
        <v>0</v>
      </c>
      <c r="AX199" s="218">
        <v>0</v>
      </c>
      <c r="AY199" s="221">
        <f>(AW199+AX199)/$AG199</f>
        <v>0</v>
      </c>
      <c r="AZ199" s="222">
        <f>SUM(AN199,AQ199,AT199,AW199)</f>
        <v>61</v>
      </c>
      <c r="BA199" s="222">
        <f>SUM(AO199,AR199,AU199,AX199)</f>
        <v>0</v>
      </c>
      <c r="BB199" s="222">
        <f>SUM(AZ199:BA199)</f>
        <v>61</v>
      </c>
      <c r="BC199" s="221">
        <f>(BB199+1)/(AI199+1)</f>
        <v>0.18844984802431611</v>
      </c>
      <c r="BD199" s="223" t="s">
        <v>283</v>
      </c>
      <c r="BE199" s="223" t="s">
        <v>321</v>
      </c>
    </row>
    <row r="200" spans="29:57" ht="18" customHeight="1" x14ac:dyDescent="0.2">
      <c r="AC200" s="224" t="s">
        <v>273</v>
      </c>
      <c r="AD200" s="225"/>
      <c r="AE200" s="225"/>
      <c r="AF200" s="226"/>
      <c r="AG200" s="226"/>
      <c r="AH200" s="227"/>
      <c r="AI200" s="226"/>
      <c r="AJ200" s="226"/>
      <c r="AK200" s="226"/>
      <c r="AL200" s="226"/>
      <c r="AM200" s="228" t="e">
        <f t="shared" ref="AM200:AM201" si="320">SUM(AJ200:AL200)/AH200</f>
        <v>#DIV/0!</v>
      </c>
      <c r="AN200" s="226"/>
      <c r="AO200" s="226"/>
      <c r="AP200" s="229" t="e">
        <f t="shared" ref="AP200:AP201" si="321">SUM(AN200:AO200)/AI200</f>
        <v>#DIV/0!</v>
      </c>
      <c r="AQ200" s="226"/>
      <c r="AR200" s="226"/>
      <c r="AS200" s="229" t="e">
        <f>(AQ200+AR200)/$AG200</f>
        <v>#DIV/0!</v>
      </c>
      <c r="AT200" s="226"/>
      <c r="AU200" s="226"/>
      <c r="AV200" s="229" t="e">
        <f>(AT200+AU200)/$AG200</f>
        <v>#DIV/0!</v>
      </c>
      <c r="AW200" s="226"/>
      <c r="AX200" s="226"/>
      <c r="AY200" s="229" t="e">
        <f>(AW200+AX200)/$AG200</f>
        <v>#DIV/0!</v>
      </c>
      <c r="AZ200" s="230">
        <f t="shared" ref="AZ200:BA201" si="322">SUM(AN200,AQ200,AT200,AW200)</f>
        <v>0</v>
      </c>
      <c r="BA200" s="230">
        <f t="shared" si="322"/>
        <v>0</v>
      </c>
      <c r="BB200" s="230">
        <f t="shared" ref="BB200:BB201" si="323">SUM(AZ200:BA200)</f>
        <v>0</v>
      </c>
      <c r="BC200" s="229">
        <f t="shared" ref="BC200:BC201" si="324">(BB200+1)/(AI200+1)</f>
        <v>1</v>
      </c>
      <c r="BD200" s="231"/>
      <c r="BE200" s="231"/>
    </row>
    <row r="201" spans="29:57" ht="18" customHeight="1" x14ac:dyDescent="0.2">
      <c r="AC201" s="232" t="s">
        <v>275</v>
      </c>
      <c r="AD201" s="233"/>
      <c r="AE201" s="233"/>
      <c r="AF201" s="234"/>
      <c r="AG201" s="234"/>
      <c r="AH201" s="235"/>
      <c r="AI201" s="234"/>
      <c r="AJ201" s="234"/>
      <c r="AK201" s="234"/>
      <c r="AL201" s="234"/>
      <c r="AM201" s="236" t="e">
        <f t="shared" si="320"/>
        <v>#DIV/0!</v>
      </c>
      <c r="AN201" s="234"/>
      <c r="AO201" s="234"/>
      <c r="AP201" s="237" t="e">
        <f t="shared" si="321"/>
        <v>#DIV/0!</v>
      </c>
      <c r="AQ201" s="234"/>
      <c r="AR201" s="234"/>
      <c r="AS201" s="237" t="e">
        <f>(AQ201+AR201)/$AG201</f>
        <v>#DIV/0!</v>
      </c>
      <c r="AT201" s="234"/>
      <c r="AU201" s="234"/>
      <c r="AV201" s="237" t="e">
        <f>(AT201+AU201)/$AG201</f>
        <v>#DIV/0!</v>
      </c>
      <c r="AW201" s="234"/>
      <c r="AX201" s="234"/>
      <c r="AY201" s="237" t="e">
        <f>(AW201+AX201)/$AG201</f>
        <v>#DIV/0!</v>
      </c>
      <c r="AZ201" s="238">
        <f t="shared" si="322"/>
        <v>0</v>
      </c>
      <c r="BA201" s="238">
        <f t="shared" si="322"/>
        <v>0</v>
      </c>
      <c r="BB201" s="238">
        <f t="shared" si="323"/>
        <v>0</v>
      </c>
      <c r="BC201" s="237">
        <f t="shared" si="324"/>
        <v>1</v>
      </c>
      <c r="BD201" s="239"/>
      <c r="BE201" s="239"/>
    </row>
    <row r="202" spans="29:57" ht="18" customHeight="1" x14ac:dyDescent="0.2">
      <c r="AC202" s="7"/>
      <c r="AG202" s="240">
        <f>SUM(AG199:AG201)</f>
        <v>328</v>
      </c>
      <c r="AH202" s="240">
        <f>SUM(AH199:AH201)</f>
        <v>327</v>
      </c>
      <c r="AI202" s="240">
        <f t="shared" ref="AI202:AL202" si="325">SUM(AI199:AI201)</f>
        <v>328</v>
      </c>
      <c r="AJ202" s="240">
        <f t="shared" si="325"/>
        <v>1</v>
      </c>
      <c r="AK202" s="240">
        <f t="shared" si="325"/>
        <v>0</v>
      </c>
      <c r="AL202" s="240">
        <f t="shared" si="325"/>
        <v>4</v>
      </c>
      <c r="AM202" s="135"/>
      <c r="AN202" s="240">
        <f>SUM(AN199:AN201)</f>
        <v>47</v>
      </c>
      <c r="AO202" s="240">
        <f>SUM(AO199:AO201)</f>
        <v>0</v>
      </c>
      <c r="AP202" s="241"/>
      <c r="AQ202" s="240">
        <f>SUM(AQ199:AQ201)</f>
        <v>14</v>
      </c>
      <c r="AR202" s="240">
        <f>SUM(AR199:AR201)</f>
        <v>0</v>
      </c>
      <c r="AS202" s="241"/>
      <c r="AT202" s="240">
        <f>SUM(AT199:AT201)</f>
        <v>0</v>
      </c>
      <c r="AU202" s="240">
        <f>SUM(AU199:AU201)</f>
        <v>0</v>
      </c>
      <c r="AV202" s="241"/>
      <c r="AW202" s="240">
        <f>SUM(AW199:AW201)</f>
        <v>0</v>
      </c>
      <c r="AX202" s="240">
        <f>SUM(AX199:AX201)</f>
        <v>0</v>
      </c>
      <c r="AY202" s="241"/>
      <c r="AZ202" s="240">
        <f>SUM(AZ199:AZ201)</f>
        <v>61</v>
      </c>
      <c r="BA202" s="240">
        <f>SUM(BA199:BA201)</f>
        <v>0</v>
      </c>
      <c r="BB202" s="240">
        <f>SUM(AZ202:BA202)</f>
        <v>61</v>
      </c>
      <c r="BC202" s="242">
        <f>(BB202+1)/(AI202+1)</f>
        <v>0.18844984802431611</v>
      </c>
      <c r="BD202" s="98"/>
      <c r="BE202" s="98"/>
    </row>
    <row r="203" spans="29:57" ht="18" customHeight="1" x14ac:dyDescent="0.2">
      <c r="AC203" s="212" t="s">
        <v>322</v>
      </c>
      <c r="AD203" s="15"/>
      <c r="AE203" s="23"/>
      <c r="AF203" s="16"/>
      <c r="AG203" s="15"/>
      <c r="AH203" s="15"/>
      <c r="AI203" s="15"/>
      <c r="AJ203" s="15"/>
      <c r="AK203" s="15"/>
      <c r="AL203" s="22"/>
      <c r="AM203" s="213"/>
      <c r="AN203" s="23"/>
      <c r="AO203" s="23"/>
      <c r="AP203" s="7"/>
      <c r="AQ203" s="15"/>
      <c r="AR203" s="15"/>
      <c r="AS203" s="7"/>
      <c r="AT203" s="15"/>
      <c r="AU203" s="15"/>
      <c r="AV203" s="7"/>
      <c r="AW203" s="15"/>
      <c r="AX203" s="15"/>
      <c r="AY203" s="214"/>
      <c r="AZ203" s="215"/>
      <c r="BA203" s="10"/>
      <c r="BB203" s="7"/>
      <c r="BC203" s="7"/>
      <c r="BD203" s="7"/>
      <c r="BE203" s="7"/>
    </row>
    <row r="204" spans="29:57" ht="18" customHeight="1" x14ac:dyDescent="0.2">
      <c r="AC204" s="216" t="s">
        <v>271</v>
      </c>
      <c r="AD204" s="217"/>
      <c r="AE204" s="217"/>
      <c r="AF204" s="218"/>
      <c r="AG204" s="218"/>
      <c r="AH204" s="219"/>
      <c r="AI204" s="218"/>
      <c r="AJ204" s="218"/>
      <c r="AK204" s="218"/>
      <c r="AL204" s="218"/>
      <c r="AM204" s="220" t="e">
        <f>SUM(AJ204:AL204)/AH204</f>
        <v>#DIV/0!</v>
      </c>
      <c r="AN204" s="218"/>
      <c r="AO204" s="218"/>
      <c r="AP204" s="221" t="e">
        <f>SUM(AN204:AO204)/AI204</f>
        <v>#DIV/0!</v>
      </c>
      <c r="AQ204" s="218"/>
      <c r="AR204" s="218"/>
      <c r="AS204" s="221" t="e">
        <f>(AQ204+AR204)/$AG204</f>
        <v>#DIV/0!</v>
      </c>
      <c r="AT204" s="218"/>
      <c r="AU204" s="218"/>
      <c r="AV204" s="221" t="e">
        <f>(AT204+AU204)/$AG204</f>
        <v>#DIV/0!</v>
      </c>
      <c r="AW204" s="218"/>
      <c r="AX204" s="218"/>
      <c r="AY204" s="221" t="e">
        <f>(AW204+AX204)/$AG204</f>
        <v>#DIV/0!</v>
      </c>
      <c r="AZ204" s="222">
        <f>SUM(AN204,AQ204,AT204,AW204)</f>
        <v>0</v>
      </c>
      <c r="BA204" s="222">
        <f>SUM(AO204,AR204,AU204,AX204)</f>
        <v>0</v>
      </c>
      <c r="BB204" s="222">
        <f>SUM(AZ204:BA204)</f>
        <v>0</v>
      </c>
      <c r="BC204" s="221">
        <f>(BB204+1)/(AI204+1)</f>
        <v>1</v>
      </c>
      <c r="BD204" s="223"/>
      <c r="BE204" s="223"/>
    </row>
    <row r="205" spans="29:57" ht="18" customHeight="1" x14ac:dyDescent="0.2">
      <c r="AC205" s="224" t="s">
        <v>273</v>
      </c>
      <c r="AD205" s="225"/>
      <c r="AE205" s="225"/>
      <c r="AF205" s="226"/>
      <c r="AG205" s="226"/>
      <c r="AH205" s="227"/>
      <c r="AI205" s="226"/>
      <c r="AJ205" s="226"/>
      <c r="AK205" s="226"/>
      <c r="AL205" s="226"/>
      <c r="AM205" s="228" t="e">
        <f t="shared" ref="AM205:AM206" si="326">SUM(AJ205:AL205)/AH205</f>
        <v>#DIV/0!</v>
      </c>
      <c r="AN205" s="226"/>
      <c r="AO205" s="226"/>
      <c r="AP205" s="229" t="e">
        <f t="shared" ref="AP205:AP206" si="327">SUM(AN205:AO205)/AI205</f>
        <v>#DIV/0!</v>
      </c>
      <c r="AQ205" s="226"/>
      <c r="AR205" s="226"/>
      <c r="AS205" s="229" t="e">
        <f>(AQ205+AR205)/$AG205</f>
        <v>#DIV/0!</v>
      </c>
      <c r="AT205" s="226"/>
      <c r="AU205" s="226"/>
      <c r="AV205" s="229" t="e">
        <f>(AT205+AU205)/$AG205</f>
        <v>#DIV/0!</v>
      </c>
      <c r="AW205" s="226"/>
      <c r="AX205" s="226"/>
      <c r="AY205" s="229" t="e">
        <f>(AW205+AX205)/$AG205</f>
        <v>#DIV/0!</v>
      </c>
      <c r="AZ205" s="230">
        <f t="shared" ref="AZ205:BA206" si="328">SUM(AN205,AQ205,AT205,AW205)</f>
        <v>0</v>
      </c>
      <c r="BA205" s="230">
        <f t="shared" si="328"/>
        <v>0</v>
      </c>
      <c r="BB205" s="230">
        <f t="shared" ref="BB205:BB206" si="329">SUM(AZ205:BA205)</f>
        <v>0</v>
      </c>
      <c r="BC205" s="229">
        <f t="shared" ref="BC205:BC206" si="330">(BB205+1)/(AI205+1)</f>
        <v>1</v>
      </c>
      <c r="BD205" s="231"/>
      <c r="BE205" s="231"/>
    </row>
    <row r="206" spans="29:57" ht="18" customHeight="1" x14ac:dyDescent="0.2">
      <c r="AC206" s="232" t="s">
        <v>275</v>
      </c>
      <c r="AD206" s="233">
        <v>46168</v>
      </c>
      <c r="AE206" s="233">
        <v>46169</v>
      </c>
      <c r="AF206" s="234">
        <v>1</v>
      </c>
      <c r="AG206" s="234">
        <v>278</v>
      </c>
      <c r="AH206" s="235">
        <v>278</v>
      </c>
      <c r="AI206" s="234">
        <v>244</v>
      </c>
      <c r="AJ206" s="234">
        <v>0</v>
      </c>
      <c r="AK206" s="234">
        <v>8</v>
      </c>
      <c r="AL206" s="234">
        <v>1</v>
      </c>
      <c r="AM206" s="236">
        <f t="shared" si="326"/>
        <v>3.237410071942446E-2</v>
      </c>
      <c r="AN206" s="234">
        <v>33</v>
      </c>
      <c r="AO206" s="234">
        <v>0</v>
      </c>
      <c r="AP206" s="237">
        <f t="shared" si="327"/>
        <v>0.13524590163934427</v>
      </c>
      <c r="AQ206" s="234">
        <v>3</v>
      </c>
      <c r="AR206" s="234">
        <v>0</v>
      </c>
      <c r="AS206" s="237">
        <f>(AQ206+AR206)/$AG206</f>
        <v>1.0791366906474821E-2</v>
      </c>
      <c r="AT206" s="234">
        <v>0</v>
      </c>
      <c r="AU206" s="234">
        <v>0</v>
      </c>
      <c r="AV206" s="237">
        <f>(AT206+AU206)/$AG206</f>
        <v>0</v>
      </c>
      <c r="AW206" s="234">
        <v>0</v>
      </c>
      <c r="AX206" s="234">
        <v>0</v>
      </c>
      <c r="AY206" s="237">
        <f>(AW206+AX206)/$AG206</f>
        <v>0</v>
      </c>
      <c r="AZ206" s="238">
        <f t="shared" si="328"/>
        <v>36</v>
      </c>
      <c r="BA206" s="238">
        <f t="shared" si="328"/>
        <v>0</v>
      </c>
      <c r="BB206" s="238">
        <f t="shared" si="329"/>
        <v>36</v>
      </c>
      <c r="BC206" s="237">
        <f t="shared" si="330"/>
        <v>0.15102040816326531</v>
      </c>
      <c r="BD206" s="239" t="s">
        <v>283</v>
      </c>
      <c r="BE206" s="239" t="s">
        <v>321</v>
      </c>
    </row>
    <row r="207" spans="29:57" ht="18" customHeight="1" x14ac:dyDescent="0.2">
      <c r="AC207" s="7"/>
      <c r="AG207" s="240">
        <f>SUM(AG204:AG206)</f>
        <v>278</v>
      </c>
      <c r="AH207" s="240">
        <f>SUM(AH204:AH206)</f>
        <v>278</v>
      </c>
      <c r="AI207" s="240">
        <f t="shared" ref="AI207:AL207" si="331">SUM(AI204:AI206)</f>
        <v>244</v>
      </c>
      <c r="AJ207" s="240">
        <f t="shared" si="331"/>
        <v>0</v>
      </c>
      <c r="AK207" s="240">
        <f t="shared" si="331"/>
        <v>8</v>
      </c>
      <c r="AL207" s="240">
        <f t="shared" si="331"/>
        <v>1</v>
      </c>
      <c r="AM207" s="135"/>
      <c r="AN207" s="240">
        <f>SUM(AN204:AN206)</f>
        <v>33</v>
      </c>
      <c r="AO207" s="240">
        <f>SUM(AO204:AO206)</f>
        <v>0</v>
      </c>
      <c r="AP207" s="241"/>
      <c r="AQ207" s="240">
        <f>SUM(AQ204:AQ206)</f>
        <v>3</v>
      </c>
      <c r="AR207" s="240">
        <f>SUM(AR204:AR206)</f>
        <v>0</v>
      </c>
      <c r="AS207" s="241">
        <f ca="1">SUM(AS207:AT207)</f>
        <v>0</v>
      </c>
      <c r="AT207" s="240">
        <f>SUM(AT204:AT206)</f>
        <v>0</v>
      </c>
      <c r="AU207" s="240">
        <f>SUM(AU204:AU206)</f>
        <v>0</v>
      </c>
      <c r="AV207" s="241"/>
      <c r="AW207" s="240">
        <f>SUM(AW204:AW206)</f>
        <v>0</v>
      </c>
      <c r="AX207" s="240">
        <f>SUM(AX204:AX206)</f>
        <v>0</v>
      </c>
      <c r="AY207" s="241"/>
      <c r="AZ207" s="240">
        <f>SUM(AZ204:AZ206)</f>
        <v>36</v>
      </c>
      <c r="BA207" s="240">
        <f>SUM(BA204:BA206)</f>
        <v>0</v>
      </c>
      <c r="BB207" s="240">
        <f>SUM(AZ207:BA207)</f>
        <v>36</v>
      </c>
      <c r="BC207" s="242">
        <f>(BB207+1)/(AI207+1)</f>
        <v>0.15102040816326531</v>
      </c>
      <c r="BD207" s="98"/>
      <c r="BE207" s="98"/>
    </row>
    <row r="208" spans="29:57" ht="18" customHeight="1" x14ac:dyDescent="0.2">
      <c r="AC208" s="212" t="s">
        <v>323</v>
      </c>
      <c r="AD208" s="15"/>
      <c r="AE208" s="23"/>
      <c r="AF208" s="16"/>
      <c r="AG208" s="15"/>
      <c r="AH208" s="15"/>
      <c r="AI208" s="15"/>
      <c r="AJ208" s="15"/>
      <c r="AK208" s="15"/>
      <c r="AL208" s="22"/>
      <c r="AM208" s="213"/>
      <c r="AN208" s="23"/>
      <c r="AO208" s="23"/>
      <c r="AP208" s="7"/>
      <c r="AQ208" s="15"/>
      <c r="AR208" s="15"/>
      <c r="AS208" s="7"/>
      <c r="AT208" s="15"/>
      <c r="AU208" s="15"/>
      <c r="AV208" s="7"/>
      <c r="AW208" s="15"/>
      <c r="AX208" s="15"/>
      <c r="AY208" s="214"/>
      <c r="AZ208" s="215"/>
      <c r="BA208" s="10"/>
      <c r="BB208" s="7"/>
      <c r="BC208" s="7"/>
      <c r="BD208" s="7"/>
      <c r="BE208" s="7"/>
    </row>
    <row r="209" spans="29:57" ht="18" customHeight="1" x14ac:dyDescent="0.2">
      <c r="AC209" s="216" t="s">
        <v>271</v>
      </c>
      <c r="AD209" s="217"/>
      <c r="AE209" s="217"/>
      <c r="AF209" s="218"/>
      <c r="AG209" s="218"/>
      <c r="AH209" s="219"/>
      <c r="AI209" s="218"/>
      <c r="AJ209" s="218"/>
      <c r="AK209" s="218"/>
      <c r="AL209" s="218"/>
      <c r="AM209" s="220" t="e">
        <f>SUM(AJ209:AL209)/AH209</f>
        <v>#DIV/0!</v>
      </c>
      <c r="AN209" s="218"/>
      <c r="AO209" s="218"/>
      <c r="AP209" s="221" t="e">
        <f>SUM(AN209:AO209)/AI209</f>
        <v>#DIV/0!</v>
      </c>
      <c r="AQ209" s="218"/>
      <c r="AR209" s="218"/>
      <c r="AS209" s="221" t="e">
        <f>(AQ209+AR209)/$AG209</f>
        <v>#DIV/0!</v>
      </c>
      <c r="AT209" s="218"/>
      <c r="AU209" s="218"/>
      <c r="AV209" s="221" t="e">
        <f>(AT209+AU209)/$AG209</f>
        <v>#DIV/0!</v>
      </c>
      <c r="AW209" s="218"/>
      <c r="AX209" s="218"/>
      <c r="AY209" s="221" t="e">
        <f>(AW209+AX209)/$AG209</f>
        <v>#DIV/0!</v>
      </c>
      <c r="AZ209" s="222">
        <f>SUM(AN209,AQ209,AT209,AW209)</f>
        <v>0</v>
      </c>
      <c r="BA209" s="222">
        <f>SUM(AO209,AR209,AU209,AX209)</f>
        <v>0</v>
      </c>
      <c r="BB209" s="222">
        <f>SUM(AZ209:BA209)</f>
        <v>0</v>
      </c>
      <c r="BC209" s="221">
        <f>(BB209+1)/(AI209+1)</f>
        <v>1</v>
      </c>
      <c r="BD209" s="223"/>
      <c r="BE209" s="223"/>
    </row>
    <row r="210" spans="29:57" ht="18" customHeight="1" x14ac:dyDescent="0.2">
      <c r="AC210" s="224" t="s">
        <v>273</v>
      </c>
      <c r="AD210" s="225">
        <v>46176</v>
      </c>
      <c r="AE210" s="225">
        <v>46177</v>
      </c>
      <c r="AF210" s="226">
        <v>1</v>
      </c>
      <c r="AG210" s="226">
        <v>255</v>
      </c>
      <c r="AH210" s="227">
        <v>226</v>
      </c>
      <c r="AI210" s="226">
        <v>215</v>
      </c>
      <c r="AJ210" s="226">
        <v>0</v>
      </c>
      <c r="AK210" s="226">
        <v>29</v>
      </c>
      <c r="AL210" s="226">
        <v>11</v>
      </c>
      <c r="AM210" s="228">
        <f t="shared" ref="AM210:AM211" si="332">SUM(AJ210:AL210)/AH210</f>
        <v>0.17699115044247787</v>
      </c>
      <c r="AN210" s="226">
        <v>10</v>
      </c>
      <c r="AO210" s="226">
        <v>0</v>
      </c>
      <c r="AP210" s="229">
        <f t="shared" ref="AP210:AP211" si="333">SUM(AN210:AO210)/AI210</f>
        <v>4.6511627906976744E-2</v>
      </c>
      <c r="AQ210" s="226">
        <v>2</v>
      </c>
      <c r="AR210" s="226">
        <v>0</v>
      </c>
      <c r="AS210" s="229">
        <f>(AQ210+AR210)/$AG210</f>
        <v>7.8431372549019607E-3</v>
      </c>
      <c r="AT210" s="226">
        <v>0</v>
      </c>
      <c r="AU210" s="226">
        <v>0</v>
      </c>
      <c r="AV210" s="229">
        <f>(AT210+AU210)/$AG210</f>
        <v>0</v>
      </c>
      <c r="AW210" s="226">
        <v>0</v>
      </c>
      <c r="AX210" s="226">
        <v>0</v>
      </c>
      <c r="AY210" s="229">
        <f>(AW210+AX210)/$AG210</f>
        <v>0</v>
      </c>
      <c r="AZ210" s="230">
        <f t="shared" ref="AZ210:BA211" si="334">SUM(AN210,AQ210,AT210,AW210)</f>
        <v>12</v>
      </c>
      <c r="BA210" s="230">
        <f t="shared" si="334"/>
        <v>0</v>
      </c>
      <c r="BB210" s="230">
        <f t="shared" ref="BB210:BB211" si="335">SUM(AZ210:BA210)</f>
        <v>12</v>
      </c>
      <c r="BC210" s="229">
        <f t="shared" ref="BC210:BC211" si="336">(BB210+1)/(AI210+1)</f>
        <v>6.0185185185185182E-2</v>
      </c>
      <c r="BD210" s="231" t="s">
        <v>283</v>
      </c>
      <c r="BE210" s="231" t="s">
        <v>321</v>
      </c>
    </row>
    <row r="211" spans="29:57" ht="18" customHeight="1" x14ac:dyDescent="0.2">
      <c r="AC211" s="232" t="s">
        <v>275</v>
      </c>
      <c r="AD211" s="233"/>
      <c r="AE211" s="233"/>
      <c r="AF211" s="234"/>
      <c r="AG211" s="234"/>
      <c r="AH211" s="235"/>
      <c r="AI211" s="234"/>
      <c r="AJ211" s="234"/>
      <c r="AK211" s="234"/>
      <c r="AL211" s="234"/>
      <c r="AM211" s="236" t="e">
        <f t="shared" si="332"/>
        <v>#DIV/0!</v>
      </c>
      <c r="AN211" s="234"/>
      <c r="AO211" s="234"/>
      <c r="AP211" s="237" t="e">
        <f t="shared" si="333"/>
        <v>#DIV/0!</v>
      </c>
      <c r="AQ211" s="234"/>
      <c r="AR211" s="234"/>
      <c r="AS211" s="237" t="e">
        <f>(AQ211+AR211)/$AG211</f>
        <v>#DIV/0!</v>
      </c>
      <c r="AT211" s="234"/>
      <c r="AU211" s="234"/>
      <c r="AV211" s="237" t="e">
        <f>(AT211+AU211)/$AG211</f>
        <v>#DIV/0!</v>
      </c>
      <c r="AW211" s="234"/>
      <c r="AX211" s="234"/>
      <c r="AY211" s="237" t="e">
        <f>(AW211+AX211)/$AG211</f>
        <v>#DIV/0!</v>
      </c>
      <c r="AZ211" s="238">
        <f t="shared" si="334"/>
        <v>0</v>
      </c>
      <c r="BA211" s="238">
        <f t="shared" si="334"/>
        <v>0</v>
      </c>
      <c r="BB211" s="238">
        <f t="shared" si="335"/>
        <v>0</v>
      </c>
      <c r="BC211" s="237">
        <f t="shared" si="336"/>
        <v>1</v>
      </c>
      <c r="BD211" s="239"/>
      <c r="BE211" s="239"/>
    </row>
    <row r="212" spans="29:57" ht="18" customHeight="1" x14ac:dyDescent="0.2">
      <c r="AC212" s="7"/>
      <c r="AG212" s="240">
        <f>SUM(AG209:AG211)</f>
        <v>255</v>
      </c>
      <c r="AH212" s="240">
        <f>SUM(AH209:AH211)</f>
        <v>226</v>
      </c>
      <c r="AI212" s="240">
        <f t="shared" ref="AI212:AL212" si="337">SUM(AI209:AI211)</f>
        <v>215</v>
      </c>
      <c r="AJ212" s="240">
        <f t="shared" si="337"/>
        <v>0</v>
      </c>
      <c r="AK212" s="240">
        <f t="shared" si="337"/>
        <v>29</v>
      </c>
      <c r="AL212" s="240">
        <f t="shared" si="337"/>
        <v>11</v>
      </c>
      <c r="AM212" s="135"/>
      <c r="AN212" s="240">
        <f>SUM(AN209:AN211)</f>
        <v>10</v>
      </c>
      <c r="AO212" s="240">
        <f>SUM(AO209:AO211)</f>
        <v>0</v>
      </c>
      <c r="AP212" s="241"/>
      <c r="AQ212" s="240">
        <f>SUM(AQ209:AQ211)</f>
        <v>2</v>
      </c>
      <c r="AR212" s="240">
        <f>SUM(AR209:AR211)</f>
        <v>0</v>
      </c>
      <c r="AS212" s="241"/>
      <c r="AT212" s="240">
        <f>SUM(AT209:AT211)</f>
        <v>0</v>
      </c>
      <c r="AU212" s="240">
        <f>SUM(AU209:AU211)</f>
        <v>0</v>
      </c>
      <c r="AV212" s="241"/>
      <c r="AW212" s="240">
        <f>SUM(AW209:AW211)</f>
        <v>0</v>
      </c>
      <c r="AX212" s="240">
        <f>SUM(AX209:AX211)</f>
        <v>0</v>
      </c>
      <c r="AY212" s="241"/>
      <c r="AZ212" s="240">
        <f>SUM(AZ209:AZ211)</f>
        <v>12</v>
      </c>
      <c r="BA212" s="240">
        <f>SUM(BA209:BA211)</f>
        <v>0</v>
      </c>
      <c r="BB212" s="240">
        <f>SUM(AZ212:BA212)</f>
        <v>12</v>
      </c>
      <c r="BC212" s="242">
        <f>(BB212+1)/(AI212+1)</f>
        <v>6.0185185185185182E-2</v>
      </c>
      <c r="BD212" s="98"/>
      <c r="BE212" s="98"/>
    </row>
    <row r="213" spans="29:57" ht="18" customHeight="1" x14ac:dyDescent="0.2">
      <c r="AC213" s="212" t="s">
        <v>324</v>
      </c>
      <c r="AD213" s="15"/>
      <c r="AE213" s="23"/>
      <c r="AF213" s="16"/>
      <c r="AG213" s="15"/>
      <c r="AH213" s="15"/>
      <c r="AI213" s="15"/>
      <c r="AJ213" s="15"/>
      <c r="AK213" s="15"/>
      <c r="AL213" s="22"/>
      <c r="AM213" s="213"/>
      <c r="AN213" s="23"/>
      <c r="AO213" s="23"/>
      <c r="AP213" s="7"/>
      <c r="AQ213" s="15"/>
      <c r="AR213" s="15"/>
      <c r="AS213" s="7"/>
      <c r="AT213" s="15"/>
      <c r="AU213" s="15"/>
      <c r="AV213" s="7"/>
      <c r="AW213" s="15"/>
      <c r="AX213" s="15"/>
      <c r="AY213" s="214"/>
      <c r="AZ213" s="215"/>
      <c r="BA213" s="10"/>
      <c r="BB213" s="7"/>
      <c r="BC213" s="7"/>
      <c r="BD213" s="7"/>
      <c r="BE213" s="7"/>
    </row>
    <row r="214" spans="29:57" ht="18" customHeight="1" x14ac:dyDescent="0.2">
      <c r="AC214" s="216" t="s">
        <v>271</v>
      </c>
      <c r="AD214" s="217"/>
      <c r="AE214" s="217"/>
      <c r="AF214" s="218"/>
      <c r="AG214" s="218"/>
      <c r="AH214" s="219"/>
      <c r="AI214" s="218"/>
      <c r="AJ214" s="218"/>
      <c r="AK214" s="218"/>
      <c r="AL214" s="218"/>
      <c r="AM214" s="220" t="e">
        <f>SUM(AJ214:AL214)/AH214</f>
        <v>#DIV/0!</v>
      </c>
      <c r="AN214" s="218"/>
      <c r="AO214" s="218"/>
      <c r="AP214" s="221" t="e">
        <f>SUM(AN214:AO214)/AI214</f>
        <v>#DIV/0!</v>
      </c>
      <c r="AQ214" s="218"/>
      <c r="AR214" s="218"/>
      <c r="AS214" s="221" t="e">
        <f>(AQ214+AR214)/$AG214</f>
        <v>#DIV/0!</v>
      </c>
      <c r="AT214" s="218"/>
      <c r="AU214" s="218"/>
      <c r="AV214" s="221" t="e">
        <f>(AT214+AU214)/$AG214</f>
        <v>#DIV/0!</v>
      </c>
      <c r="AW214" s="218"/>
      <c r="AX214" s="218"/>
      <c r="AY214" s="221" t="e">
        <f>(AW214+AX214)/$AG214</f>
        <v>#DIV/0!</v>
      </c>
      <c r="AZ214" s="222">
        <f>SUM(AN214,AQ214,AT214,AW214)</f>
        <v>0</v>
      </c>
      <c r="BA214" s="222">
        <f>SUM(AO214,AR214,AU214,AX214)</f>
        <v>0</v>
      </c>
      <c r="BB214" s="222">
        <f>SUM(AZ214:BA214)</f>
        <v>0</v>
      </c>
      <c r="BC214" s="221">
        <f>(BB214+1)/(AI214+1)</f>
        <v>1</v>
      </c>
      <c r="BD214" s="223"/>
      <c r="BE214" s="223"/>
    </row>
    <row r="215" spans="29:57" ht="18" customHeight="1" x14ac:dyDescent="0.2">
      <c r="AC215" s="224" t="s">
        <v>273</v>
      </c>
      <c r="AD215" s="225"/>
      <c r="AE215" s="225"/>
      <c r="AF215" s="226"/>
      <c r="AG215" s="226"/>
      <c r="AH215" s="227"/>
      <c r="AI215" s="226"/>
      <c r="AJ215" s="226"/>
      <c r="AK215" s="226"/>
      <c r="AL215" s="226"/>
      <c r="AM215" s="228" t="e">
        <f t="shared" ref="AM215:AM216" si="338">SUM(AJ215:AL215)/AH215</f>
        <v>#DIV/0!</v>
      </c>
      <c r="AN215" s="226"/>
      <c r="AO215" s="226"/>
      <c r="AP215" s="229" t="e">
        <f t="shared" ref="AP215:AP216" si="339">SUM(AN215:AO215)/AI215</f>
        <v>#DIV/0!</v>
      </c>
      <c r="AQ215" s="226"/>
      <c r="AR215" s="226"/>
      <c r="AS215" s="229" t="e">
        <f>(AQ215+AR215)/$AG215</f>
        <v>#DIV/0!</v>
      </c>
      <c r="AT215" s="226"/>
      <c r="AU215" s="226"/>
      <c r="AV215" s="229" t="e">
        <f>(AT215+AU215)/$AG215</f>
        <v>#DIV/0!</v>
      </c>
      <c r="AW215" s="226"/>
      <c r="AX215" s="226"/>
      <c r="AY215" s="229" t="e">
        <f>(AW215+AX215)/$AG215</f>
        <v>#DIV/0!</v>
      </c>
      <c r="AZ215" s="230">
        <f t="shared" ref="AZ215:BA216" si="340">SUM(AN215,AQ215,AT215,AW215)</f>
        <v>0</v>
      </c>
      <c r="BA215" s="230">
        <f t="shared" si="340"/>
        <v>0</v>
      </c>
      <c r="BB215" s="230">
        <f t="shared" ref="BB215:BB216" si="341">SUM(AZ215:BA215)</f>
        <v>0</v>
      </c>
      <c r="BC215" s="229">
        <f t="shared" ref="BC215:BC216" si="342">(BB215+1)/(AI215+1)</f>
        <v>1</v>
      </c>
      <c r="BD215" s="231"/>
      <c r="BE215" s="231"/>
    </row>
    <row r="216" spans="29:57" ht="18" customHeight="1" x14ac:dyDescent="0.2">
      <c r="AC216" s="232" t="s">
        <v>275</v>
      </c>
      <c r="AD216" s="233">
        <v>46176</v>
      </c>
      <c r="AE216" s="233">
        <v>46177</v>
      </c>
      <c r="AF216" s="234">
        <v>1</v>
      </c>
      <c r="AG216" s="234">
        <v>248</v>
      </c>
      <c r="AH216" s="235">
        <v>242</v>
      </c>
      <c r="AI216" s="234">
        <v>226</v>
      </c>
      <c r="AJ216" s="234">
        <v>0</v>
      </c>
      <c r="AK216" s="234">
        <v>6</v>
      </c>
      <c r="AL216" s="234">
        <v>13</v>
      </c>
      <c r="AM216" s="236">
        <f t="shared" si="338"/>
        <v>7.8512396694214878E-2</v>
      </c>
      <c r="AN216" s="234">
        <v>16</v>
      </c>
      <c r="AO216" s="234">
        <v>0</v>
      </c>
      <c r="AP216" s="237">
        <f t="shared" si="339"/>
        <v>7.0796460176991149E-2</v>
      </c>
      <c r="AQ216" s="234">
        <v>0</v>
      </c>
      <c r="AR216" s="234">
        <v>0</v>
      </c>
      <c r="AS216" s="237">
        <f>(AQ216+AR216)/$AG216</f>
        <v>0</v>
      </c>
      <c r="AT216" s="234">
        <v>0</v>
      </c>
      <c r="AU216" s="234">
        <v>0</v>
      </c>
      <c r="AV216" s="237">
        <f>(AT216+AU216)/$AG216</f>
        <v>0</v>
      </c>
      <c r="AW216" s="234">
        <v>0</v>
      </c>
      <c r="AX216" s="234">
        <v>0</v>
      </c>
      <c r="AY216" s="237">
        <f>(AW216+AX216)/$AG216</f>
        <v>0</v>
      </c>
      <c r="AZ216" s="238">
        <f t="shared" si="340"/>
        <v>16</v>
      </c>
      <c r="BA216" s="238">
        <f t="shared" si="340"/>
        <v>0</v>
      </c>
      <c r="BB216" s="238">
        <f t="shared" si="341"/>
        <v>16</v>
      </c>
      <c r="BC216" s="237">
        <f t="shared" si="342"/>
        <v>7.4889867841409691E-2</v>
      </c>
      <c r="BD216" s="239" t="s">
        <v>283</v>
      </c>
      <c r="BE216" s="239" t="s">
        <v>321</v>
      </c>
    </row>
    <row r="217" spans="29:57" ht="18" customHeight="1" x14ac:dyDescent="0.2">
      <c r="AC217" s="7"/>
      <c r="AG217" s="240">
        <f>SUM(AG214:AG216)</f>
        <v>248</v>
      </c>
      <c r="AH217" s="240">
        <f>SUM(AH214:AH216)</f>
        <v>242</v>
      </c>
      <c r="AI217" s="240">
        <f t="shared" ref="AI217:AL217" si="343">SUM(AI214:AI216)</f>
        <v>226</v>
      </c>
      <c r="AJ217" s="240">
        <f t="shared" si="343"/>
        <v>0</v>
      </c>
      <c r="AK217" s="240">
        <f t="shared" si="343"/>
        <v>6</v>
      </c>
      <c r="AL217" s="240">
        <f t="shared" si="343"/>
        <v>13</v>
      </c>
      <c r="AM217" s="135"/>
      <c r="AN217" s="240">
        <f>SUM(AN214:AN216)</f>
        <v>16</v>
      </c>
      <c r="AO217" s="240">
        <f>SUM(AO214:AO216)</f>
        <v>0</v>
      </c>
      <c r="AP217" s="241"/>
      <c r="AQ217" s="240">
        <f>SUM(AQ214:AQ216)</f>
        <v>0</v>
      </c>
      <c r="AR217" s="240">
        <f>SUM(AR214:AR216)</f>
        <v>0</v>
      </c>
      <c r="AS217" s="241"/>
      <c r="AT217" s="240">
        <f>SUM(AT214:AT216)</f>
        <v>0</v>
      </c>
      <c r="AU217" s="240">
        <f>SUM(AU214:AU216)</f>
        <v>0</v>
      </c>
      <c r="AV217" s="241"/>
      <c r="AW217" s="240">
        <f>SUM(AW214:AW216)</f>
        <v>0</v>
      </c>
      <c r="AX217" s="240">
        <f>SUM(AX214:AX216)</f>
        <v>0</v>
      </c>
      <c r="AY217" s="241"/>
      <c r="AZ217" s="240">
        <f>SUM(AZ214:AZ216)</f>
        <v>16</v>
      </c>
      <c r="BA217" s="240">
        <f>SUM(BA214:BA216)</f>
        <v>0</v>
      </c>
      <c r="BB217" s="240">
        <f>SUM(AZ217:BA217)</f>
        <v>16</v>
      </c>
      <c r="BC217" s="242">
        <f>(BB217+1)/(AI217+1)</f>
        <v>7.4889867841409691E-2</v>
      </c>
      <c r="BD217" s="98"/>
      <c r="BE217" s="98"/>
    </row>
    <row r="218" spans="29:57" ht="18" customHeight="1" x14ac:dyDescent="0.2">
      <c r="AC218" s="212" t="s">
        <v>325</v>
      </c>
      <c r="AD218" s="15"/>
      <c r="AE218" s="23"/>
      <c r="AF218" s="16"/>
      <c r="AG218" s="15"/>
      <c r="AH218" s="15"/>
      <c r="AI218" s="15"/>
      <c r="AJ218" s="15"/>
      <c r="AK218" s="15"/>
      <c r="AL218" s="22"/>
      <c r="AM218" s="213"/>
      <c r="AN218" s="23"/>
      <c r="AO218" s="23"/>
      <c r="AP218" s="7"/>
      <c r="AQ218" s="15"/>
      <c r="AR218" s="15"/>
      <c r="AS218" s="7"/>
      <c r="AT218" s="15"/>
      <c r="AU218" s="15"/>
      <c r="AV218" s="7"/>
      <c r="AW218" s="15"/>
      <c r="AX218" s="15"/>
      <c r="AY218" s="214"/>
      <c r="AZ218" s="215"/>
      <c r="BA218" s="10"/>
      <c r="BB218" s="7"/>
      <c r="BC218" s="7"/>
      <c r="BD218" s="7"/>
      <c r="BE218" s="7"/>
    </row>
    <row r="219" spans="29:57" ht="18" customHeight="1" x14ac:dyDescent="0.2">
      <c r="AC219" s="216" t="s">
        <v>271</v>
      </c>
      <c r="AD219" s="217"/>
      <c r="AE219" s="217"/>
      <c r="AF219" s="218"/>
      <c r="AG219" s="218"/>
      <c r="AH219" s="219"/>
      <c r="AI219" s="218"/>
      <c r="AJ219" s="218"/>
      <c r="AK219" s="218"/>
      <c r="AL219" s="218"/>
      <c r="AM219" s="220" t="e">
        <f>SUM(AJ219:AL219)/AH219</f>
        <v>#DIV/0!</v>
      </c>
      <c r="AN219" s="218"/>
      <c r="AO219" s="218"/>
      <c r="AP219" s="221" t="e">
        <f>SUM(AN219:AO219)/AI219</f>
        <v>#DIV/0!</v>
      </c>
      <c r="AQ219" s="218"/>
      <c r="AR219" s="218"/>
      <c r="AS219" s="221" t="e">
        <f>(AQ219+AR219)/$AG219</f>
        <v>#DIV/0!</v>
      </c>
      <c r="AT219" s="218"/>
      <c r="AU219" s="218"/>
      <c r="AV219" s="221" t="e">
        <f>(AT219+AU219)/$AG219</f>
        <v>#DIV/0!</v>
      </c>
      <c r="AW219" s="218"/>
      <c r="AX219" s="218"/>
      <c r="AY219" s="221" t="e">
        <f>(AW219+AX219)/$AG219</f>
        <v>#DIV/0!</v>
      </c>
      <c r="AZ219" s="222">
        <f>SUM(AN219,AQ219,AT219,AW219)</f>
        <v>0</v>
      </c>
      <c r="BA219" s="222">
        <f>SUM(AO219,AR219,AU219,AX219)</f>
        <v>0</v>
      </c>
      <c r="BB219" s="222">
        <f>SUM(AZ219:BA219)</f>
        <v>0</v>
      </c>
      <c r="BC219" s="221">
        <f>(BB219+1)/(AI219+1)</f>
        <v>1</v>
      </c>
      <c r="BD219" s="223"/>
      <c r="BE219" s="223"/>
    </row>
    <row r="220" spans="29:57" ht="18" customHeight="1" x14ac:dyDescent="0.2">
      <c r="AC220" s="224" t="s">
        <v>273</v>
      </c>
      <c r="AD220" s="225"/>
      <c r="AE220" s="225"/>
      <c r="AF220" s="226"/>
      <c r="AG220" s="226"/>
      <c r="AH220" s="227"/>
      <c r="AI220" s="226"/>
      <c r="AJ220" s="226"/>
      <c r="AK220" s="226"/>
      <c r="AL220" s="226"/>
      <c r="AM220" s="228" t="e">
        <f t="shared" ref="AM220:AM221" si="344">SUM(AJ220:AL220)/AH220</f>
        <v>#DIV/0!</v>
      </c>
      <c r="AN220" s="226"/>
      <c r="AO220" s="226"/>
      <c r="AP220" s="229" t="e">
        <f t="shared" ref="AP220:AP221" si="345">SUM(AN220:AO220)/AI220</f>
        <v>#DIV/0!</v>
      </c>
      <c r="AQ220" s="226"/>
      <c r="AR220" s="226"/>
      <c r="AS220" s="229" t="e">
        <f>(AQ220+AR220)/$AG220</f>
        <v>#DIV/0!</v>
      </c>
      <c r="AT220" s="226"/>
      <c r="AU220" s="226"/>
      <c r="AV220" s="229" t="e">
        <f>(AT220+AU220)/$AG220</f>
        <v>#DIV/0!</v>
      </c>
      <c r="AW220" s="226"/>
      <c r="AX220" s="226"/>
      <c r="AY220" s="229" t="e">
        <f>(AW220+AX220)/$AG220</f>
        <v>#DIV/0!</v>
      </c>
      <c r="AZ220" s="230">
        <f t="shared" ref="AZ220:BA221" si="346">SUM(AN220,AQ220,AT220,AW220)</f>
        <v>0</v>
      </c>
      <c r="BA220" s="230">
        <f t="shared" si="346"/>
        <v>0</v>
      </c>
      <c r="BB220" s="230">
        <f t="shared" ref="BB220:BB221" si="347">SUM(AZ220:BA220)</f>
        <v>0</v>
      </c>
      <c r="BC220" s="229">
        <f t="shared" ref="BC220:BC221" si="348">(BB220+1)/(AI220+1)</f>
        <v>1</v>
      </c>
      <c r="BD220" s="231"/>
      <c r="BE220" s="231"/>
    </row>
    <row r="221" spans="29:57" ht="18" customHeight="1" x14ac:dyDescent="0.2">
      <c r="AC221" s="232" t="s">
        <v>275</v>
      </c>
      <c r="AD221" s="233"/>
      <c r="AE221" s="233"/>
      <c r="AF221" s="234"/>
      <c r="AG221" s="234"/>
      <c r="AH221" s="235"/>
      <c r="AI221" s="234"/>
      <c r="AJ221" s="234"/>
      <c r="AK221" s="234"/>
      <c r="AL221" s="234"/>
      <c r="AM221" s="236" t="e">
        <f t="shared" si="344"/>
        <v>#DIV/0!</v>
      </c>
      <c r="AN221" s="234"/>
      <c r="AO221" s="234"/>
      <c r="AP221" s="237" t="e">
        <f t="shared" si="345"/>
        <v>#DIV/0!</v>
      </c>
      <c r="AQ221" s="234"/>
      <c r="AR221" s="234"/>
      <c r="AS221" s="237" t="e">
        <f>(AQ221+AR221)/$AG221</f>
        <v>#DIV/0!</v>
      </c>
      <c r="AT221" s="234"/>
      <c r="AU221" s="234"/>
      <c r="AV221" s="237" t="e">
        <f>(AT221+AU221)/$AG221</f>
        <v>#DIV/0!</v>
      </c>
      <c r="AW221" s="234"/>
      <c r="AX221" s="234"/>
      <c r="AY221" s="237" t="e">
        <f>(AW221+AX221)/$AG221</f>
        <v>#DIV/0!</v>
      </c>
      <c r="AZ221" s="238">
        <f t="shared" si="346"/>
        <v>0</v>
      </c>
      <c r="BA221" s="238">
        <f t="shared" si="346"/>
        <v>0</v>
      </c>
      <c r="BB221" s="238">
        <f t="shared" si="347"/>
        <v>0</v>
      </c>
      <c r="BC221" s="237">
        <f t="shared" si="348"/>
        <v>1</v>
      </c>
      <c r="BD221" s="239"/>
      <c r="BE221" s="239"/>
    </row>
    <row r="222" spans="29:57" ht="18" customHeight="1" x14ac:dyDescent="0.2">
      <c r="AC222" s="7"/>
      <c r="AG222" s="240">
        <f>SUM(AG219:AG221)</f>
        <v>0</v>
      </c>
      <c r="AH222" s="240">
        <f>SUM(AH219:AH221)</f>
        <v>0</v>
      </c>
      <c r="AI222" s="240">
        <f t="shared" ref="AI222:AL222" si="349">SUM(AI219:AI221)</f>
        <v>0</v>
      </c>
      <c r="AJ222" s="240">
        <f t="shared" si="349"/>
        <v>0</v>
      </c>
      <c r="AK222" s="240">
        <f t="shared" si="349"/>
        <v>0</v>
      </c>
      <c r="AL222" s="240">
        <f t="shared" si="349"/>
        <v>0</v>
      </c>
      <c r="AM222" s="135"/>
      <c r="AN222" s="240">
        <f>SUM(AN219:AN221)</f>
        <v>0</v>
      </c>
      <c r="AO222" s="240">
        <f>SUM(AO219:AO221)</f>
        <v>0</v>
      </c>
      <c r="AP222" s="241"/>
      <c r="AQ222" s="240">
        <f>SUM(AQ219:AQ221)</f>
        <v>0</v>
      </c>
      <c r="AR222" s="240">
        <f>SUM(AR219:AR221)</f>
        <v>0</v>
      </c>
      <c r="AS222" s="241"/>
      <c r="AT222" s="240">
        <f>SUM(AT219:AT221)</f>
        <v>0</v>
      </c>
      <c r="AU222" s="240">
        <f>SUM(AU219:AU221)</f>
        <v>0</v>
      </c>
      <c r="AV222" s="241"/>
      <c r="AW222" s="240">
        <f>SUM(AW219:AW221)</f>
        <v>0</v>
      </c>
      <c r="AX222" s="240">
        <f>SUM(AX219:AX221)</f>
        <v>0</v>
      </c>
      <c r="AY222" s="241"/>
      <c r="AZ222" s="240">
        <f>SUM(AZ219:AZ221)</f>
        <v>0</v>
      </c>
      <c r="BA222" s="240">
        <f>SUM(BA219:BA221)</f>
        <v>0</v>
      </c>
      <c r="BB222" s="240">
        <f>SUM(AZ222:BA222)</f>
        <v>0</v>
      </c>
      <c r="BC222" s="242">
        <f>(BB222+1)/(AI222+1)</f>
        <v>1</v>
      </c>
      <c r="BD222" s="98"/>
      <c r="BE222" s="98"/>
    </row>
    <row r="223" spans="29:57" ht="18" customHeight="1" x14ac:dyDescent="0.2">
      <c r="AC223" s="212" t="s">
        <v>326</v>
      </c>
      <c r="AD223" s="15"/>
      <c r="AE223" s="23"/>
      <c r="AF223" s="16"/>
      <c r="AG223" s="15"/>
      <c r="AH223" s="15"/>
      <c r="AI223" s="15"/>
      <c r="AJ223" s="15"/>
      <c r="AK223" s="15"/>
      <c r="AL223" s="22"/>
      <c r="AM223" s="213"/>
      <c r="AN223" s="23"/>
      <c r="AO223" s="23"/>
      <c r="AP223" s="7"/>
      <c r="AQ223" s="15"/>
      <c r="AR223" s="15"/>
      <c r="AS223" s="7"/>
      <c r="AT223" s="15"/>
      <c r="AU223" s="15"/>
      <c r="AV223" s="7"/>
      <c r="AW223" s="15"/>
      <c r="AX223" s="15"/>
      <c r="AY223" s="214"/>
      <c r="AZ223" s="215"/>
      <c r="BA223" s="10"/>
      <c r="BB223" s="7"/>
      <c r="BC223" s="7"/>
      <c r="BD223" s="7"/>
      <c r="BE223" s="7"/>
    </row>
    <row r="224" spans="29:57" ht="18" customHeight="1" x14ac:dyDescent="0.2">
      <c r="AC224" s="216" t="s">
        <v>271</v>
      </c>
      <c r="AD224" s="217"/>
      <c r="AE224" s="217"/>
      <c r="AF224" s="218"/>
      <c r="AG224" s="218"/>
      <c r="AH224" s="219"/>
      <c r="AI224" s="218"/>
      <c r="AJ224" s="218"/>
      <c r="AK224" s="218"/>
      <c r="AL224" s="218"/>
      <c r="AM224" s="220" t="e">
        <f>SUM(AJ224:AL224)/AH224</f>
        <v>#DIV/0!</v>
      </c>
      <c r="AN224" s="218"/>
      <c r="AO224" s="218"/>
      <c r="AP224" s="221" t="e">
        <f>SUM(AN224:AO224)/AI224</f>
        <v>#DIV/0!</v>
      </c>
      <c r="AQ224" s="218"/>
      <c r="AR224" s="218"/>
      <c r="AS224" s="221" t="e">
        <f>(AQ224+AR224)/$AG224</f>
        <v>#DIV/0!</v>
      </c>
      <c r="AT224" s="218"/>
      <c r="AU224" s="218"/>
      <c r="AV224" s="221" t="e">
        <f>(AT224+AU224)/$AG224</f>
        <v>#DIV/0!</v>
      </c>
      <c r="AW224" s="218"/>
      <c r="AX224" s="218"/>
      <c r="AY224" s="221" t="e">
        <f>(AW224+AX224)/$AG224</f>
        <v>#DIV/0!</v>
      </c>
      <c r="AZ224" s="222">
        <f>SUM(AN224,AQ224,AT224,AW224)</f>
        <v>0</v>
      </c>
      <c r="BA224" s="222">
        <f>SUM(AO224,AR224,AU224,AX224)</f>
        <v>0</v>
      </c>
      <c r="BB224" s="222">
        <f>SUM(AZ224:BA224)</f>
        <v>0</v>
      </c>
      <c r="BC224" s="221">
        <f>(BB224+1)/(AI224+1)</f>
        <v>1</v>
      </c>
      <c r="BD224" s="223"/>
      <c r="BE224" s="223"/>
    </row>
    <row r="225" spans="29:57" ht="18" customHeight="1" x14ac:dyDescent="0.2">
      <c r="AC225" s="224" t="s">
        <v>273</v>
      </c>
      <c r="AD225" s="225"/>
      <c r="AE225" s="225"/>
      <c r="AF225" s="226"/>
      <c r="AG225" s="226"/>
      <c r="AH225" s="227"/>
      <c r="AI225" s="226"/>
      <c r="AJ225" s="226"/>
      <c r="AK225" s="226"/>
      <c r="AL225" s="226"/>
      <c r="AM225" s="228" t="e">
        <f t="shared" ref="AM225:AM226" si="350">SUM(AJ225:AL225)/AH225</f>
        <v>#DIV/0!</v>
      </c>
      <c r="AN225" s="226"/>
      <c r="AO225" s="226"/>
      <c r="AP225" s="229" t="e">
        <f t="shared" ref="AP225:AP226" si="351">SUM(AN225:AO225)/AI225</f>
        <v>#DIV/0!</v>
      </c>
      <c r="AQ225" s="226"/>
      <c r="AR225" s="226"/>
      <c r="AS225" s="229" t="e">
        <f>(AQ225+AR225)/$AG225</f>
        <v>#DIV/0!</v>
      </c>
      <c r="AT225" s="226"/>
      <c r="AU225" s="226"/>
      <c r="AV225" s="229" t="e">
        <f>(AT225+AU225)/$AG225</f>
        <v>#DIV/0!</v>
      </c>
      <c r="AW225" s="226"/>
      <c r="AX225" s="226"/>
      <c r="AY225" s="229" t="e">
        <f>(AW225+AX225)/$AG225</f>
        <v>#DIV/0!</v>
      </c>
      <c r="AZ225" s="230">
        <f t="shared" ref="AZ225:BA226" si="352">SUM(AN225,AQ225,AT225,AW225)</f>
        <v>0</v>
      </c>
      <c r="BA225" s="230">
        <f t="shared" si="352"/>
        <v>0</v>
      </c>
      <c r="BB225" s="230">
        <f t="shared" ref="BB225:BB226" si="353">SUM(AZ225:BA225)</f>
        <v>0</v>
      </c>
      <c r="BC225" s="229">
        <f t="shared" ref="BC225:BC226" si="354">(BB225+1)/(AI225+1)</f>
        <v>1</v>
      </c>
      <c r="BD225" s="231"/>
      <c r="BE225" s="231"/>
    </row>
    <row r="226" spans="29:57" ht="18" customHeight="1" x14ac:dyDescent="0.2">
      <c r="AC226" s="232" t="s">
        <v>275</v>
      </c>
      <c r="AD226" s="233"/>
      <c r="AE226" s="233"/>
      <c r="AF226" s="234"/>
      <c r="AG226" s="234"/>
      <c r="AH226" s="235"/>
      <c r="AI226" s="234"/>
      <c r="AJ226" s="234"/>
      <c r="AK226" s="234"/>
      <c r="AL226" s="234"/>
      <c r="AM226" s="236" t="e">
        <f t="shared" si="350"/>
        <v>#DIV/0!</v>
      </c>
      <c r="AN226" s="234"/>
      <c r="AO226" s="234"/>
      <c r="AP226" s="237" t="e">
        <f t="shared" si="351"/>
        <v>#DIV/0!</v>
      </c>
      <c r="AQ226" s="234"/>
      <c r="AR226" s="234"/>
      <c r="AS226" s="237" t="e">
        <f>(AQ226+AR226)/$AG226</f>
        <v>#DIV/0!</v>
      </c>
      <c r="AT226" s="234"/>
      <c r="AU226" s="234"/>
      <c r="AV226" s="237" t="e">
        <f>(AT226+AU226)/$AG226</f>
        <v>#DIV/0!</v>
      </c>
      <c r="AW226" s="234"/>
      <c r="AX226" s="234"/>
      <c r="AY226" s="237" t="e">
        <f>(AW226+AX226)/$AG226</f>
        <v>#DIV/0!</v>
      </c>
      <c r="AZ226" s="238">
        <f t="shared" si="352"/>
        <v>0</v>
      </c>
      <c r="BA226" s="238">
        <f t="shared" si="352"/>
        <v>0</v>
      </c>
      <c r="BB226" s="238">
        <f t="shared" si="353"/>
        <v>0</v>
      </c>
      <c r="BC226" s="237">
        <f t="shared" si="354"/>
        <v>1</v>
      </c>
      <c r="BD226" s="239"/>
      <c r="BE226" s="239"/>
    </row>
    <row r="227" spans="29:57" ht="18" customHeight="1" x14ac:dyDescent="0.2">
      <c r="AC227" s="7"/>
      <c r="AG227" s="240">
        <f>SUM(AG224:AG226)</f>
        <v>0</v>
      </c>
      <c r="AH227" s="240">
        <f>SUM(AH224:AH226)</f>
        <v>0</v>
      </c>
      <c r="AI227" s="240">
        <f t="shared" ref="AI227:AL227" si="355">SUM(AI224:AI226)</f>
        <v>0</v>
      </c>
      <c r="AJ227" s="240">
        <f t="shared" si="355"/>
        <v>0</v>
      </c>
      <c r="AK227" s="240">
        <f t="shared" si="355"/>
        <v>0</v>
      </c>
      <c r="AL227" s="240">
        <f t="shared" si="355"/>
        <v>0</v>
      </c>
      <c r="AM227" s="135"/>
      <c r="AN227" s="240">
        <f>SUM(AN224:AN226)</f>
        <v>0</v>
      </c>
      <c r="AO227" s="240">
        <f>SUM(AO224:AO226)</f>
        <v>0</v>
      </c>
      <c r="AP227" s="241"/>
      <c r="AQ227" s="240">
        <f>SUM(AQ224:AQ226)</f>
        <v>0</v>
      </c>
      <c r="AR227" s="240">
        <f>SUM(AR224:AR226)</f>
        <v>0</v>
      </c>
      <c r="AS227" s="241"/>
      <c r="AT227" s="240">
        <f>SUM(AT224:AT226)</f>
        <v>0</v>
      </c>
      <c r="AU227" s="240">
        <f>SUM(AU224:AU226)</f>
        <v>0</v>
      </c>
      <c r="AV227" s="241"/>
      <c r="AW227" s="240">
        <f>SUM(AW224:AW226)</f>
        <v>0</v>
      </c>
      <c r="AX227" s="240">
        <f>SUM(AX224:AX226)</f>
        <v>0</v>
      </c>
      <c r="AY227" s="241"/>
      <c r="AZ227" s="240">
        <f>SUM(AZ224:AZ226)</f>
        <v>0</v>
      </c>
      <c r="BA227" s="240">
        <f>SUM(BA224:BA226)</f>
        <v>0</v>
      </c>
      <c r="BB227" s="240">
        <f>SUM(AZ227:BA227)</f>
        <v>0</v>
      </c>
      <c r="BC227" s="242">
        <f>(BB227+1)/(AI227+1)</f>
        <v>1</v>
      </c>
      <c r="BD227" s="98"/>
      <c r="BE227" s="98"/>
    </row>
    <row r="228" spans="29:57" ht="18" customHeight="1" x14ac:dyDescent="0.2">
      <c r="AC228" s="212" t="s">
        <v>327</v>
      </c>
      <c r="AD228" s="15"/>
      <c r="AE228" s="23"/>
      <c r="AF228" s="16"/>
      <c r="AG228" s="15"/>
      <c r="AH228" s="15"/>
      <c r="AI228" s="15"/>
      <c r="AJ228" s="15"/>
      <c r="AK228" s="15"/>
      <c r="AL228" s="22"/>
      <c r="AM228" s="213"/>
      <c r="AN228" s="23"/>
      <c r="AO228" s="23"/>
      <c r="AP228" s="7"/>
      <c r="AQ228" s="15"/>
      <c r="AR228" s="15"/>
      <c r="AS228" s="7"/>
      <c r="AT228" s="15"/>
      <c r="AU228" s="15"/>
      <c r="AV228" s="7"/>
      <c r="AW228" s="15"/>
      <c r="AX228" s="15"/>
      <c r="AY228" s="214"/>
      <c r="AZ228" s="215"/>
      <c r="BA228" s="10"/>
      <c r="BB228" s="7"/>
      <c r="BC228" s="7"/>
      <c r="BD228" s="7"/>
      <c r="BE228" s="7"/>
    </row>
    <row r="229" spans="29:57" ht="18" customHeight="1" x14ac:dyDescent="0.2">
      <c r="AC229" s="216" t="s">
        <v>271</v>
      </c>
      <c r="AD229" s="217"/>
      <c r="AE229" s="217"/>
      <c r="AF229" s="218"/>
      <c r="AG229" s="218"/>
      <c r="AH229" s="219"/>
      <c r="AI229" s="218"/>
      <c r="AJ229" s="218"/>
      <c r="AK229" s="218"/>
      <c r="AL229" s="218"/>
      <c r="AM229" s="220" t="e">
        <f>SUM(AJ229:AL229)/AH229</f>
        <v>#DIV/0!</v>
      </c>
      <c r="AN229" s="218"/>
      <c r="AO229" s="218"/>
      <c r="AP229" s="221" t="e">
        <f>SUM(AN229:AO229)/AI229</f>
        <v>#DIV/0!</v>
      </c>
      <c r="AQ229" s="218"/>
      <c r="AR229" s="218"/>
      <c r="AS229" s="221" t="e">
        <f>(AQ229+AR229)/$AG229</f>
        <v>#DIV/0!</v>
      </c>
      <c r="AT229" s="218"/>
      <c r="AU229" s="218"/>
      <c r="AV229" s="221" t="e">
        <f>(AT229+AU229)/$AG229</f>
        <v>#DIV/0!</v>
      </c>
      <c r="AW229" s="218"/>
      <c r="AX229" s="218"/>
      <c r="AY229" s="221" t="e">
        <f>(AW229+AX229)/$AG229</f>
        <v>#DIV/0!</v>
      </c>
      <c r="AZ229" s="222">
        <f>SUM(AN229,AQ229,AT229,AW229)</f>
        <v>0</v>
      </c>
      <c r="BA229" s="222">
        <f>SUM(AO229,AR229,AU229,AX229)</f>
        <v>0</v>
      </c>
      <c r="BB229" s="222">
        <f>SUM(AZ229:BA229)</f>
        <v>0</v>
      </c>
      <c r="BC229" s="221">
        <f>(BB229+1)/(AI229+1)</f>
        <v>1</v>
      </c>
      <c r="BD229" s="223"/>
      <c r="BE229" s="223"/>
    </row>
    <row r="230" spans="29:57" ht="18" customHeight="1" x14ac:dyDescent="0.2">
      <c r="AC230" s="224" t="s">
        <v>273</v>
      </c>
      <c r="AD230" s="225"/>
      <c r="AE230" s="225"/>
      <c r="AF230" s="226"/>
      <c r="AG230" s="226"/>
      <c r="AH230" s="227"/>
      <c r="AI230" s="226"/>
      <c r="AJ230" s="226"/>
      <c r="AK230" s="226"/>
      <c r="AL230" s="226"/>
      <c r="AM230" s="228" t="e">
        <f t="shared" ref="AM230:AM231" si="356">SUM(AJ230:AL230)/AH230</f>
        <v>#DIV/0!</v>
      </c>
      <c r="AN230" s="226"/>
      <c r="AO230" s="226"/>
      <c r="AP230" s="229" t="e">
        <f t="shared" ref="AP230:AP231" si="357">SUM(AN230:AO230)/AI230</f>
        <v>#DIV/0!</v>
      </c>
      <c r="AQ230" s="226"/>
      <c r="AR230" s="226"/>
      <c r="AS230" s="229" t="e">
        <f>(AQ230+AR230)/$AG230</f>
        <v>#DIV/0!</v>
      </c>
      <c r="AT230" s="226"/>
      <c r="AU230" s="226"/>
      <c r="AV230" s="229" t="e">
        <f>(AT230+AU230)/$AG230</f>
        <v>#DIV/0!</v>
      </c>
      <c r="AW230" s="226"/>
      <c r="AX230" s="226"/>
      <c r="AY230" s="229" t="e">
        <f>(AW230+AX230)/$AG230</f>
        <v>#DIV/0!</v>
      </c>
      <c r="AZ230" s="230">
        <f t="shared" ref="AZ230:BA231" si="358">SUM(AN230,AQ230,AT230,AW230)</f>
        <v>0</v>
      </c>
      <c r="BA230" s="230">
        <f t="shared" si="358"/>
        <v>0</v>
      </c>
      <c r="BB230" s="230">
        <f t="shared" ref="BB230:BB231" si="359">SUM(AZ230:BA230)</f>
        <v>0</v>
      </c>
      <c r="BC230" s="229">
        <f t="shared" ref="BC230:BC231" si="360">(BB230+1)/(AI230+1)</f>
        <v>1</v>
      </c>
      <c r="BD230" s="231"/>
      <c r="BE230" s="231"/>
    </row>
    <row r="231" spans="29:57" ht="18" customHeight="1" x14ac:dyDescent="0.2">
      <c r="AC231" s="232" t="s">
        <v>275</v>
      </c>
      <c r="AD231" s="233"/>
      <c r="AE231" s="233"/>
      <c r="AF231" s="234"/>
      <c r="AG231" s="234"/>
      <c r="AH231" s="235"/>
      <c r="AI231" s="234"/>
      <c r="AJ231" s="234"/>
      <c r="AK231" s="234"/>
      <c r="AL231" s="234"/>
      <c r="AM231" s="236" t="e">
        <f t="shared" si="356"/>
        <v>#DIV/0!</v>
      </c>
      <c r="AN231" s="234"/>
      <c r="AO231" s="234"/>
      <c r="AP231" s="237" t="e">
        <f t="shared" si="357"/>
        <v>#DIV/0!</v>
      </c>
      <c r="AQ231" s="234"/>
      <c r="AR231" s="234"/>
      <c r="AS231" s="237" t="e">
        <f>(AQ231+AR231)/$AG231</f>
        <v>#DIV/0!</v>
      </c>
      <c r="AT231" s="234"/>
      <c r="AU231" s="234"/>
      <c r="AV231" s="237" t="e">
        <f>(AT231+AU231)/$AG231</f>
        <v>#DIV/0!</v>
      </c>
      <c r="AW231" s="234"/>
      <c r="AX231" s="234"/>
      <c r="AY231" s="237" t="e">
        <f>(AW231+AX231)/$AG231</f>
        <v>#DIV/0!</v>
      </c>
      <c r="AZ231" s="238">
        <f t="shared" si="358"/>
        <v>0</v>
      </c>
      <c r="BA231" s="238">
        <f t="shared" si="358"/>
        <v>0</v>
      </c>
      <c r="BB231" s="238">
        <f t="shared" si="359"/>
        <v>0</v>
      </c>
      <c r="BC231" s="237">
        <f t="shared" si="360"/>
        <v>1</v>
      </c>
      <c r="BD231" s="239"/>
      <c r="BE231" s="239"/>
    </row>
    <row r="232" spans="29:57" ht="18" customHeight="1" x14ac:dyDescent="0.2">
      <c r="AC232" s="7"/>
      <c r="AG232" s="240">
        <f>SUM(AG229:AG231)</f>
        <v>0</v>
      </c>
      <c r="AH232" s="240">
        <f>SUM(AH229:AH231)</f>
        <v>0</v>
      </c>
      <c r="AI232" s="240">
        <f t="shared" ref="AI232:AL232" si="361">SUM(AI229:AI231)</f>
        <v>0</v>
      </c>
      <c r="AJ232" s="240">
        <f t="shared" si="361"/>
        <v>0</v>
      </c>
      <c r="AK232" s="240">
        <f t="shared" si="361"/>
        <v>0</v>
      </c>
      <c r="AL232" s="240">
        <f t="shared" si="361"/>
        <v>0</v>
      </c>
      <c r="AM232" s="135"/>
      <c r="AN232" s="240">
        <f>SUM(AN229:AN231)</f>
        <v>0</v>
      </c>
      <c r="AO232" s="240">
        <f>SUM(AO229:AO231)</f>
        <v>0</v>
      </c>
      <c r="AP232" s="241"/>
      <c r="AQ232" s="240">
        <f>SUM(AQ229:AQ231)</f>
        <v>0</v>
      </c>
      <c r="AR232" s="240">
        <f>SUM(AR229:AR231)</f>
        <v>0</v>
      </c>
      <c r="AS232" s="241"/>
      <c r="AT232" s="240">
        <f>SUM(AT229:AT231)</f>
        <v>0</v>
      </c>
      <c r="AU232" s="240">
        <f>SUM(AU229:AU231)</f>
        <v>0</v>
      </c>
      <c r="AV232" s="241"/>
      <c r="AW232" s="240">
        <f>SUM(AW229:AW231)</f>
        <v>0</v>
      </c>
      <c r="AX232" s="240">
        <f>SUM(AX229:AX231)</f>
        <v>0</v>
      </c>
      <c r="AY232" s="241"/>
      <c r="AZ232" s="240">
        <f>SUM(AZ229:AZ231)</f>
        <v>0</v>
      </c>
      <c r="BA232" s="240">
        <f>SUM(BA229:BA231)</f>
        <v>0</v>
      </c>
      <c r="BB232" s="240">
        <f>SUM(AZ232:BA232)</f>
        <v>0</v>
      </c>
      <c r="BC232" s="242">
        <f>(BB232+1)/(AI232+1)</f>
        <v>1</v>
      </c>
      <c r="BD232" s="98"/>
      <c r="BE232" s="98"/>
    </row>
    <row r="233" spans="29:57" ht="18" customHeight="1" x14ac:dyDescent="0.2">
      <c r="AC233" s="212" t="s">
        <v>328</v>
      </c>
      <c r="AD233" s="15"/>
      <c r="AE233" s="23"/>
      <c r="AF233" s="16"/>
      <c r="AG233" s="15"/>
      <c r="AH233" s="15"/>
      <c r="AI233" s="15"/>
      <c r="AJ233" s="15"/>
      <c r="AK233" s="15"/>
      <c r="AL233" s="22"/>
      <c r="AM233" s="213"/>
      <c r="AN233" s="23"/>
      <c r="AO233" s="23"/>
      <c r="AP233" s="7"/>
      <c r="AQ233" s="15"/>
      <c r="AR233" s="15"/>
      <c r="AS233" s="7"/>
      <c r="AT233" s="15"/>
      <c r="AU233" s="15"/>
      <c r="AV233" s="7"/>
      <c r="AW233" s="15"/>
      <c r="AX233" s="15"/>
      <c r="AY233" s="214"/>
      <c r="AZ233" s="215"/>
      <c r="BA233" s="10"/>
      <c r="BB233" s="7"/>
      <c r="BC233" s="7"/>
      <c r="BD233" s="7"/>
      <c r="BE233" s="7"/>
    </row>
    <row r="234" spans="29:57" ht="18" customHeight="1" x14ac:dyDescent="0.2">
      <c r="AC234" s="216" t="s">
        <v>271</v>
      </c>
      <c r="AD234" s="217"/>
      <c r="AE234" s="217"/>
      <c r="AF234" s="218"/>
      <c r="AG234" s="218"/>
      <c r="AH234" s="219"/>
      <c r="AI234" s="218"/>
      <c r="AJ234" s="218"/>
      <c r="AK234" s="218"/>
      <c r="AL234" s="218"/>
      <c r="AM234" s="220" t="e">
        <f>SUM(AJ234:AL234)/AH234</f>
        <v>#DIV/0!</v>
      </c>
      <c r="AN234" s="218"/>
      <c r="AO234" s="218"/>
      <c r="AP234" s="221" t="e">
        <f>SUM(AN234:AO234)/AI234</f>
        <v>#DIV/0!</v>
      </c>
      <c r="AQ234" s="218"/>
      <c r="AR234" s="218"/>
      <c r="AS234" s="221" t="e">
        <f>(AQ234+AR234)/$AG234</f>
        <v>#DIV/0!</v>
      </c>
      <c r="AT234" s="218"/>
      <c r="AU234" s="218"/>
      <c r="AV234" s="221" t="e">
        <f>(AT234+AU234)/$AG234</f>
        <v>#DIV/0!</v>
      </c>
      <c r="AW234" s="218"/>
      <c r="AX234" s="218"/>
      <c r="AY234" s="221" t="e">
        <f>(AW234+AX234)/$AG234</f>
        <v>#DIV/0!</v>
      </c>
      <c r="AZ234" s="222">
        <f>SUM(AN234,AQ234,AT234,AW234)</f>
        <v>0</v>
      </c>
      <c r="BA234" s="222">
        <f>SUM(AO234,AR234,AU234,AX234)</f>
        <v>0</v>
      </c>
      <c r="BB234" s="222">
        <f>SUM(AZ234:BA234)</f>
        <v>0</v>
      </c>
      <c r="BC234" s="221">
        <f>(BB234+1)/(AI234+1)</f>
        <v>1</v>
      </c>
      <c r="BD234" s="223"/>
      <c r="BE234" s="223"/>
    </row>
    <row r="235" spans="29:57" ht="18" customHeight="1" x14ac:dyDescent="0.2">
      <c r="AC235" s="224" t="s">
        <v>273</v>
      </c>
      <c r="AD235" s="225"/>
      <c r="AE235" s="225"/>
      <c r="AF235" s="226"/>
      <c r="AG235" s="226"/>
      <c r="AH235" s="227"/>
      <c r="AI235" s="226"/>
      <c r="AJ235" s="226"/>
      <c r="AK235" s="226"/>
      <c r="AL235" s="226"/>
      <c r="AM235" s="228" t="e">
        <f t="shared" ref="AM235:AM236" si="362">SUM(AJ235:AL235)/AH235</f>
        <v>#DIV/0!</v>
      </c>
      <c r="AN235" s="226"/>
      <c r="AO235" s="226"/>
      <c r="AP235" s="229" t="e">
        <f t="shared" ref="AP235:AP236" si="363">SUM(AN235:AO235)/AI235</f>
        <v>#DIV/0!</v>
      </c>
      <c r="AQ235" s="226"/>
      <c r="AR235" s="226"/>
      <c r="AS235" s="229" t="e">
        <f>(AQ235+AR235)/$AG235</f>
        <v>#DIV/0!</v>
      </c>
      <c r="AT235" s="226"/>
      <c r="AU235" s="226"/>
      <c r="AV235" s="229" t="e">
        <f>(AT235+AU235)/$AG235</f>
        <v>#DIV/0!</v>
      </c>
      <c r="AW235" s="226"/>
      <c r="AX235" s="226"/>
      <c r="AY235" s="229" t="e">
        <f>(AW235+AX235)/$AG235</f>
        <v>#DIV/0!</v>
      </c>
      <c r="AZ235" s="230">
        <f t="shared" ref="AZ235:BA236" si="364">SUM(AN235,AQ235,AT235,AW235)</f>
        <v>0</v>
      </c>
      <c r="BA235" s="230">
        <f t="shared" si="364"/>
        <v>0</v>
      </c>
      <c r="BB235" s="230">
        <f t="shared" ref="BB235:BB236" si="365">SUM(AZ235:BA235)</f>
        <v>0</v>
      </c>
      <c r="BC235" s="229">
        <f t="shared" ref="BC235:BC236" si="366">(BB235+1)/(AI235+1)</f>
        <v>1</v>
      </c>
      <c r="BD235" s="231"/>
      <c r="BE235" s="231"/>
    </row>
    <row r="236" spans="29:57" ht="18" customHeight="1" x14ac:dyDescent="0.2">
      <c r="AC236" s="232" t="s">
        <v>275</v>
      </c>
      <c r="AD236" s="233"/>
      <c r="AE236" s="233"/>
      <c r="AF236" s="234"/>
      <c r="AG236" s="234"/>
      <c r="AH236" s="235"/>
      <c r="AI236" s="234"/>
      <c r="AJ236" s="234"/>
      <c r="AK236" s="234"/>
      <c r="AL236" s="234"/>
      <c r="AM236" s="236" t="e">
        <f t="shared" si="362"/>
        <v>#DIV/0!</v>
      </c>
      <c r="AN236" s="234"/>
      <c r="AO236" s="234"/>
      <c r="AP236" s="237" t="e">
        <f t="shared" si="363"/>
        <v>#DIV/0!</v>
      </c>
      <c r="AQ236" s="234"/>
      <c r="AR236" s="234"/>
      <c r="AS236" s="237" t="e">
        <f>(AQ236+AR236)/$AG236</f>
        <v>#DIV/0!</v>
      </c>
      <c r="AT236" s="234"/>
      <c r="AU236" s="234"/>
      <c r="AV236" s="237" t="e">
        <f>(AT236+AU236)/$AG236</f>
        <v>#DIV/0!</v>
      </c>
      <c r="AW236" s="234"/>
      <c r="AX236" s="234"/>
      <c r="AY236" s="237" t="e">
        <f>(AW236+AX236)/$AG236</f>
        <v>#DIV/0!</v>
      </c>
      <c r="AZ236" s="238">
        <f t="shared" si="364"/>
        <v>0</v>
      </c>
      <c r="BA236" s="238">
        <f t="shared" si="364"/>
        <v>0</v>
      </c>
      <c r="BB236" s="238">
        <f t="shared" si="365"/>
        <v>0</v>
      </c>
      <c r="BC236" s="237">
        <f t="shared" si="366"/>
        <v>1</v>
      </c>
      <c r="BD236" s="239"/>
      <c r="BE236" s="239"/>
    </row>
    <row r="237" spans="29:57" ht="18" customHeight="1" x14ac:dyDescent="0.2">
      <c r="AC237" s="7"/>
      <c r="AG237" s="240">
        <f>SUM(AG234:AG236)</f>
        <v>0</v>
      </c>
      <c r="AH237" s="240">
        <f>SUM(AH234:AH236)</f>
        <v>0</v>
      </c>
      <c r="AI237" s="240">
        <f t="shared" ref="AI237:AL237" si="367">SUM(AI234:AI236)</f>
        <v>0</v>
      </c>
      <c r="AJ237" s="240">
        <f t="shared" si="367"/>
        <v>0</v>
      </c>
      <c r="AK237" s="240">
        <f t="shared" si="367"/>
        <v>0</v>
      </c>
      <c r="AL237" s="240">
        <f t="shared" si="367"/>
        <v>0</v>
      </c>
      <c r="AM237" s="135"/>
      <c r="AN237" s="240">
        <f>SUM(AN234:AN236)</f>
        <v>0</v>
      </c>
      <c r="AO237" s="240">
        <f>SUM(AO234:AO236)</f>
        <v>0</v>
      </c>
      <c r="AP237" s="241"/>
      <c r="AQ237" s="240">
        <f>SUM(AQ234:AQ236)</f>
        <v>0</v>
      </c>
      <c r="AR237" s="240">
        <f>SUM(AR234:AR236)</f>
        <v>0</v>
      </c>
      <c r="AS237" s="241"/>
      <c r="AT237" s="240">
        <f>SUM(AT234:AT236)</f>
        <v>0</v>
      </c>
      <c r="AU237" s="240">
        <f>SUM(AU234:AU236)</f>
        <v>0</v>
      </c>
      <c r="AV237" s="241"/>
      <c r="AW237" s="240">
        <f>SUM(AW234:AW236)</f>
        <v>0</v>
      </c>
      <c r="AX237" s="240">
        <f>SUM(AX234:AX236)</f>
        <v>0</v>
      </c>
      <c r="AY237" s="241"/>
      <c r="AZ237" s="240">
        <f>SUM(AZ234:AZ236)</f>
        <v>0</v>
      </c>
      <c r="BA237" s="240">
        <f>SUM(BA234:BA236)</f>
        <v>0</v>
      </c>
      <c r="BB237" s="240">
        <f>SUM(AZ237:BA237)</f>
        <v>0</v>
      </c>
      <c r="BC237" s="242">
        <f>(BB237+1)/(AI237+1)</f>
        <v>1</v>
      </c>
      <c r="BD237" s="98"/>
      <c r="BE237" s="98"/>
    </row>
    <row r="238" spans="29:57" ht="18" customHeight="1" x14ac:dyDescent="0.2">
      <c r="AC238" s="212" t="s">
        <v>329</v>
      </c>
      <c r="AD238" s="15"/>
      <c r="AE238" s="23"/>
      <c r="AF238" s="16"/>
      <c r="AG238" s="15"/>
      <c r="AH238" s="15"/>
      <c r="AI238" s="15"/>
      <c r="AJ238" s="15"/>
      <c r="AK238" s="15"/>
      <c r="AL238" s="22"/>
      <c r="AM238" s="213"/>
      <c r="AN238" s="23"/>
      <c r="AO238" s="23"/>
      <c r="AP238" s="7"/>
      <c r="AQ238" s="15"/>
      <c r="AR238" s="15"/>
      <c r="AS238" s="7"/>
      <c r="AT238" s="15"/>
      <c r="AU238" s="15"/>
      <c r="AV238" s="7"/>
      <c r="AW238" s="15"/>
      <c r="AX238" s="15"/>
      <c r="AY238" s="214"/>
      <c r="AZ238" s="215"/>
      <c r="BA238" s="10"/>
      <c r="BB238" s="7"/>
      <c r="BC238" s="7"/>
      <c r="BD238" s="7"/>
      <c r="BE238" s="7"/>
    </row>
    <row r="239" spans="29:57" ht="18" customHeight="1" x14ac:dyDescent="0.2">
      <c r="AC239" s="216" t="s">
        <v>271</v>
      </c>
      <c r="AD239" s="217"/>
      <c r="AE239" s="217"/>
      <c r="AF239" s="218"/>
      <c r="AG239" s="218"/>
      <c r="AH239" s="219"/>
      <c r="AI239" s="218"/>
      <c r="AJ239" s="218"/>
      <c r="AK239" s="218"/>
      <c r="AL239" s="218"/>
      <c r="AM239" s="220" t="e">
        <f>SUM(AJ239:AL239)/AH239</f>
        <v>#DIV/0!</v>
      </c>
      <c r="AN239" s="218"/>
      <c r="AO239" s="218"/>
      <c r="AP239" s="221" t="e">
        <f>SUM(AN239:AO239)/AI239</f>
        <v>#DIV/0!</v>
      </c>
      <c r="AQ239" s="218"/>
      <c r="AR239" s="218"/>
      <c r="AS239" s="221" t="e">
        <f>(AQ239+AR239)/$AG239</f>
        <v>#DIV/0!</v>
      </c>
      <c r="AT239" s="218"/>
      <c r="AU239" s="218"/>
      <c r="AV239" s="221" t="e">
        <f>(AT239+AU239)/$AG239</f>
        <v>#DIV/0!</v>
      </c>
      <c r="AW239" s="218"/>
      <c r="AX239" s="218"/>
      <c r="AY239" s="221" t="e">
        <f>(AW239+AX239)/$AG239</f>
        <v>#DIV/0!</v>
      </c>
      <c r="AZ239" s="222">
        <f>SUM(AN239,AQ239,AT239,AW239)</f>
        <v>0</v>
      </c>
      <c r="BA239" s="222">
        <f>SUM(AO239,AR239,AU239,AX239)</f>
        <v>0</v>
      </c>
      <c r="BB239" s="222">
        <f>SUM(AZ239:BA239)</f>
        <v>0</v>
      </c>
      <c r="BC239" s="221">
        <f>(BB239+1)/(AI239+1)</f>
        <v>1</v>
      </c>
      <c r="BD239" s="223"/>
      <c r="BE239" s="223"/>
    </row>
    <row r="240" spans="29:57" ht="18" customHeight="1" x14ac:dyDescent="0.2">
      <c r="AC240" s="224" t="s">
        <v>273</v>
      </c>
      <c r="AD240" s="225"/>
      <c r="AE240" s="225"/>
      <c r="AF240" s="226"/>
      <c r="AG240" s="226"/>
      <c r="AH240" s="227"/>
      <c r="AI240" s="226"/>
      <c r="AJ240" s="226"/>
      <c r="AK240" s="226"/>
      <c r="AL240" s="226"/>
      <c r="AM240" s="228" t="e">
        <f t="shared" ref="AM240:AM241" si="368">SUM(AJ240:AL240)/AH240</f>
        <v>#DIV/0!</v>
      </c>
      <c r="AN240" s="226"/>
      <c r="AO240" s="226"/>
      <c r="AP240" s="229" t="e">
        <f t="shared" ref="AP240:AP241" si="369">SUM(AN240:AO240)/AI240</f>
        <v>#DIV/0!</v>
      </c>
      <c r="AQ240" s="226"/>
      <c r="AR240" s="226"/>
      <c r="AS240" s="229" t="e">
        <f>(AQ240+AR240)/$AG240</f>
        <v>#DIV/0!</v>
      </c>
      <c r="AT240" s="226"/>
      <c r="AU240" s="226"/>
      <c r="AV240" s="229" t="e">
        <f>(AT240+AU240)/$AG240</f>
        <v>#DIV/0!</v>
      </c>
      <c r="AW240" s="226"/>
      <c r="AX240" s="226"/>
      <c r="AY240" s="229" t="e">
        <f>(AW240+AX240)/$AG240</f>
        <v>#DIV/0!</v>
      </c>
      <c r="AZ240" s="230">
        <f t="shared" ref="AZ240:BA241" si="370">SUM(AN240,AQ240,AT240,AW240)</f>
        <v>0</v>
      </c>
      <c r="BA240" s="230">
        <f t="shared" si="370"/>
        <v>0</v>
      </c>
      <c r="BB240" s="230">
        <f t="shared" ref="BB240:BB241" si="371">SUM(AZ240:BA240)</f>
        <v>0</v>
      </c>
      <c r="BC240" s="229">
        <f t="shared" ref="BC240:BC241" si="372">(BB240+1)/(AI240+1)</f>
        <v>1</v>
      </c>
      <c r="BD240" s="231"/>
      <c r="BE240" s="231"/>
    </row>
    <row r="241" spans="29:57" ht="18" customHeight="1" x14ac:dyDescent="0.2">
      <c r="AC241" s="232" t="s">
        <v>275</v>
      </c>
      <c r="AD241" s="233"/>
      <c r="AE241" s="233"/>
      <c r="AF241" s="234"/>
      <c r="AG241" s="234"/>
      <c r="AH241" s="235"/>
      <c r="AI241" s="234"/>
      <c r="AJ241" s="234"/>
      <c r="AK241" s="234"/>
      <c r="AL241" s="234"/>
      <c r="AM241" s="236" t="e">
        <f t="shared" si="368"/>
        <v>#DIV/0!</v>
      </c>
      <c r="AN241" s="234"/>
      <c r="AO241" s="234"/>
      <c r="AP241" s="237" t="e">
        <f t="shared" si="369"/>
        <v>#DIV/0!</v>
      </c>
      <c r="AQ241" s="234"/>
      <c r="AR241" s="234"/>
      <c r="AS241" s="237" t="e">
        <f>(AQ241+AR241)/$AG241</f>
        <v>#DIV/0!</v>
      </c>
      <c r="AT241" s="234"/>
      <c r="AU241" s="234"/>
      <c r="AV241" s="237" t="e">
        <f>(AT241+AU241)/$AG241</f>
        <v>#DIV/0!</v>
      </c>
      <c r="AW241" s="234"/>
      <c r="AX241" s="234"/>
      <c r="AY241" s="237" t="e">
        <f>(AW241+AX241)/$AG241</f>
        <v>#DIV/0!</v>
      </c>
      <c r="AZ241" s="238">
        <f t="shared" si="370"/>
        <v>0</v>
      </c>
      <c r="BA241" s="238">
        <f t="shared" si="370"/>
        <v>0</v>
      </c>
      <c r="BB241" s="238">
        <f t="shared" si="371"/>
        <v>0</v>
      </c>
      <c r="BC241" s="237">
        <f t="shared" si="372"/>
        <v>1</v>
      </c>
      <c r="BD241" s="239"/>
      <c r="BE241" s="239"/>
    </row>
    <row r="242" spans="29:57" ht="18" customHeight="1" x14ac:dyDescent="0.2">
      <c r="AC242" s="7"/>
      <c r="AG242" s="240">
        <f>SUM(AG239:AG241)</f>
        <v>0</v>
      </c>
      <c r="AH242" s="240">
        <f>SUM(AH239:AH241)</f>
        <v>0</v>
      </c>
      <c r="AI242" s="240">
        <f t="shared" ref="AI242:AL242" si="373">SUM(AI239:AI241)</f>
        <v>0</v>
      </c>
      <c r="AJ242" s="240">
        <f t="shared" si="373"/>
        <v>0</v>
      </c>
      <c r="AK242" s="240">
        <f t="shared" si="373"/>
        <v>0</v>
      </c>
      <c r="AL242" s="240">
        <f t="shared" si="373"/>
        <v>0</v>
      </c>
      <c r="AM242" s="135"/>
      <c r="AN242" s="240">
        <f>SUM(AN239:AN241)</f>
        <v>0</v>
      </c>
      <c r="AO242" s="240">
        <f>SUM(AO239:AO241)</f>
        <v>0</v>
      </c>
      <c r="AP242" s="241"/>
      <c r="AQ242" s="240">
        <f>SUM(AQ239:AQ241)</f>
        <v>0</v>
      </c>
      <c r="AR242" s="240">
        <f>SUM(AR239:AR241)</f>
        <v>0</v>
      </c>
      <c r="AS242" s="241"/>
      <c r="AT242" s="240">
        <f>SUM(AT239:AT241)</f>
        <v>0</v>
      </c>
      <c r="AU242" s="240">
        <f>SUM(AU239:AU241)</f>
        <v>0</v>
      </c>
      <c r="AV242" s="241"/>
      <c r="AW242" s="240">
        <f>SUM(AW239:AW241)</f>
        <v>0</v>
      </c>
      <c r="AX242" s="240">
        <f>SUM(AX239:AX241)</f>
        <v>0</v>
      </c>
      <c r="AY242" s="241"/>
      <c r="AZ242" s="240">
        <f>SUM(AZ239:AZ241)</f>
        <v>0</v>
      </c>
      <c r="BA242" s="240">
        <f>SUM(BA239:BA241)</f>
        <v>0</v>
      </c>
      <c r="BB242" s="240">
        <f>SUM(AZ242:BA242)</f>
        <v>0</v>
      </c>
      <c r="BC242" s="242">
        <f>(BB242+1)/(AI242+1)</f>
        <v>1</v>
      </c>
      <c r="BD242" s="98"/>
      <c r="BE242" s="98"/>
    </row>
    <row r="243" spans="29:57" ht="18" customHeight="1" x14ac:dyDescent="0.2">
      <c r="AC243" s="212" t="s">
        <v>330</v>
      </c>
      <c r="AD243" s="15"/>
      <c r="AE243" s="23"/>
      <c r="AF243" s="16"/>
      <c r="AG243" s="15"/>
      <c r="AH243" s="15"/>
      <c r="AI243" s="15"/>
      <c r="AJ243" s="15"/>
      <c r="AK243" s="15"/>
      <c r="AL243" s="22"/>
      <c r="AM243" s="213"/>
      <c r="AN243" s="23"/>
      <c r="AO243" s="23"/>
      <c r="AP243" s="7"/>
      <c r="AQ243" s="15"/>
      <c r="AR243" s="15"/>
      <c r="AS243" s="7"/>
      <c r="AT243" s="15"/>
      <c r="AU243" s="15"/>
      <c r="AV243" s="7"/>
      <c r="AW243" s="15"/>
      <c r="AX243" s="15"/>
      <c r="AY243" s="214"/>
      <c r="AZ243" s="215"/>
      <c r="BA243" s="10"/>
      <c r="BB243" s="7"/>
      <c r="BC243" s="7"/>
      <c r="BD243" s="7"/>
      <c r="BE243" s="7"/>
    </row>
    <row r="244" spans="29:57" ht="18" customHeight="1" x14ac:dyDescent="0.2">
      <c r="AC244" s="216" t="s">
        <v>271</v>
      </c>
      <c r="AD244" s="217"/>
      <c r="AE244" s="217"/>
      <c r="AF244" s="218"/>
      <c r="AG244" s="218"/>
      <c r="AH244" s="219"/>
      <c r="AI244" s="218"/>
      <c r="AJ244" s="218"/>
      <c r="AK244" s="218"/>
      <c r="AL244" s="218"/>
      <c r="AM244" s="220" t="e">
        <f>SUM(AJ244:AL244)/AH244</f>
        <v>#DIV/0!</v>
      </c>
      <c r="AN244" s="218"/>
      <c r="AO244" s="218"/>
      <c r="AP244" s="221" t="e">
        <f>SUM(AN244:AO244)/AI244</f>
        <v>#DIV/0!</v>
      </c>
      <c r="AQ244" s="218"/>
      <c r="AR244" s="218"/>
      <c r="AS244" s="221" t="e">
        <f>(AQ244+AR244)/$AG244</f>
        <v>#DIV/0!</v>
      </c>
      <c r="AT244" s="218"/>
      <c r="AU244" s="218"/>
      <c r="AV244" s="221" t="e">
        <f>(AT244+AU244)/$AG244</f>
        <v>#DIV/0!</v>
      </c>
      <c r="AW244" s="218"/>
      <c r="AX244" s="218"/>
      <c r="AY244" s="221" t="e">
        <f>(AW244+AX244)/$AG244</f>
        <v>#DIV/0!</v>
      </c>
      <c r="AZ244" s="222">
        <f>SUM(AN244,AQ244,AT244,AW244)</f>
        <v>0</v>
      </c>
      <c r="BA244" s="222">
        <f>SUM(AO244,AR244,AU244,AX244)</f>
        <v>0</v>
      </c>
      <c r="BB244" s="222">
        <f>SUM(AZ244:BA244)</f>
        <v>0</v>
      </c>
      <c r="BC244" s="221">
        <f>(BB244+1)/(AI244+1)</f>
        <v>1</v>
      </c>
      <c r="BD244" s="223"/>
      <c r="BE244" s="223"/>
    </row>
    <row r="245" spans="29:57" ht="18" customHeight="1" x14ac:dyDescent="0.2">
      <c r="AC245" s="224" t="s">
        <v>273</v>
      </c>
      <c r="AD245" s="225"/>
      <c r="AE245" s="225"/>
      <c r="AF245" s="226"/>
      <c r="AG245" s="226"/>
      <c r="AH245" s="227"/>
      <c r="AI245" s="226"/>
      <c r="AJ245" s="226"/>
      <c r="AK245" s="226"/>
      <c r="AL245" s="226"/>
      <c r="AM245" s="228" t="e">
        <f t="shared" ref="AM245:AM246" si="374">SUM(AJ245:AL245)/AH245</f>
        <v>#DIV/0!</v>
      </c>
      <c r="AN245" s="226"/>
      <c r="AO245" s="226"/>
      <c r="AP245" s="229" t="e">
        <f t="shared" ref="AP245:AP246" si="375">SUM(AN245:AO245)/AI245</f>
        <v>#DIV/0!</v>
      </c>
      <c r="AQ245" s="226"/>
      <c r="AR245" s="226"/>
      <c r="AS245" s="229" t="e">
        <f>(AQ245+AR245)/$AG245</f>
        <v>#DIV/0!</v>
      </c>
      <c r="AT245" s="226"/>
      <c r="AU245" s="226"/>
      <c r="AV245" s="229" t="e">
        <f>(AT245+AU245)/$AG245</f>
        <v>#DIV/0!</v>
      </c>
      <c r="AW245" s="226"/>
      <c r="AX245" s="226"/>
      <c r="AY245" s="229" t="e">
        <f>(AW245+AX245)/$AG245</f>
        <v>#DIV/0!</v>
      </c>
      <c r="AZ245" s="230">
        <f t="shared" ref="AZ245:BA246" si="376">SUM(AN245,AQ245,AT245,AW245)</f>
        <v>0</v>
      </c>
      <c r="BA245" s="230">
        <f t="shared" si="376"/>
        <v>0</v>
      </c>
      <c r="BB245" s="230">
        <f t="shared" ref="BB245:BB246" si="377">SUM(AZ245:BA245)</f>
        <v>0</v>
      </c>
      <c r="BC245" s="229">
        <f t="shared" ref="BC245:BC246" si="378">(BB245+1)/(AI245+1)</f>
        <v>1</v>
      </c>
      <c r="BD245" s="231"/>
      <c r="BE245" s="231"/>
    </row>
    <row r="246" spans="29:57" ht="18" customHeight="1" x14ac:dyDescent="0.2">
      <c r="AC246" s="232" t="s">
        <v>275</v>
      </c>
      <c r="AD246" s="233"/>
      <c r="AE246" s="233"/>
      <c r="AF246" s="234"/>
      <c r="AG246" s="234"/>
      <c r="AH246" s="235"/>
      <c r="AI246" s="234"/>
      <c r="AJ246" s="234"/>
      <c r="AK246" s="234"/>
      <c r="AL246" s="234"/>
      <c r="AM246" s="236" t="e">
        <f t="shared" si="374"/>
        <v>#DIV/0!</v>
      </c>
      <c r="AN246" s="234"/>
      <c r="AO246" s="234"/>
      <c r="AP246" s="237" t="e">
        <f t="shared" si="375"/>
        <v>#DIV/0!</v>
      </c>
      <c r="AQ246" s="234"/>
      <c r="AR246" s="234"/>
      <c r="AS246" s="237" t="e">
        <f>(AQ246+AR246)/$AG246</f>
        <v>#DIV/0!</v>
      </c>
      <c r="AT246" s="234"/>
      <c r="AU246" s="234"/>
      <c r="AV246" s="237" t="e">
        <f>(AT246+AU246)/$AG246</f>
        <v>#DIV/0!</v>
      </c>
      <c r="AW246" s="234"/>
      <c r="AX246" s="234"/>
      <c r="AY246" s="237" t="e">
        <f>(AW246+AX246)/$AG246</f>
        <v>#DIV/0!</v>
      </c>
      <c r="AZ246" s="238">
        <f t="shared" si="376"/>
        <v>0</v>
      </c>
      <c r="BA246" s="238">
        <f t="shared" si="376"/>
        <v>0</v>
      </c>
      <c r="BB246" s="238">
        <f t="shared" si="377"/>
        <v>0</v>
      </c>
      <c r="BC246" s="237">
        <f t="shared" si="378"/>
        <v>1</v>
      </c>
      <c r="BD246" s="239"/>
      <c r="BE246" s="239"/>
    </row>
    <row r="247" spans="29:57" ht="18" customHeight="1" x14ac:dyDescent="0.2">
      <c r="AC247" s="7"/>
      <c r="AG247" s="240">
        <f>SUM(AG244:AG246)</f>
        <v>0</v>
      </c>
      <c r="AH247" s="240">
        <f>SUM(AH244:AH246)</f>
        <v>0</v>
      </c>
      <c r="AI247" s="240">
        <f t="shared" ref="AI247:AL247" si="379">SUM(AI244:AI246)</f>
        <v>0</v>
      </c>
      <c r="AJ247" s="240">
        <f t="shared" si="379"/>
        <v>0</v>
      </c>
      <c r="AK247" s="240">
        <f t="shared" si="379"/>
        <v>0</v>
      </c>
      <c r="AL247" s="240">
        <f t="shared" si="379"/>
        <v>0</v>
      </c>
      <c r="AM247" s="135"/>
      <c r="AN247" s="240">
        <f>SUM(AN244:AN246)</f>
        <v>0</v>
      </c>
      <c r="AO247" s="240">
        <f>SUM(AO244:AO246)</f>
        <v>0</v>
      </c>
      <c r="AP247" s="241"/>
      <c r="AQ247" s="240">
        <f>SUM(AQ244:AQ246)</f>
        <v>0</v>
      </c>
      <c r="AR247" s="240">
        <f>SUM(AR244:AR246)</f>
        <v>0</v>
      </c>
      <c r="AS247" s="241"/>
      <c r="AT247" s="240">
        <f>SUM(AT244:AT246)</f>
        <v>0</v>
      </c>
      <c r="AU247" s="240">
        <f>SUM(AU244:AU246)</f>
        <v>0</v>
      </c>
      <c r="AV247" s="241"/>
      <c r="AW247" s="240">
        <f>SUM(AW244:AW246)</f>
        <v>0</v>
      </c>
      <c r="AX247" s="240">
        <f>SUM(AX244:AX246)</f>
        <v>0</v>
      </c>
      <c r="AY247" s="241"/>
      <c r="AZ247" s="240">
        <f>SUM(AZ244:AZ246)</f>
        <v>0</v>
      </c>
      <c r="BA247" s="240">
        <f>SUM(BA244:BA246)</f>
        <v>0</v>
      </c>
      <c r="BB247" s="240">
        <f>SUM(AZ247:BA247)</f>
        <v>0</v>
      </c>
      <c r="BC247" s="242">
        <f>(BB247+1)/(AI247+1)</f>
        <v>1</v>
      </c>
      <c r="BD247" s="98"/>
      <c r="BE247" s="98"/>
    </row>
    <row r="248" spans="29:57" ht="18" customHeight="1" x14ac:dyDescent="0.2">
      <c r="AC248" s="212" t="s">
        <v>331</v>
      </c>
      <c r="AD248" s="15"/>
      <c r="AE248" s="23"/>
      <c r="AF248" s="16"/>
      <c r="AG248" s="15"/>
      <c r="AH248" s="15"/>
      <c r="AI248" s="15"/>
      <c r="AJ248" s="15"/>
      <c r="AK248" s="15"/>
      <c r="AL248" s="22"/>
      <c r="AM248" s="213"/>
      <c r="AN248" s="23"/>
      <c r="AO248" s="23"/>
      <c r="AP248" s="7"/>
      <c r="AQ248" s="15"/>
      <c r="AR248" s="15"/>
      <c r="AS248" s="7"/>
      <c r="AT248" s="15"/>
      <c r="AU248" s="15"/>
      <c r="AV248" s="7"/>
      <c r="AW248" s="15"/>
      <c r="AX248" s="15"/>
      <c r="AY248" s="214"/>
      <c r="AZ248" s="215"/>
      <c r="BA248" s="10"/>
      <c r="BB248" s="7"/>
      <c r="BC248" s="7"/>
      <c r="BD248" s="7"/>
      <c r="BE248" s="7"/>
    </row>
    <row r="249" spans="29:57" ht="18" customHeight="1" x14ac:dyDescent="0.2">
      <c r="AC249" s="216" t="s">
        <v>271</v>
      </c>
      <c r="AD249" s="217"/>
      <c r="AE249" s="217"/>
      <c r="AF249" s="218"/>
      <c r="AG249" s="218"/>
      <c r="AH249" s="219"/>
      <c r="AI249" s="218"/>
      <c r="AJ249" s="218"/>
      <c r="AK249" s="218"/>
      <c r="AL249" s="218"/>
      <c r="AM249" s="220" t="e">
        <f>SUM(AJ249:AL249)/AH249</f>
        <v>#DIV/0!</v>
      </c>
      <c r="AN249" s="218"/>
      <c r="AO249" s="218"/>
      <c r="AP249" s="221" t="e">
        <f>SUM(AN249:AO249)/AI249</f>
        <v>#DIV/0!</v>
      </c>
      <c r="AQ249" s="218"/>
      <c r="AR249" s="218"/>
      <c r="AS249" s="221" t="e">
        <f>(AQ249+AR249)/$AG249</f>
        <v>#DIV/0!</v>
      </c>
      <c r="AT249" s="218"/>
      <c r="AU249" s="218"/>
      <c r="AV249" s="221" t="e">
        <f>(AT249+AU249)/$AG249</f>
        <v>#DIV/0!</v>
      </c>
      <c r="AW249" s="218"/>
      <c r="AX249" s="218"/>
      <c r="AY249" s="221" t="e">
        <f>(AW249+AX249)/$AG249</f>
        <v>#DIV/0!</v>
      </c>
      <c r="AZ249" s="222">
        <f>SUM(AN249,AQ249,AT249,AW249)</f>
        <v>0</v>
      </c>
      <c r="BA249" s="222">
        <f>SUM(AO249,AR249,AU249,AX249)</f>
        <v>0</v>
      </c>
      <c r="BB249" s="222">
        <f>SUM(AZ249:BA249)</f>
        <v>0</v>
      </c>
      <c r="BC249" s="221">
        <f>(BB249+1)/(AI249+1)</f>
        <v>1</v>
      </c>
      <c r="BD249" s="223"/>
      <c r="BE249" s="223"/>
    </row>
    <row r="250" spans="29:57" ht="18" customHeight="1" x14ac:dyDescent="0.2">
      <c r="AC250" s="224" t="s">
        <v>273</v>
      </c>
      <c r="AD250" s="225"/>
      <c r="AE250" s="225"/>
      <c r="AF250" s="226"/>
      <c r="AG250" s="226"/>
      <c r="AH250" s="227"/>
      <c r="AI250" s="226"/>
      <c r="AJ250" s="226"/>
      <c r="AK250" s="226"/>
      <c r="AL250" s="226"/>
      <c r="AM250" s="228" t="e">
        <f t="shared" ref="AM250:AM251" si="380">SUM(AJ250:AL250)/AH250</f>
        <v>#DIV/0!</v>
      </c>
      <c r="AN250" s="226"/>
      <c r="AO250" s="226"/>
      <c r="AP250" s="229" t="e">
        <f t="shared" ref="AP250:AP251" si="381">SUM(AN250:AO250)/AI250</f>
        <v>#DIV/0!</v>
      </c>
      <c r="AQ250" s="226"/>
      <c r="AR250" s="226"/>
      <c r="AS250" s="229" t="e">
        <f>(AQ250+AR250)/$AG250</f>
        <v>#DIV/0!</v>
      </c>
      <c r="AT250" s="226"/>
      <c r="AU250" s="226"/>
      <c r="AV250" s="229" t="e">
        <f>(AT250+AU250)/$AG250</f>
        <v>#DIV/0!</v>
      </c>
      <c r="AW250" s="226"/>
      <c r="AX250" s="226"/>
      <c r="AY250" s="229" t="e">
        <f>(AW250+AX250)/$AG250</f>
        <v>#DIV/0!</v>
      </c>
      <c r="AZ250" s="230">
        <f t="shared" ref="AZ250:BA251" si="382">SUM(AN250,AQ250,AT250,AW250)</f>
        <v>0</v>
      </c>
      <c r="BA250" s="230">
        <f t="shared" si="382"/>
        <v>0</v>
      </c>
      <c r="BB250" s="230">
        <f t="shared" ref="BB250:BB251" si="383">SUM(AZ250:BA250)</f>
        <v>0</v>
      </c>
      <c r="BC250" s="229">
        <f t="shared" ref="BC250:BC251" si="384">(BB250+1)/(AI250+1)</f>
        <v>1</v>
      </c>
      <c r="BD250" s="231"/>
      <c r="BE250" s="231"/>
    </row>
    <row r="251" spans="29:57" ht="18" customHeight="1" x14ac:dyDescent="0.2">
      <c r="AC251" s="232" t="s">
        <v>275</v>
      </c>
      <c r="AD251" s="233"/>
      <c r="AE251" s="233"/>
      <c r="AF251" s="234"/>
      <c r="AG251" s="234"/>
      <c r="AH251" s="235"/>
      <c r="AI251" s="234"/>
      <c r="AJ251" s="234"/>
      <c r="AK251" s="234"/>
      <c r="AL251" s="234"/>
      <c r="AM251" s="236" t="e">
        <f t="shared" si="380"/>
        <v>#DIV/0!</v>
      </c>
      <c r="AN251" s="234"/>
      <c r="AO251" s="234"/>
      <c r="AP251" s="237" t="e">
        <f t="shared" si="381"/>
        <v>#DIV/0!</v>
      </c>
      <c r="AQ251" s="234"/>
      <c r="AR251" s="234"/>
      <c r="AS251" s="237" t="e">
        <f>(AQ251+AR251)/$AG251</f>
        <v>#DIV/0!</v>
      </c>
      <c r="AT251" s="234"/>
      <c r="AU251" s="234"/>
      <c r="AV251" s="237" t="e">
        <f>(AT251+AU251)/$AG251</f>
        <v>#DIV/0!</v>
      </c>
      <c r="AW251" s="234"/>
      <c r="AX251" s="234"/>
      <c r="AY251" s="237" t="e">
        <f>(AW251+AX251)/$AG251</f>
        <v>#DIV/0!</v>
      </c>
      <c r="AZ251" s="238">
        <f t="shared" si="382"/>
        <v>0</v>
      </c>
      <c r="BA251" s="238">
        <f t="shared" si="382"/>
        <v>0</v>
      </c>
      <c r="BB251" s="238">
        <f t="shared" si="383"/>
        <v>0</v>
      </c>
      <c r="BC251" s="237">
        <f t="shared" si="384"/>
        <v>1</v>
      </c>
      <c r="BD251" s="239"/>
      <c r="BE251" s="239"/>
    </row>
    <row r="252" spans="29:57" ht="18" customHeight="1" x14ac:dyDescent="0.2">
      <c r="AC252" s="7"/>
      <c r="AG252" s="240">
        <f>SUM(AG249:AG251)</f>
        <v>0</v>
      </c>
      <c r="AH252" s="240">
        <f>SUM(AH249:AH251)</f>
        <v>0</v>
      </c>
      <c r="AI252" s="240">
        <f t="shared" ref="AI252:AL252" si="385">SUM(AI249:AI251)</f>
        <v>0</v>
      </c>
      <c r="AJ252" s="240">
        <f t="shared" si="385"/>
        <v>0</v>
      </c>
      <c r="AK252" s="240">
        <f t="shared" si="385"/>
        <v>0</v>
      </c>
      <c r="AL252" s="240">
        <f t="shared" si="385"/>
        <v>0</v>
      </c>
      <c r="AM252" s="135"/>
      <c r="AN252" s="240">
        <f>SUM(AN249:AN251)</f>
        <v>0</v>
      </c>
      <c r="AO252" s="240">
        <f>SUM(AO249:AO251)</f>
        <v>0</v>
      </c>
      <c r="AP252" s="241"/>
      <c r="AQ252" s="240">
        <f>SUM(AQ249:AQ251)</f>
        <v>0</v>
      </c>
      <c r="AR252" s="240">
        <f>SUM(AR249:AR251)</f>
        <v>0</v>
      </c>
      <c r="AS252" s="241"/>
      <c r="AT252" s="240">
        <f>SUM(AT249:AT251)</f>
        <v>0</v>
      </c>
      <c r="AU252" s="240">
        <f>SUM(AU249:AU251)</f>
        <v>0</v>
      </c>
      <c r="AV252" s="241"/>
      <c r="AW252" s="240">
        <f>SUM(AW249:AW251)</f>
        <v>0</v>
      </c>
      <c r="AX252" s="240">
        <f>SUM(AX249:AX251)</f>
        <v>0</v>
      </c>
      <c r="AY252" s="241"/>
      <c r="AZ252" s="240">
        <f>SUM(AZ249:AZ251)</f>
        <v>0</v>
      </c>
      <c r="BA252" s="240">
        <f>SUM(BA249:BA251)</f>
        <v>0</v>
      </c>
      <c r="BB252" s="240">
        <f>SUM(AZ252:BA252)</f>
        <v>0</v>
      </c>
      <c r="BC252" s="242">
        <f>(BB252+1)/(AI252+1)</f>
        <v>1</v>
      </c>
      <c r="BD252" s="98"/>
      <c r="BE252" s="98"/>
    </row>
    <row r="253" spans="29:57" ht="18" customHeight="1" x14ac:dyDescent="0.2">
      <c r="AC253" s="212" t="s">
        <v>332</v>
      </c>
      <c r="AD253" s="15"/>
      <c r="AE253" s="23"/>
      <c r="AF253" s="16"/>
      <c r="AG253" s="15"/>
      <c r="AH253" s="15"/>
      <c r="AI253" s="15"/>
      <c r="AJ253" s="15"/>
      <c r="AK253" s="15"/>
      <c r="AL253" s="22"/>
      <c r="AM253" s="213"/>
      <c r="AN253" s="23"/>
      <c r="AO253" s="23"/>
      <c r="AP253" s="7"/>
      <c r="AQ253" s="15"/>
      <c r="AR253" s="15"/>
      <c r="AS253" s="7"/>
      <c r="AT253" s="15"/>
      <c r="AU253" s="15"/>
      <c r="AV253" s="7"/>
      <c r="AW253" s="15"/>
      <c r="AX253" s="15"/>
      <c r="AY253" s="214"/>
      <c r="AZ253" s="215"/>
      <c r="BA253" s="10"/>
      <c r="BB253" s="7"/>
      <c r="BC253" s="7"/>
      <c r="BD253" s="7"/>
      <c r="BE253" s="7"/>
    </row>
    <row r="254" spans="29:57" ht="18" customHeight="1" x14ac:dyDescent="0.2">
      <c r="AC254" s="216" t="s">
        <v>271</v>
      </c>
      <c r="AD254" s="217"/>
      <c r="AE254" s="217"/>
      <c r="AF254" s="218"/>
      <c r="AG254" s="218"/>
      <c r="AH254" s="219"/>
      <c r="AI254" s="218"/>
      <c r="AJ254" s="218"/>
      <c r="AK254" s="218"/>
      <c r="AL254" s="218"/>
      <c r="AM254" s="220" t="e">
        <f>SUM(AJ254:AL254)/AH254</f>
        <v>#DIV/0!</v>
      </c>
      <c r="AN254" s="218"/>
      <c r="AO254" s="218"/>
      <c r="AP254" s="221" t="e">
        <f>SUM(AN254:AO254)/AI254</f>
        <v>#DIV/0!</v>
      </c>
      <c r="AQ254" s="218"/>
      <c r="AR254" s="218"/>
      <c r="AS254" s="221" t="e">
        <f>(AQ254+AR254)/$AG254</f>
        <v>#DIV/0!</v>
      </c>
      <c r="AT254" s="218"/>
      <c r="AU254" s="218"/>
      <c r="AV254" s="221" t="e">
        <f>(AT254+AU254)/$AG254</f>
        <v>#DIV/0!</v>
      </c>
      <c r="AW254" s="218"/>
      <c r="AX254" s="218"/>
      <c r="AY254" s="221" t="e">
        <f>(AW254+AX254)/$AG254</f>
        <v>#DIV/0!</v>
      </c>
      <c r="AZ254" s="222">
        <f>SUM(AN254,AQ254,AT254,AW254)</f>
        <v>0</v>
      </c>
      <c r="BA254" s="222">
        <f>SUM(AO254,AR254,AU254,AX254)</f>
        <v>0</v>
      </c>
      <c r="BB254" s="222">
        <f>SUM(AZ254:BA254)</f>
        <v>0</v>
      </c>
      <c r="BC254" s="221">
        <f>(BB254+1)/(AI254+1)</f>
        <v>1</v>
      </c>
      <c r="BD254" s="223"/>
      <c r="BE254" s="223"/>
    </row>
    <row r="255" spans="29:57" ht="18" customHeight="1" x14ac:dyDescent="0.2">
      <c r="AC255" s="224" t="s">
        <v>273</v>
      </c>
      <c r="AD255" s="225"/>
      <c r="AE255" s="225"/>
      <c r="AF255" s="226"/>
      <c r="AG255" s="226"/>
      <c r="AH255" s="227"/>
      <c r="AI255" s="226"/>
      <c r="AJ255" s="226"/>
      <c r="AK255" s="226"/>
      <c r="AL255" s="226"/>
      <c r="AM255" s="228" t="e">
        <f t="shared" ref="AM255:AM256" si="386">SUM(AJ255:AL255)/AH255</f>
        <v>#DIV/0!</v>
      </c>
      <c r="AN255" s="226"/>
      <c r="AO255" s="226"/>
      <c r="AP255" s="229" t="e">
        <f t="shared" ref="AP255:AP256" si="387">SUM(AN255:AO255)/AI255</f>
        <v>#DIV/0!</v>
      </c>
      <c r="AQ255" s="226"/>
      <c r="AR255" s="226"/>
      <c r="AS255" s="229" t="e">
        <f>(AQ255+AR255)/$AG255</f>
        <v>#DIV/0!</v>
      </c>
      <c r="AT255" s="226"/>
      <c r="AU255" s="226"/>
      <c r="AV255" s="229" t="e">
        <f>(AT255+AU255)/$AG255</f>
        <v>#DIV/0!</v>
      </c>
      <c r="AW255" s="226"/>
      <c r="AX255" s="226"/>
      <c r="AY255" s="229" t="e">
        <f>(AW255+AX255)/$AG255</f>
        <v>#DIV/0!</v>
      </c>
      <c r="AZ255" s="230">
        <f t="shared" ref="AZ255:BA256" si="388">SUM(AN255,AQ255,AT255,AW255)</f>
        <v>0</v>
      </c>
      <c r="BA255" s="230">
        <f t="shared" si="388"/>
        <v>0</v>
      </c>
      <c r="BB255" s="230">
        <f t="shared" ref="BB255:BB256" si="389">SUM(AZ255:BA255)</f>
        <v>0</v>
      </c>
      <c r="BC255" s="229">
        <f t="shared" ref="BC255:BC256" si="390">(BB255+1)/(AI255+1)</f>
        <v>1</v>
      </c>
      <c r="BD255" s="231"/>
      <c r="BE255" s="231"/>
    </row>
    <row r="256" spans="29:57" ht="18" customHeight="1" x14ac:dyDescent="0.2">
      <c r="AC256" s="232" t="s">
        <v>275</v>
      </c>
      <c r="AD256" s="233"/>
      <c r="AE256" s="233"/>
      <c r="AF256" s="234"/>
      <c r="AG256" s="234"/>
      <c r="AH256" s="235"/>
      <c r="AI256" s="234"/>
      <c r="AJ256" s="234"/>
      <c r="AK256" s="234"/>
      <c r="AL256" s="234"/>
      <c r="AM256" s="236" t="e">
        <f t="shared" si="386"/>
        <v>#DIV/0!</v>
      </c>
      <c r="AN256" s="234"/>
      <c r="AO256" s="234"/>
      <c r="AP256" s="237" t="e">
        <f t="shared" si="387"/>
        <v>#DIV/0!</v>
      </c>
      <c r="AQ256" s="234"/>
      <c r="AR256" s="234"/>
      <c r="AS256" s="237" t="e">
        <f>(AQ256+AR256)/$AG256</f>
        <v>#DIV/0!</v>
      </c>
      <c r="AT256" s="234"/>
      <c r="AU256" s="234"/>
      <c r="AV256" s="237" t="e">
        <f>(AT256+AU256)/$AG256</f>
        <v>#DIV/0!</v>
      </c>
      <c r="AW256" s="234"/>
      <c r="AX256" s="234"/>
      <c r="AY256" s="237" t="e">
        <f>(AW256+AX256)/$AG256</f>
        <v>#DIV/0!</v>
      </c>
      <c r="AZ256" s="238">
        <f t="shared" si="388"/>
        <v>0</v>
      </c>
      <c r="BA256" s="238">
        <f t="shared" si="388"/>
        <v>0</v>
      </c>
      <c r="BB256" s="238">
        <f t="shared" si="389"/>
        <v>0</v>
      </c>
      <c r="BC256" s="237">
        <f t="shared" si="390"/>
        <v>1</v>
      </c>
      <c r="BD256" s="239"/>
      <c r="BE256" s="239"/>
    </row>
    <row r="257" spans="29:57" ht="18" customHeight="1" x14ac:dyDescent="0.2">
      <c r="AC257" s="7"/>
      <c r="AG257" s="240">
        <f>SUM(AG254:AG256)</f>
        <v>0</v>
      </c>
      <c r="AH257" s="240">
        <f>SUM(AH254:AH256)</f>
        <v>0</v>
      </c>
      <c r="AI257" s="240">
        <f t="shared" ref="AI257:AL257" si="391">SUM(AI254:AI256)</f>
        <v>0</v>
      </c>
      <c r="AJ257" s="240">
        <f t="shared" si="391"/>
        <v>0</v>
      </c>
      <c r="AK257" s="240">
        <f t="shared" si="391"/>
        <v>0</v>
      </c>
      <c r="AL257" s="240">
        <f t="shared" si="391"/>
        <v>0</v>
      </c>
      <c r="AM257" s="135"/>
      <c r="AN257" s="240">
        <f>SUM(AN254:AN256)</f>
        <v>0</v>
      </c>
      <c r="AO257" s="240">
        <f>SUM(AO254:AO256)</f>
        <v>0</v>
      </c>
      <c r="AP257" s="241"/>
      <c r="AQ257" s="240">
        <f>SUM(AQ254:AQ256)</f>
        <v>0</v>
      </c>
      <c r="AR257" s="240">
        <f>SUM(AR254:AR256)</f>
        <v>0</v>
      </c>
      <c r="AS257" s="241"/>
      <c r="AT257" s="240">
        <f>SUM(AT254:AT256)</f>
        <v>0</v>
      </c>
      <c r="AU257" s="240">
        <f>SUM(AU254:AU256)</f>
        <v>0</v>
      </c>
      <c r="AV257" s="241"/>
      <c r="AW257" s="240">
        <f>SUM(AW254:AW256)</f>
        <v>0</v>
      </c>
      <c r="AX257" s="240">
        <f>SUM(AX254:AX256)</f>
        <v>0</v>
      </c>
      <c r="AY257" s="241"/>
      <c r="AZ257" s="240">
        <f>SUM(AZ254:AZ256)</f>
        <v>0</v>
      </c>
      <c r="BA257" s="240">
        <f>SUM(BA254:BA256)</f>
        <v>0</v>
      </c>
      <c r="BB257" s="240">
        <f>SUM(AZ257:BA257)</f>
        <v>0</v>
      </c>
      <c r="BC257" s="242">
        <f>(BB257+1)/(AI257+1)</f>
        <v>1</v>
      </c>
      <c r="BD257" s="98"/>
      <c r="BE257" s="98"/>
    </row>
    <row r="258" spans="29:57" ht="18" customHeight="1" x14ac:dyDescent="0.2">
      <c r="AC258" s="212" t="s">
        <v>333</v>
      </c>
      <c r="AD258" s="15"/>
      <c r="AE258" s="23"/>
      <c r="AF258" s="16"/>
      <c r="AG258" s="15"/>
      <c r="AH258" s="15"/>
      <c r="AI258" s="15"/>
      <c r="AJ258" s="15"/>
      <c r="AK258" s="15"/>
      <c r="AL258" s="22"/>
      <c r="AM258" s="213"/>
      <c r="AN258" s="23"/>
      <c r="AO258" s="23"/>
      <c r="AP258" s="7"/>
      <c r="AQ258" s="15"/>
      <c r="AR258" s="15"/>
      <c r="AS258" s="7"/>
      <c r="AT258" s="15"/>
      <c r="AU258" s="15"/>
      <c r="AV258" s="7"/>
      <c r="AW258" s="15"/>
      <c r="AX258" s="15"/>
      <c r="AY258" s="214"/>
      <c r="AZ258" s="215"/>
      <c r="BA258" s="10"/>
      <c r="BB258" s="7"/>
      <c r="BC258" s="7"/>
      <c r="BD258" s="7"/>
      <c r="BE258" s="7"/>
    </row>
    <row r="259" spans="29:57" ht="18" customHeight="1" x14ac:dyDescent="0.2">
      <c r="AC259" s="216" t="s">
        <v>271</v>
      </c>
      <c r="AD259" s="217"/>
      <c r="AE259" s="217"/>
      <c r="AF259" s="218"/>
      <c r="AG259" s="218"/>
      <c r="AH259" s="219"/>
      <c r="AI259" s="218"/>
      <c r="AJ259" s="218"/>
      <c r="AK259" s="218"/>
      <c r="AL259" s="218"/>
      <c r="AM259" s="220" t="e">
        <f>SUM(AJ259:AL259)/AH259</f>
        <v>#DIV/0!</v>
      </c>
      <c r="AN259" s="218"/>
      <c r="AO259" s="218"/>
      <c r="AP259" s="221" t="e">
        <f>SUM(AN259:AO259)/AI259</f>
        <v>#DIV/0!</v>
      </c>
      <c r="AQ259" s="218"/>
      <c r="AR259" s="218"/>
      <c r="AS259" s="221" t="e">
        <f>(AQ259+AR259)/$AG259</f>
        <v>#DIV/0!</v>
      </c>
      <c r="AT259" s="218"/>
      <c r="AU259" s="218"/>
      <c r="AV259" s="221" t="e">
        <f>(AT259+AU259)/$AG259</f>
        <v>#DIV/0!</v>
      </c>
      <c r="AW259" s="218"/>
      <c r="AX259" s="218"/>
      <c r="AY259" s="221" t="e">
        <f>(AW259+AX259)/$AG259</f>
        <v>#DIV/0!</v>
      </c>
      <c r="AZ259" s="222">
        <f>SUM(AN259,AQ259,AT259,AW259)</f>
        <v>0</v>
      </c>
      <c r="BA259" s="222">
        <f>SUM(AO259,AR259,AU259,AX259)</f>
        <v>0</v>
      </c>
      <c r="BB259" s="222">
        <f>SUM(AZ259:BA259)</f>
        <v>0</v>
      </c>
      <c r="BC259" s="221">
        <f>(BB259+1)/(AI259+1)</f>
        <v>1</v>
      </c>
      <c r="BD259" s="223"/>
      <c r="BE259" s="223"/>
    </row>
    <row r="260" spans="29:57" ht="18" customHeight="1" x14ac:dyDescent="0.2">
      <c r="AC260" s="224" t="s">
        <v>273</v>
      </c>
      <c r="AD260" s="225"/>
      <c r="AE260" s="225"/>
      <c r="AF260" s="226"/>
      <c r="AG260" s="226"/>
      <c r="AH260" s="227"/>
      <c r="AI260" s="226"/>
      <c r="AJ260" s="226"/>
      <c r="AK260" s="226"/>
      <c r="AL260" s="226"/>
      <c r="AM260" s="228" t="e">
        <f t="shared" ref="AM260:AM261" si="392">SUM(AJ260:AL260)/AH260</f>
        <v>#DIV/0!</v>
      </c>
      <c r="AN260" s="226"/>
      <c r="AO260" s="226"/>
      <c r="AP260" s="229" t="e">
        <f t="shared" ref="AP260:AP261" si="393">SUM(AN260:AO260)/AI260</f>
        <v>#DIV/0!</v>
      </c>
      <c r="AQ260" s="226"/>
      <c r="AR260" s="226"/>
      <c r="AS260" s="229" t="e">
        <f>(AQ260+AR260)/$AG260</f>
        <v>#DIV/0!</v>
      </c>
      <c r="AT260" s="226"/>
      <c r="AU260" s="226"/>
      <c r="AV260" s="229" t="e">
        <f>(AT260+AU260)/$AG260</f>
        <v>#DIV/0!</v>
      </c>
      <c r="AW260" s="226"/>
      <c r="AX260" s="226"/>
      <c r="AY260" s="229" t="e">
        <f>(AW260+AX260)/$AG260</f>
        <v>#DIV/0!</v>
      </c>
      <c r="AZ260" s="230">
        <f t="shared" ref="AZ260:BA261" si="394">SUM(AN260,AQ260,AT260,AW260)</f>
        <v>0</v>
      </c>
      <c r="BA260" s="230">
        <f t="shared" si="394"/>
        <v>0</v>
      </c>
      <c r="BB260" s="230">
        <f t="shared" ref="BB260:BB261" si="395">SUM(AZ260:BA260)</f>
        <v>0</v>
      </c>
      <c r="BC260" s="229">
        <f t="shared" ref="BC260:BC261" si="396">(BB260+1)/(AI260+1)</f>
        <v>1</v>
      </c>
      <c r="BD260" s="231"/>
      <c r="BE260" s="231"/>
    </row>
    <row r="261" spans="29:57" ht="18" customHeight="1" x14ac:dyDescent="0.2">
      <c r="AC261" s="232" t="s">
        <v>275</v>
      </c>
      <c r="AD261" s="233"/>
      <c r="AE261" s="233"/>
      <c r="AF261" s="234"/>
      <c r="AG261" s="234"/>
      <c r="AH261" s="235"/>
      <c r="AI261" s="234"/>
      <c r="AJ261" s="234"/>
      <c r="AK261" s="234"/>
      <c r="AL261" s="234"/>
      <c r="AM261" s="236" t="e">
        <f t="shared" si="392"/>
        <v>#DIV/0!</v>
      </c>
      <c r="AN261" s="234"/>
      <c r="AO261" s="234"/>
      <c r="AP261" s="237" t="e">
        <f t="shared" si="393"/>
        <v>#DIV/0!</v>
      </c>
      <c r="AQ261" s="234"/>
      <c r="AR261" s="234"/>
      <c r="AS261" s="237" t="e">
        <f>(AQ261+AR261)/$AG261</f>
        <v>#DIV/0!</v>
      </c>
      <c r="AT261" s="234"/>
      <c r="AU261" s="234"/>
      <c r="AV261" s="237" t="e">
        <f>(AT261+AU261)/$AG261</f>
        <v>#DIV/0!</v>
      </c>
      <c r="AW261" s="234"/>
      <c r="AX261" s="234"/>
      <c r="AY261" s="237" t="e">
        <f>(AW261+AX261)/$AG261</f>
        <v>#DIV/0!</v>
      </c>
      <c r="AZ261" s="238">
        <f t="shared" si="394"/>
        <v>0</v>
      </c>
      <c r="BA261" s="238">
        <f t="shared" si="394"/>
        <v>0</v>
      </c>
      <c r="BB261" s="238">
        <f t="shared" si="395"/>
        <v>0</v>
      </c>
      <c r="BC261" s="237">
        <f t="shared" si="396"/>
        <v>1</v>
      </c>
      <c r="BD261" s="239"/>
      <c r="BE261" s="239"/>
    </row>
    <row r="262" spans="29:57" ht="18" customHeight="1" x14ac:dyDescent="0.2">
      <c r="AC262" s="7"/>
      <c r="AG262" s="240">
        <f>SUM(AG259:AG261)</f>
        <v>0</v>
      </c>
      <c r="AH262" s="240">
        <f>SUM(AH259:AH261)</f>
        <v>0</v>
      </c>
      <c r="AI262" s="240">
        <f t="shared" ref="AI262:AL262" si="397">SUM(AI259:AI261)</f>
        <v>0</v>
      </c>
      <c r="AJ262" s="240">
        <f t="shared" si="397"/>
        <v>0</v>
      </c>
      <c r="AK262" s="240">
        <f t="shared" si="397"/>
        <v>0</v>
      </c>
      <c r="AL262" s="240">
        <f t="shared" si="397"/>
        <v>0</v>
      </c>
      <c r="AM262" s="135"/>
      <c r="AN262" s="240">
        <f>SUM(AN259:AN261)</f>
        <v>0</v>
      </c>
      <c r="AO262" s="240">
        <f>SUM(AO259:AO261)</f>
        <v>0</v>
      </c>
      <c r="AP262" s="241"/>
      <c r="AQ262" s="240">
        <f>SUM(AQ259:AQ261)</f>
        <v>0</v>
      </c>
      <c r="AR262" s="240">
        <f>SUM(AR259:AR261)</f>
        <v>0</v>
      </c>
      <c r="AS262" s="241"/>
      <c r="AT262" s="240">
        <f>SUM(AT259:AT261)</f>
        <v>0</v>
      </c>
      <c r="AU262" s="240">
        <f>SUM(AU259:AU261)</f>
        <v>0</v>
      </c>
      <c r="AV262" s="241"/>
      <c r="AW262" s="240">
        <f>SUM(AW259:AW261)</f>
        <v>0</v>
      </c>
      <c r="AX262" s="240">
        <f>SUM(AX259:AX261)</f>
        <v>0</v>
      </c>
      <c r="AY262" s="241"/>
      <c r="AZ262" s="240">
        <f>SUM(AZ259:AZ261)</f>
        <v>0</v>
      </c>
      <c r="BA262" s="240">
        <f>SUM(BA259:BA261)</f>
        <v>0</v>
      </c>
      <c r="BB262" s="240">
        <f>SUM(AZ262:BA262)</f>
        <v>0</v>
      </c>
      <c r="BC262" s="242">
        <f>(BB262+1)/(AI262+1)</f>
        <v>1</v>
      </c>
      <c r="BD262" s="98"/>
      <c r="BE262" s="98"/>
    </row>
    <row r="263" spans="29:57" ht="18" customHeight="1" x14ac:dyDescent="0.2">
      <c r="AC263" s="212" t="s">
        <v>334</v>
      </c>
      <c r="AD263" s="15"/>
      <c r="AE263" s="23"/>
      <c r="AF263" s="16"/>
      <c r="AG263" s="15"/>
      <c r="AH263" s="15"/>
      <c r="AI263" s="15"/>
      <c r="AJ263" s="15"/>
      <c r="AK263" s="15"/>
      <c r="AL263" s="22"/>
      <c r="AM263" s="213"/>
      <c r="AN263" s="23"/>
      <c r="AO263" s="23"/>
      <c r="AP263" s="7"/>
      <c r="AQ263" s="15"/>
      <c r="AR263" s="15"/>
      <c r="AS263" s="7"/>
      <c r="AT263" s="15"/>
      <c r="AU263" s="15"/>
      <c r="AV263" s="7"/>
      <c r="AW263" s="15"/>
      <c r="AX263" s="15"/>
      <c r="AY263" s="214"/>
      <c r="AZ263" s="215"/>
      <c r="BA263" s="10"/>
      <c r="BB263" s="7"/>
      <c r="BC263" s="7"/>
      <c r="BD263" s="7"/>
      <c r="BE263" s="7"/>
    </row>
    <row r="264" spans="29:57" ht="18" customHeight="1" x14ac:dyDescent="0.2">
      <c r="AC264" s="216" t="s">
        <v>271</v>
      </c>
      <c r="AD264" s="217"/>
      <c r="AE264" s="217"/>
      <c r="AF264" s="218"/>
      <c r="AG264" s="218"/>
      <c r="AH264" s="219"/>
      <c r="AI264" s="218"/>
      <c r="AJ264" s="218"/>
      <c r="AK264" s="218"/>
      <c r="AL264" s="218"/>
      <c r="AM264" s="220" t="e">
        <f>SUM(AJ264:AL264)/AH264</f>
        <v>#DIV/0!</v>
      </c>
      <c r="AN264" s="218"/>
      <c r="AO264" s="218"/>
      <c r="AP264" s="221" t="e">
        <f>SUM(AN264:AO264)/AI264</f>
        <v>#DIV/0!</v>
      </c>
      <c r="AQ264" s="218"/>
      <c r="AR264" s="218"/>
      <c r="AS264" s="221" t="e">
        <f>(AQ264+AR264)/$AG264</f>
        <v>#DIV/0!</v>
      </c>
      <c r="AT264" s="218"/>
      <c r="AU264" s="218"/>
      <c r="AV264" s="221" t="e">
        <f>(AT264+AU264)/$AG264</f>
        <v>#DIV/0!</v>
      </c>
      <c r="AW264" s="218"/>
      <c r="AX264" s="218"/>
      <c r="AY264" s="221" t="e">
        <f>(AW264+AX264)/$AG264</f>
        <v>#DIV/0!</v>
      </c>
      <c r="AZ264" s="222">
        <f>SUM(AN264,AQ264,AT264,AW264)</f>
        <v>0</v>
      </c>
      <c r="BA264" s="222">
        <f>SUM(AO264,AR264,AU264,AX264)</f>
        <v>0</v>
      </c>
      <c r="BB264" s="222">
        <f>SUM(AZ264:BA264)</f>
        <v>0</v>
      </c>
      <c r="BC264" s="221">
        <f>(BB264+1)/(AI264+1)</f>
        <v>1</v>
      </c>
      <c r="BD264" s="223"/>
      <c r="BE264" s="223"/>
    </row>
    <row r="265" spans="29:57" ht="18" customHeight="1" x14ac:dyDescent="0.2">
      <c r="AC265" s="224" t="s">
        <v>273</v>
      </c>
      <c r="AD265" s="225"/>
      <c r="AE265" s="225"/>
      <c r="AF265" s="226"/>
      <c r="AG265" s="226"/>
      <c r="AH265" s="227"/>
      <c r="AI265" s="226"/>
      <c r="AJ265" s="226"/>
      <c r="AK265" s="226"/>
      <c r="AL265" s="226"/>
      <c r="AM265" s="228" t="e">
        <f t="shared" ref="AM265:AM266" si="398">SUM(AJ265:AL265)/AH265</f>
        <v>#DIV/0!</v>
      </c>
      <c r="AN265" s="226"/>
      <c r="AO265" s="226"/>
      <c r="AP265" s="229" t="e">
        <f t="shared" ref="AP265:AP266" si="399">SUM(AN265:AO265)/AI265</f>
        <v>#DIV/0!</v>
      </c>
      <c r="AQ265" s="226"/>
      <c r="AR265" s="226"/>
      <c r="AS265" s="229" t="e">
        <f>(AQ265+AR265)/$AG265</f>
        <v>#DIV/0!</v>
      </c>
      <c r="AT265" s="226"/>
      <c r="AU265" s="226"/>
      <c r="AV265" s="229" t="e">
        <f>(AT265+AU265)/$AG265</f>
        <v>#DIV/0!</v>
      </c>
      <c r="AW265" s="226"/>
      <c r="AX265" s="226"/>
      <c r="AY265" s="229" t="e">
        <f>(AW265+AX265)/$AG265</f>
        <v>#DIV/0!</v>
      </c>
      <c r="AZ265" s="230">
        <f t="shared" ref="AZ265:BA266" si="400">SUM(AN265,AQ265,AT265,AW265)</f>
        <v>0</v>
      </c>
      <c r="BA265" s="230">
        <f t="shared" si="400"/>
        <v>0</v>
      </c>
      <c r="BB265" s="230">
        <f t="shared" ref="BB265:BB266" si="401">SUM(AZ265:BA265)</f>
        <v>0</v>
      </c>
      <c r="BC265" s="229">
        <f t="shared" ref="BC265:BC266" si="402">(BB265+1)/(AI265+1)</f>
        <v>1</v>
      </c>
      <c r="BD265" s="231"/>
      <c r="BE265" s="231"/>
    </row>
    <row r="266" spans="29:57" ht="18" customHeight="1" x14ac:dyDescent="0.2">
      <c r="AC266" s="232" t="s">
        <v>275</v>
      </c>
      <c r="AD266" s="233"/>
      <c r="AE266" s="233"/>
      <c r="AF266" s="234"/>
      <c r="AG266" s="234"/>
      <c r="AH266" s="235"/>
      <c r="AI266" s="234"/>
      <c r="AJ266" s="234"/>
      <c r="AK266" s="234"/>
      <c r="AL266" s="234"/>
      <c r="AM266" s="236" t="e">
        <f t="shared" si="398"/>
        <v>#DIV/0!</v>
      </c>
      <c r="AN266" s="234"/>
      <c r="AO266" s="234"/>
      <c r="AP266" s="237" t="e">
        <f t="shared" si="399"/>
        <v>#DIV/0!</v>
      </c>
      <c r="AQ266" s="234"/>
      <c r="AR266" s="234"/>
      <c r="AS266" s="237" t="e">
        <f>(AQ266+AR266)/$AG266</f>
        <v>#DIV/0!</v>
      </c>
      <c r="AT266" s="234"/>
      <c r="AU266" s="234"/>
      <c r="AV266" s="237" t="e">
        <f>(AT266+AU266)/$AG266</f>
        <v>#DIV/0!</v>
      </c>
      <c r="AW266" s="234"/>
      <c r="AX266" s="234"/>
      <c r="AY266" s="237" t="e">
        <f>(AW266+AX266)/$AG266</f>
        <v>#DIV/0!</v>
      </c>
      <c r="AZ266" s="238">
        <f t="shared" si="400"/>
        <v>0</v>
      </c>
      <c r="BA266" s="238">
        <f t="shared" si="400"/>
        <v>0</v>
      </c>
      <c r="BB266" s="238">
        <f t="shared" si="401"/>
        <v>0</v>
      </c>
      <c r="BC266" s="237">
        <f t="shared" si="402"/>
        <v>1</v>
      </c>
      <c r="BD266" s="239"/>
      <c r="BE266" s="239"/>
    </row>
    <row r="267" spans="29:57" ht="18" customHeight="1" x14ac:dyDescent="0.2">
      <c r="AC267" s="7"/>
      <c r="AG267" s="240">
        <f>SUM(AG264:AG266)</f>
        <v>0</v>
      </c>
      <c r="AH267" s="240">
        <f>SUM(AH264:AH266)</f>
        <v>0</v>
      </c>
      <c r="AI267" s="240">
        <f t="shared" ref="AI267:AL267" si="403">SUM(AI264:AI266)</f>
        <v>0</v>
      </c>
      <c r="AJ267" s="240">
        <f t="shared" si="403"/>
        <v>0</v>
      </c>
      <c r="AK267" s="240">
        <f t="shared" si="403"/>
        <v>0</v>
      </c>
      <c r="AL267" s="240">
        <f t="shared" si="403"/>
        <v>0</v>
      </c>
      <c r="AM267" s="135"/>
      <c r="AN267" s="240">
        <f>SUM(AN264:AN266)</f>
        <v>0</v>
      </c>
      <c r="AO267" s="240">
        <f>SUM(AO264:AO266)</f>
        <v>0</v>
      </c>
      <c r="AP267" s="241"/>
      <c r="AQ267" s="240">
        <f>SUM(AQ264:AQ266)</f>
        <v>0</v>
      </c>
      <c r="AR267" s="240">
        <f>SUM(AR264:AR266)</f>
        <v>0</v>
      </c>
      <c r="AS267" s="241"/>
      <c r="AT267" s="240">
        <f>SUM(AT264:AT266)</f>
        <v>0</v>
      </c>
      <c r="AU267" s="240">
        <f>SUM(AU264:AU266)</f>
        <v>0</v>
      </c>
      <c r="AV267" s="241"/>
      <c r="AW267" s="240">
        <f>SUM(AW264:AW266)</f>
        <v>0</v>
      </c>
      <c r="AX267" s="240">
        <f>SUM(AX264:AX266)</f>
        <v>0</v>
      </c>
      <c r="AY267" s="241"/>
      <c r="AZ267" s="240">
        <f>SUM(AZ264:AZ266)</f>
        <v>0</v>
      </c>
      <c r="BA267" s="240">
        <f>SUM(BA264:BA266)</f>
        <v>0</v>
      </c>
      <c r="BB267" s="240">
        <f>SUM(AZ267:BA267)</f>
        <v>0</v>
      </c>
      <c r="BC267" s="242">
        <f>(BB267+1)/(AI267+1)</f>
        <v>1</v>
      </c>
      <c r="BD267" s="98"/>
      <c r="BE267" s="98"/>
    </row>
    <row r="268" spans="29:57" ht="18" customHeight="1" x14ac:dyDescent="0.2">
      <c r="AC268" s="212" t="s">
        <v>335</v>
      </c>
      <c r="AD268" s="15"/>
      <c r="AE268" s="23"/>
      <c r="AF268" s="16"/>
      <c r="AG268" s="15"/>
      <c r="AH268" s="15"/>
      <c r="AI268" s="15"/>
      <c r="AJ268" s="15"/>
      <c r="AK268" s="15"/>
      <c r="AL268" s="22"/>
      <c r="AM268" s="213"/>
      <c r="AN268" s="23"/>
      <c r="AO268" s="23"/>
      <c r="AP268" s="7"/>
      <c r="AQ268" s="15"/>
      <c r="AR268" s="15"/>
      <c r="AS268" s="7"/>
      <c r="AT268" s="15"/>
      <c r="AU268" s="15"/>
      <c r="AV268" s="7"/>
      <c r="AW268" s="15"/>
      <c r="AX268" s="15"/>
      <c r="AY268" s="214"/>
      <c r="AZ268" s="215"/>
      <c r="BA268" s="10"/>
      <c r="BB268" s="7"/>
      <c r="BC268" s="7"/>
      <c r="BD268" s="7"/>
      <c r="BE268" s="7"/>
    </row>
    <row r="269" spans="29:57" ht="18" customHeight="1" x14ac:dyDescent="0.2">
      <c r="AC269" s="216" t="s">
        <v>271</v>
      </c>
      <c r="AD269" s="217"/>
      <c r="AE269" s="217"/>
      <c r="AF269" s="218"/>
      <c r="AG269" s="218"/>
      <c r="AH269" s="219"/>
      <c r="AI269" s="218"/>
      <c r="AJ269" s="218"/>
      <c r="AK269" s="218"/>
      <c r="AL269" s="218"/>
      <c r="AM269" s="220" t="e">
        <f>SUM(AJ269:AL269)/AH269</f>
        <v>#DIV/0!</v>
      </c>
      <c r="AN269" s="218"/>
      <c r="AO269" s="218"/>
      <c r="AP269" s="221" t="e">
        <f>SUM(AN269:AO269)/AI269</f>
        <v>#DIV/0!</v>
      </c>
      <c r="AQ269" s="218"/>
      <c r="AR269" s="218"/>
      <c r="AS269" s="221" t="e">
        <f>(AQ269+AR269)/$AG269</f>
        <v>#DIV/0!</v>
      </c>
      <c r="AT269" s="218"/>
      <c r="AU269" s="218"/>
      <c r="AV269" s="221" t="e">
        <f>(AT269+AU269)/$AG269</f>
        <v>#DIV/0!</v>
      </c>
      <c r="AW269" s="218"/>
      <c r="AX269" s="218"/>
      <c r="AY269" s="221" t="e">
        <f>(AW269+AX269)/$AG269</f>
        <v>#DIV/0!</v>
      </c>
      <c r="AZ269" s="222">
        <f>SUM(AN269,AQ269,AT269,AW269)</f>
        <v>0</v>
      </c>
      <c r="BA269" s="222">
        <f>SUM(AO269,AR269,AU269,AX269)</f>
        <v>0</v>
      </c>
      <c r="BB269" s="222">
        <f>SUM(AZ269:BA269)</f>
        <v>0</v>
      </c>
      <c r="BC269" s="221">
        <f>(BB269+1)/(AI269+1)</f>
        <v>1</v>
      </c>
      <c r="BD269" s="223"/>
      <c r="BE269" s="223"/>
    </row>
    <row r="270" spans="29:57" ht="18" customHeight="1" x14ac:dyDescent="0.2">
      <c r="AC270" s="224" t="s">
        <v>273</v>
      </c>
      <c r="AD270" s="225"/>
      <c r="AE270" s="225"/>
      <c r="AF270" s="226"/>
      <c r="AG270" s="226"/>
      <c r="AH270" s="227"/>
      <c r="AI270" s="226"/>
      <c r="AJ270" s="226"/>
      <c r="AK270" s="226"/>
      <c r="AL270" s="226"/>
      <c r="AM270" s="228" t="e">
        <f t="shared" ref="AM270:AM271" si="404">SUM(AJ270:AL270)/AH270</f>
        <v>#DIV/0!</v>
      </c>
      <c r="AN270" s="226"/>
      <c r="AO270" s="226"/>
      <c r="AP270" s="229" t="e">
        <f t="shared" ref="AP270:AP271" si="405">SUM(AN270:AO270)/AI270</f>
        <v>#DIV/0!</v>
      </c>
      <c r="AQ270" s="226"/>
      <c r="AR270" s="226"/>
      <c r="AS270" s="229" t="e">
        <f>(AQ270+AR270)/$AG270</f>
        <v>#DIV/0!</v>
      </c>
      <c r="AT270" s="226"/>
      <c r="AU270" s="226"/>
      <c r="AV270" s="229" t="e">
        <f>(AT270+AU270)/$AG270</f>
        <v>#DIV/0!</v>
      </c>
      <c r="AW270" s="226"/>
      <c r="AX270" s="226"/>
      <c r="AY270" s="229" t="e">
        <f>(AW270+AX270)/$AG270</f>
        <v>#DIV/0!</v>
      </c>
      <c r="AZ270" s="230">
        <f t="shared" ref="AZ270:BA271" si="406">SUM(AN270,AQ270,AT270,AW270)</f>
        <v>0</v>
      </c>
      <c r="BA270" s="230">
        <f t="shared" si="406"/>
        <v>0</v>
      </c>
      <c r="BB270" s="230">
        <f t="shared" ref="BB270:BB271" si="407">SUM(AZ270:BA270)</f>
        <v>0</v>
      </c>
      <c r="BC270" s="229">
        <f t="shared" ref="BC270:BC271" si="408">(BB270+1)/(AI270+1)</f>
        <v>1</v>
      </c>
      <c r="BD270" s="231"/>
      <c r="BE270" s="231"/>
    </row>
    <row r="271" spans="29:57" ht="18" customHeight="1" x14ac:dyDescent="0.2">
      <c r="AC271" s="232" t="s">
        <v>275</v>
      </c>
      <c r="AD271" s="233"/>
      <c r="AE271" s="233"/>
      <c r="AF271" s="234"/>
      <c r="AG271" s="234"/>
      <c r="AH271" s="235"/>
      <c r="AI271" s="234"/>
      <c r="AJ271" s="234"/>
      <c r="AK271" s="234"/>
      <c r="AL271" s="234"/>
      <c r="AM271" s="236" t="e">
        <f t="shared" si="404"/>
        <v>#DIV/0!</v>
      </c>
      <c r="AN271" s="234"/>
      <c r="AO271" s="234"/>
      <c r="AP271" s="237" t="e">
        <f t="shared" si="405"/>
        <v>#DIV/0!</v>
      </c>
      <c r="AQ271" s="234"/>
      <c r="AR271" s="234"/>
      <c r="AS271" s="237" t="e">
        <f>(AQ271+AR271)/$AG271</f>
        <v>#DIV/0!</v>
      </c>
      <c r="AT271" s="234"/>
      <c r="AU271" s="234"/>
      <c r="AV271" s="237" t="e">
        <f>(AT271+AU271)/$AG271</f>
        <v>#DIV/0!</v>
      </c>
      <c r="AW271" s="234"/>
      <c r="AX271" s="234"/>
      <c r="AY271" s="237" t="e">
        <f>(AW271+AX271)/$AG271</f>
        <v>#DIV/0!</v>
      </c>
      <c r="AZ271" s="238">
        <f t="shared" si="406"/>
        <v>0</v>
      </c>
      <c r="BA271" s="238">
        <f t="shared" si="406"/>
        <v>0</v>
      </c>
      <c r="BB271" s="238">
        <f t="shared" si="407"/>
        <v>0</v>
      </c>
      <c r="BC271" s="237">
        <f t="shared" si="408"/>
        <v>1</v>
      </c>
      <c r="BD271" s="239"/>
      <c r="BE271" s="239"/>
    </row>
    <row r="272" spans="29:57" ht="18" customHeight="1" x14ac:dyDescent="0.2">
      <c r="AC272" s="7"/>
      <c r="AG272" s="240">
        <f>SUM(AG269:AG271)</f>
        <v>0</v>
      </c>
      <c r="AH272" s="240">
        <f>SUM(AH269:AH271)</f>
        <v>0</v>
      </c>
      <c r="AI272" s="240">
        <f t="shared" ref="AI272:AL272" si="409">SUM(AI269:AI271)</f>
        <v>0</v>
      </c>
      <c r="AJ272" s="240">
        <f t="shared" si="409"/>
        <v>0</v>
      </c>
      <c r="AK272" s="240">
        <f t="shared" si="409"/>
        <v>0</v>
      </c>
      <c r="AL272" s="240">
        <f t="shared" si="409"/>
        <v>0</v>
      </c>
      <c r="AM272" s="135"/>
      <c r="AN272" s="240">
        <f>SUM(AN269:AN271)</f>
        <v>0</v>
      </c>
      <c r="AO272" s="240">
        <f>SUM(AO269:AO271)</f>
        <v>0</v>
      </c>
      <c r="AP272" s="241"/>
      <c r="AQ272" s="240">
        <f>SUM(AQ269:AQ271)</f>
        <v>0</v>
      </c>
      <c r="AR272" s="240">
        <f>SUM(AR269:AR271)</f>
        <v>0</v>
      </c>
      <c r="AS272" s="241"/>
      <c r="AT272" s="240">
        <f>SUM(AT269:AT271)</f>
        <v>0</v>
      </c>
      <c r="AU272" s="240">
        <f>SUM(AU269:AU271)</f>
        <v>0</v>
      </c>
      <c r="AV272" s="241"/>
      <c r="AW272" s="240">
        <f>SUM(AW269:AW271)</f>
        <v>0</v>
      </c>
      <c r="AX272" s="240">
        <f>SUM(AX269:AX271)</f>
        <v>0</v>
      </c>
      <c r="AY272" s="241"/>
      <c r="AZ272" s="240">
        <f>SUM(AZ269:AZ271)</f>
        <v>0</v>
      </c>
      <c r="BA272" s="240">
        <f>SUM(BA269:BA271)</f>
        <v>0</v>
      </c>
      <c r="BB272" s="240">
        <f>SUM(AZ272:BA272)</f>
        <v>0</v>
      </c>
      <c r="BC272" s="242">
        <f>(BB272+1)/(AI272+1)</f>
        <v>1</v>
      </c>
      <c r="BD272" s="98"/>
      <c r="BE272" s="98"/>
    </row>
    <row r="273" spans="29:57" ht="18" customHeight="1" x14ac:dyDescent="0.2">
      <c r="AC273" s="212" t="s">
        <v>336</v>
      </c>
      <c r="AD273" s="15"/>
      <c r="AE273" s="23"/>
      <c r="AF273" s="16"/>
      <c r="AG273" s="15"/>
      <c r="AH273" s="15"/>
      <c r="AI273" s="15"/>
      <c r="AJ273" s="15"/>
      <c r="AK273" s="15"/>
      <c r="AL273" s="22"/>
      <c r="AM273" s="213"/>
      <c r="AN273" s="23"/>
      <c r="AO273" s="23"/>
      <c r="AP273" s="7"/>
      <c r="AQ273" s="15"/>
      <c r="AR273" s="15"/>
      <c r="AS273" s="7"/>
      <c r="AT273" s="15"/>
      <c r="AU273" s="15"/>
      <c r="AV273" s="7"/>
      <c r="AW273" s="15"/>
      <c r="AX273" s="15"/>
      <c r="AY273" s="214"/>
      <c r="AZ273" s="215"/>
      <c r="BA273" s="10"/>
      <c r="BB273" s="7"/>
      <c r="BC273" s="7"/>
      <c r="BD273" s="7"/>
      <c r="BE273" s="7"/>
    </row>
    <row r="274" spans="29:57" ht="18" customHeight="1" x14ac:dyDescent="0.2">
      <c r="AC274" s="216" t="s">
        <v>271</v>
      </c>
      <c r="AD274" s="403"/>
      <c r="AE274" s="400"/>
      <c r="AF274" s="406"/>
      <c r="AG274" s="218"/>
      <c r="AH274" s="219"/>
      <c r="AI274" s="218"/>
      <c r="AJ274" s="218"/>
      <c r="AK274" s="218"/>
      <c r="AL274" s="218"/>
      <c r="AM274" s="220" t="e">
        <f>SUM(AJ274:AL274)/AH274</f>
        <v>#DIV/0!</v>
      </c>
      <c r="AN274" s="218"/>
      <c r="AO274" s="218"/>
      <c r="AP274" s="221" t="e">
        <f>SUM(AN274:AO274)/AI274</f>
        <v>#DIV/0!</v>
      </c>
      <c r="AQ274" s="218"/>
      <c r="AR274" s="218"/>
      <c r="AS274" s="221" t="e">
        <f>(AQ274+AR274)/$AG274</f>
        <v>#DIV/0!</v>
      </c>
      <c r="AT274" s="218"/>
      <c r="AU274" s="218"/>
      <c r="AV274" s="221" t="e">
        <f>(AT274+AU274)/$AG274</f>
        <v>#DIV/0!</v>
      </c>
      <c r="AW274" s="218"/>
      <c r="AX274" s="218"/>
      <c r="AY274" s="221" t="e">
        <f>(AW274+AX274)/$AG274</f>
        <v>#DIV/0!</v>
      </c>
      <c r="AZ274" s="222">
        <f>SUM(AN274,AQ274,AT274,AW274)</f>
        <v>0</v>
      </c>
      <c r="BA274" s="222">
        <f>SUM(AO274,AR274,AU274,AX274)</f>
        <v>0</v>
      </c>
      <c r="BB274" s="222">
        <f>SUM(AZ274:BA274)</f>
        <v>0</v>
      </c>
      <c r="BC274" s="221">
        <f>(BB274+1)/(AI274+1)</f>
        <v>1</v>
      </c>
      <c r="BD274" s="223"/>
      <c r="BE274" s="223"/>
    </row>
    <row r="275" spans="29:57" ht="18" customHeight="1" x14ac:dyDescent="0.2">
      <c r="AC275" s="224" t="s">
        <v>273</v>
      </c>
      <c r="AD275" s="404"/>
      <c r="AE275" s="401"/>
      <c r="AF275" s="407"/>
      <c r="AG275" s="226"/>
      <c r="AH275" s="227"/>
      <c r="AI275" s="226"/>
      <c r="AJ275" s="226"/>
      <c r="AK275" s="226"/>
      <c r="AL275" s="226"/>
      <c r="AM275" s="228" t="e">
        <f t="shared" ref="AM275:AM276" si="410">SUM(AJ275:AL275)/AH275</f>
        <v>#DIV/0!</v>
      </c>
      <c r="AN275" s="226"/>
      <c r="AO275" s="226"/>
      <c r="AP275" s="229" t="e">
        <f t="shared" ref="AP275:AP276" si="411">SUM(AN275:AO275)/AI275</f>
        <v>#DIV/0!</v>
      </c>
      <c r="AQ275" s="226"/>
      <c r="AR275" s="226"/>
      <c r="AS275" s="229" t="e">
        <f>(AQ275+AR275)/$AG275</f>
        <v>#DIV/0!</v>
      </c>
      <c r="AT275" s="226"/>
      <c r="AU275" s="226"/>
      <c r="AV275" s="229" t="e">
        <f>(AT275+AU275)/$AG275</f>
        <v>#DIV/0!</v>
      </c>
      <c r="AW275" s="226"/>
      <c r="AX275" s="226"/>
      <c r="AY275" s="229" t="e">
        <f>(AW275+AX275)/$AG275</f>
        <v>#DIV/0!</v>
      </c>
      <c r="AZ275" s="230">
        <f t="shared" ref="AZ275:BA276" si="412">SUM(AN275,AQ275,AT275,AW275)</f>
        <v>0</v>
      </c>
      <c r="BA275" s="230">
        <f t="shared" si="412"/>
        <v>0</v>
      </c>
      <c r="BB275" s="230">
        <f t="shared" ref="BB275:BB276" si="413">SUM(AZ275:BA275)</f>
        <v>0</v>
      </c>
      <c r="BC275" s="229">
        <f t="shared" ref="BC275:BC276" si="414">(BB275+1)/(AI275+1)</f>
        <v>1</v>
      </c>
      <c r="BD275" s="231"/>
      <c r="BE275" s="231"/>
    </row>
    <row r="276" spans="29:57" ht="18" customHeight="1" x14ac:dyDescent="0.2">
      <c r="AC276" s="232" t="s">
        <v>275</v>
      </c>
      <c r="AD276" s="405"/>
      <c r="AE276" s="402"/>
      <c r="AF276" s="408"/>
      <c r="AG276" s="234"/>
      <c r="AH276" s="235"/>
      <c r="AI276" s="234"/>
      <c r="AJ276" s="234"/>
      <c r="AK276" s="234"/>
      <c r="AL276" s="234"/>
      <c r="AM276" s="236" t="e">
        <f t="shared" si="410"/>
        <v>#DIV/0!</v>
      </c>
      <c r="AN276" s="234"/>
      <c r="AO276" s="234"/>
      <c r="AP276" s="237" t="e">
        <f t="shared" si="411"/>
        <v>#DIV/0!</v>
      </c>
      <c r="AQ276" s="234"/>
      <c r="AR276" s="234"/>
      <c r="AS276" s="237" t="e">
        <f>(AQ276+AR276)/$AG276</f>
        <v>#DIV/0!</v>
      </c>
      <c r="AT276" s="234"/>
      <c r="AU276" s="234"/>
      <c r="AV276" s="237" t="e">
        <f>(AT276+AU276)/$AG276</f>
        <v>#DIV/0!</v>
      </c>
      <c r="AW276" s="234"/>
      <c r="AX276" s="234"/>
      <c r="AY276" s="237" t="e">
        <f>(AW276+AX276)/$AG276</f>
        <v>#DIV/0!</v>
      </c>
      <c r="AZ276" s="238">
        <f t="shared" si="412"/>
        <v>0</v>
      </c>
      <c r="BA276" s="238">
        <f t="shared" si="412"/>
        <v>0</v>
      </c>
      <c r="BB276" s="238">
        <f t="shared" si="413"/>
        <v>0</v>
      </c>
      <c r="BC276" s="237">
        <f t="shared" si="414"/>
        <v>1</v>
      </c>
      <c r="BD276" s="239"/>
      <c r="BE276" s="239"/>
    </row>
    <row r="277" spans="29:57" ht="18" customHeight="1" x14ac:dyDescent="0.2">
      <c r="AC277" s="7"/>
      <c r="AG277" s="240">
        <f>SUM(AG274:AG276)</f>
        <v>0</v>
      </c>
      <c r="AH277" s="240">
        <f>SUM(AH274:AH276)</f>
        <v>0</v>
      </c>
      <c r="AI277" s="240">
        <f t="shared" ref="AI277:AL277" si="415">SUM(AI274:AI276)</f>
        <v>0</v>
      </c>
      <c r="AJ277" s="240">
        <f t="shared" si="415"/>
        <v>0</v>
      </c>
      <c r="AK277" s="240">
        <f t="shared" si="415"/>
        <v>0</v>
      </c>
      <c r="AL277" s="240">
        <f t="shared" si="415"/>
        <v>0</v>
      </c>
      <c r="AM277" s="135"/>
      <c r="AN277" s="240">
        <f>SUM(AN274:AN276)</f>
        <v>0</v>
      </c>
      <c r="AO277" s="240">
        <f>SUM(AO274:AO276)</f>
        <v>0</v>
      </c>
      <c r="AP277" s="241"/>
      <c r="AQ277" s="240">
        <f>SUM(AQ274:AQ276)</f>
        <v>0</v>
      </c>
      <c r="AR277" s="240">
        <f>SUM(AR274:AR276)</f>
        <v>0</v>
      </c>
      <c r="AS277" s="241"/>
      <c r="AT277" s="240">
        <f>SUM(AT274:AT276)</f>
        <v>0</v>
      </c>
      <c r="AU277" s="240">
        <f>SUM(AU274:AU276)</f>
        <v>0</v>
      </c>
      <c r="AV277" s="241"/>
      <c r="AW277" s="240">
        <f>SUM(AW274:AW276)</f>
        <v>0</v>
      </c>
      <c r="AX277" s="240">
        <f>SUM(AX274:AX276)</f>
        <v>0</v>
      </c>
      <c r="AY277" s="241"/>
      <c r="AZ277" s="240">
        <f>SUM(AZ274:AZ276)</f>
        <v>0</v>
      </c>
      <c r="BA277" s="240">
        <f>SUM(BA274:BA276)</f>
        <v>0</v>
      </c>
      <c r="BB277" s="240">
        <f>SUM(AZ277:BA277)</f>
        <v>0</v>
      </c>
      <c r="BC277" s="242">
        <f>(BB277+1)/(AI277+1)</f>
        <v>1</v>
      </c>
      <c r="BD277" s="98"/>
      <c r="BE277" s="98"/>
    </row>
    <row r="278" spans="29:57" ht="18" customHeight="1" x14ac:dyDescent="0.2">
      <c r="AC278" s="212" t="s">
        <v>337</v>
      </c>
      <c r="AD278" s="15"/>
      <c r="AE278" s="23"/>
      <c r="AF278" s="16"/>
      <c r="AG278" s="15"/>
      <c r="AH278" s="15"/>
      <c r="AI278" s="15"/>
      <c r="AJ278" s="15"/>
      <c r="AK278" s="15"/>
      <c r="AL278" s="22"/>
      <c r="AM278" s="213"/>
      <c r="AN278" s="23"/>
      <c r="AO278" s="23"/>
      <c r="AP278" s="7"/>
      <c r="AQ278" s="15"/>
      <c r="AR278" s="15"/>
      <c r="AS278" s="7"/>
      <c r="AT278" s="15"/>
      <c r="AU278" s="15"/>
      <c r="AV278" s="7"/>
      <c r="AW278" s="15"/>
      <c r="AX278" s="15"/>
      <c r="AY278" s="214"/>
      <c r="AZ278" s="215"/>
      <c r="BA278" s="10"/>
      <c r="BB278" s="7"/>
      <c r="BC278" s="7"/>
      <c r="BD278" s="7"/>
      <c r="BE278" s="7"/>
    </row>
    <row r="279" spans="29:57" ht="18" customHeight="1" x14ac:dyDescent="0.2">
      <c r="AC279" s="216" t="s">
        <v>271</v>
      </c>
      <c r="AD279" s="217"/>
      <c r="AE279" s="217"/>
      <c r="AF279" s="218"/>
      <c r="AG279" s="218"/>
      <c r="AH279" s="219"/>
      <c r="AI279" s="218"/>
      <c r="AJ279" s="218"/>
      <c r="AK279" s="218"/>
      <c r="AL279" s="218"/>
      <c r="AM279" s="220" t="e">
        <f>SUM(AJ279:AL279)/AH279</f>
        <v>#DIV/0!</v>
      </c>
      <c r="AN279" s="218"/>
      <c r="AO279" s="218"/>
      <c r="AP279" s="221" t="e">
        <f>SUM(AN279:AO279)/AI279</f>
        <v>#DIV/0!</v>
      </c>
      <c r="AQ279" s="218"/>
      <c r="AR279" s="218"/>
      <c r="AS279" s="221" t="e">
        <f>(AQ279+AR279)/$AG279</f>
        <v>#DIV/0!</v>
      </c>
      <c r="AT279" s="218"/>
      <c r="AU279" s="218"/>
      <c r="AV279" s="221" t="e">
        <f>(AT279+AU279)/$AG279</f>
        <v>#DIV/0!</v>
      </c>
      <c r="AW279" s="218"/>
      <c r="AX279" s="218"/>
      <c r="AY279" s="221" t="e">
        <f>(AW279+AX279)/$AG279</f>
        <v>#DIV/0!</v>
      </c>
      <c r="AZ279" s="222">
        <f>SUM(AN279,AQ279,AT279,AW279)</f>
        <v>0</v>
      </c>
      <c r="BA279" s="222">
        <f>SUM(AO279,AR279,AU279,AX279)</f>
        <v>0</v>
      </c>
      <c r="BB279" s="222">
        <f>SUM(AZ279:BA279)</f>
        <v>0</v>
      </c>
      <c r="BC279" s="221">
        <f>(BB279+1)/(AI279+1)</f>
        <v>1</v>
      </c>
      <c r="BD279" s="223"/>
      <c r="BE279" s="223"/>
    </row>
    <row r="280" spans="29:57" ht="18" customHeight="1" x14ac:dyDescent="0.2">
      <c r="AC280" s="224" t="s">
        <v>273</v>
      </c>
      <c r="AD280" s="225"/>
      <c r="AE280" s="225"/>
      <c r="AF280" s="226"/>
      <c r="AG280" s="226"/>
      <c r="AH280" s="227"/>
      <c r="AI280" s="226"/>
      <c r="AJ280" s="226"/>
      <c r="AK280" s="226"/>
      <c r="AL280" s="226"/>
      <c r="AM280" s="228" t="e">
        <f t="shared" ref="AM280:AM281" si="416">SUM(AJ280:AL280)/AH280</f>
        <v>#DIV/0!</v>
      </c>
      <c r="AN280" s="226"/>
      <c r="AO280" s="226"/>
      <c r="AP280" s="229" t="e">
        <f t="shared" ref="AP280:AP281" si="417">SUM(AN280:AO280)/AI280</f>
        <v>#DIV/0!</v>
      </c>
      <c r="AQ280" s="226"/>
      <c r="AR280" s="226"/>
      <c r="AS280" s="229" t="e">
        <f>(AQ280+AR280)/$AG280</f>
        <v>#DIV/0!</v>
      </c>
      <c r="AT280" s="226"/>
      <c r="AU280" s="226"/>
      <c r="AV280" s="229" t="e">
        <f>(AT280+AU280)/$AG280</f>
        <v>#DIV/0!</v>
      </c>
      <c r="AW280" s="226"/>
      <c r="AX280" s="226"/>
      <c r="AY280" s="229" t="e">
        <f>(AW280+AX280)/$AG280</f>
        <v>#DIV/0!</v>
      </c>
      <c r="AZ280" s="230">
        <f t="shared" ref="AZ280:BA281" si="418">SUM(AN280,AQ280,AT280,AW280)</f>
        <v>0</v>
      </c>
      <c r="BA280" s="230">
        <f t="shared" si="418"/>
        <v>0</v>
      </c>
      <c r="BB280" s="230">
        <f t="shared" ref="BB280:BB281" si="419">SUM(AZ280:BA280)</f>
        <v>0</v>
      </c>
      <c r="BC280" s="229">
        <f t="shared" ref="BC280:BC281" si="420">(BB280+1)/(AI280+1)</f>
        <v>1</v>
      </c>
      <c r="BD280" s="231"/>
      <c r="BE280" s="231"/>
    </row>
    <row r="281" spans="29:57" ht="18" customHeight="1" x14ac:dyDescent="0.2">
      <c r="AC281" s="232" t="s">
        <v>275</v>
      </c>
      <c r="AD281" s="233"/>
      <c r="AE281" s="233"/>
      <c r="AF281" s="234"/>
      <c r="AG281" s="234"/>
      <c r="AH281" s="235"/>
      <c r="AI281" s="234"/>
      <c r="AJ281" s="234"/>
      <c r="AK281" s="234"/>
      <c r="AL281" s="234"/>
      <c r="AM281" s="236" t="e">
        <f t="shared" si="416"/>
        <v>#DIV/0!</v>
      </c>
      <c r="AN281" s="234"/>
      <c r="AO281" s="234"/>
      <c r="AP281" s="237" t="e">
        <f t="shared" si="417"/>
        <v>#DIV/0!</v>
      </c>
      <c r="AQ281" s="234"/>
      <c r="AR281" s="234"/>
      <c r="AS281" s="237" t="e">
        <f>(AQ281+AR281)/$AG281</f>
        <v>#DIV/0!</v>
      </c>
      <c r="AT281" s="234"/>
      <c r="AU281" s="234"/>
      <c r="AV281" s="237" t="e">
        <f>(AT281+AU281)/$AG281</f>
        <v>#DIV/0!</v>
      </c>
      <c r="AW281" s="234"/>
      <c r="AX281" s="234"/>
      <c r="AY281" s="237" t="e">
        <f>(AW281+AX281)/$AG281</f>
        <v>#DIV/0!</v>
      </c>
      <c r="AZ281" s="238">
        <f t="shared" si="418"/>
        <v>0</v>
      </c>
      <c r="BA281" s="238">
        <f t="shared" si="418"/>
        <v>0</v>
      </c>
      <c r="BB281" s="238">
        <f t="shared" si="419"/>
        <v>0</v>
      </c>
      <c r="BC281" s="237">
        <f t="shared" si="420"/>
        <v>1</v>
      </c>
      <c r="BD281" s="239"/>
      <c r="BE281" s="239"/>
    </row>
    <row r="282" spans="29:57" ht="18" customHeight="1" x14ac:dyDescent="0.2">
      <c r="AC282" s="7"/>
      <c r="AG282" s="240">
        <f>SUM(AG279:AG281)</f>
        <v>0</v>
      </c>
      <c r="AH282" s="240">
        <f>SUM(AH279:AH281)</f>
        <v>0</v>
      </c>
      <c r="AI282" s="240">
        <f t="shared" ref="AI282:AL282" si="421">SUM(AI279:AI281)</f>
        <v>0</v>
      </c>
      <c r="AJ282" s="240">
        <f t="shared" si="421"/>
        <v>0</v>
      </c>
      <c r="AK282" s="240">
        <f t="shared" si="421"/>
        <v>0</v>
      </c>
      <c r="AL282" s="240">
        <f t="shared" si="421"/>
        <v>0</v>
      </c>
      <c r="AM282" s="135"/>
      <c r="AN282" s="240">
        <f>SUM(AN279:AN281)</f>
        <v>0</v>
      </c>
      <c r="AO282" s="240">
        <f>SUM(AO279:AO281)</f>
        <v>0</v>
      </c>
      <c r="AP282" s="241"/>
      <c r="AQ282" s="240">
        <f>SUM(AQ279:AQ281)</f>
        <v>0</v>
      </c>
      <c r="AR282" s="240">
        <f>SUM(AR279:AR281)</f>
        <v>0</v>
      </c>
      <c r="AS282" s="241"/>
      <c r="AT282" s="240">
        <f>SUM(AT279:AT281)</f>
        <v>0</v>
      </c>
      <c r="AU282" s="240">
        <f>SUM(AU279:AU281)</f>
        <v>0</v>
      </c>
      <c r="AV282" s="241"/>
      <c r="AW282" s="240">
        <f>SUM(AW279:AW281)</f>
        <v>0</v>
      </c>
      <c r="AX282" s="240">
        <f>SUM(AX279:AX281)</f>
        <v>0</v>
      </c>
      <c r="AY282" s="241"/>
      <c r="AZ282" s="240">
        <f>SUM(AZ279:AZ281)</f>
        <v>0</v>
      </c>
      <c r="BA282" s="240">
        <f>SUM(BA279:BA281)</f>
        <v>0</v>
      </c>
      <c r="BB282" s="240">
        <f>SUM(AZ282:BA282)</f>
        <v>0</v>
      </c>
      <c r="BC282" s="242">
        <f>(BB282+1)/(AI282+1)</f>
        <v>1</v>
      </c>
      <c r="BD282" s="98"/>
      <c r="BE282" s="98"/>
    </row>
    <row r="283" spans="29:57" ht="18" customHeight="1" x14ac:dyDescent="0.2">
      <c r="AC283" s="212" t="s">
        <v>338</v>
      </c>
      <c r="AD283" s="15"/>
      <c r="AE283" s="23"/>
      <c r="AF283" s="16"/>
      <c r="AG283" s="15"/>
      <c r="AH283" s="15"/>
      <c r="AI283" s="15"/>
      <c r="AJ283" s="15"/>
      <c r="AK283" s="15"/>
      <c r="AL283" s="22"/>
      <c r="AM283" s="213"/>
      <c r="AN283" s="23"/>
      <c r="AO283" s="23"/>
      <c r="AP283" s="7"/>
      <c r="AQ283" s="15"/>
      <c r="AR283" s="15"/>
      <c r="AS283" s="7"/>
      <c r="AT283" s="15"/>
      <c r="AU283" s="15"/>
      <c r="AV283" s="7"/>
      <c r="AW283" s="15"/>
      <c r="AX283" s="15"/>
      <c r="AY283" s="214"/>
      <c r="AZ283" s="215"/>
      <c r="BA283" s="10"/>
      <c r="BB283" s="7"/>
      <c r="BC283" s="7"/>
      <c r="BD283" s="7"/>
      <c r="BE283" s="7"/>
    </row>
    <row r="284" spans="29:57" ht="18" customHeight="1" x14ac:dyDescent="0.2">
      <c r="AC284" s="216" t="s">
        <v>271</v>
      </c>
      <c r="AD284" s="217"/>
      <c r="AE284" s="217"/>
      <c r="AF284" s="218"/>
      <c r="AG284" s="218"/>
      <c r="AH284" s="219"/>
      <c r="AI284" s="218"/>
      <c r="AJ284" s="218"/>
      <c r="AK284" s="218"/>
      <c r="AL284" s="218"/>
      <c r="AM284" s="220" t="e">
        <f>SUM(AJ284:AL284)/AH284</f>
        <v>#DIV/0!</v>
      </c>
      <c r="AN284" s="218"/>
      <c r="AO284" s="218"/>
      <c r="AP284" s="221" t="e">
        <f>SUM(AN284:AO284)/AI284</f>
        <v>#DIV/0!</v>
      </c>
      <c r="AQ284" s="218"/>
      <c r="AR284" s="218"/>
      <c r="AS284" s="221" t="e">
        <f>(AQ284+AR284)/$AG284</f>
        <v>#DIV/0!</v>
      </c>
      <c r="AT284" s="218"/>
      <c r="AU284" s="218"/>
      <c r="AV284" s="221" t="e">
        <f>(AT284+AU284)/$AG284</f>
        <v>#DIV/0!</v>
      </c>
      <c r="AW284" s="218"/>
      <c r="AX284" s="218"/>
      <c r="AY284" s="221" t="e">
        <f>(AW284+AX284)/$AG284</f>
        <v>#DIV/0!</v>
      </c>
      <c r="AZ284" s="222">
        <f>SUM(AN284,AQ284,AT284,AW284)</f>
        <v>0</v>
      </c>
      <c r="BA284" s="222">
        <f>SUM(AO284,AR284,AU284,AX284)</f>
        <v>0</v>
      </c>
      <c r="BB284" s="222">
        <f>SUM(AZ284:BA284)</f>
        <v>0</v>
      </c>
      <c r="BC284" s="221">
        <f>(BB284+1)/(AI284+1)</f>
        <v>1</v>
      </c>
      <c r="BD284" s="223"/>
      <c r="BE284" s="223"/>
    </row>
    <row r="285" spans="29:57" ht="18" customHeight="1" x14ac:dyDescent="0.2">
      <c r="AC285" s="224" t="s">
        <v>273</v>
      </c>
      <c r="AD285" s="225"/>
      <c r="AE285" s="225"/>
      <c r="AF285" s="226"/>
      <c r="AG285" s="226"/>
      <c r="AH285" s="227"/>
      <c r="AI285" s="226"/>
      <c r="AJ285" s="226"/>
      <c r="AK285" s="226"/>
      <c r="AL285" s="226"/>
      <c r="AM285" s="228" t="e">
        <f t="shared" ref="AM285:AM286" si="422">SUM(AJ285:AL285)/AH285</f>
        <v>#DIV/0!</v>
      </c>
      <c r="AN285" s="226"/>
      <c r="AO285" s="226"/>
      <c r="AP285" s="229" t="e">
        <f t="shared" ref="AP285:AP286" si="423">SUM(AN285:AO285)/AI285</f>
        <v>#DIV/0!</v>
      </c>
      <c r="AQ285" s="226"/>
      <c r="AR285" s="226"/>
      <c r="AS285" s="229" t="e">
        <f>(AQ285+AR285)/$AG285</f>
        <v>#DIV/0!</v>
      </c>
      <c r="AT285" s="226"/>
      <c r="AU285" s="226"/>
      <c r="AV285" s="229" t="e">
        <f>(AT285+AU285)/$AG285</f>
        <v>#DIV/0!</v>
      </c>
      <c r="AW285" s="226"/>
      <c r="AX285" s="226"/>
      <c r="AY285" s="229" t="e">
        <f>(AW285+AX285)/$AG285</f>
        <v>#DIV/0!</v>
      </c>
      <c r="AZ285" s="230">
        <f t="shared" ref="AZ285:BA286" si="424">SUM(AN285,AQ285,AT285,AW285)</f>
        <v>0</v>
      </c>
      <c r="BA285" s="230">
        <f t="shared" si="424"/>
        <v>0</v>
      </c>
      <c r="BB285" s="230">
        <f t="shared" ref="BB285:BB286" si="425">SUM(AZ285:BA285)</f>
        <v>0</v>
      </c>
      <c r="BC285" s="229">
        <f t="shared" ref="BC285:BC286" si="426">(BB285+1)/(AI285+1)</f>
        <v>1</v>
      </c>
      <c r="BD285" s="231"/>
      <c r="BE285" s="231"/>
    </row>
    <row r="286" spans="29:57" ht="18" customHeight="1" x14ac:dyDescent="0.2">
      <c r="AC286" s="232" t="s">
        <v>275</v>
      </c>
      <c r="AD286" s="233"/>
      <c r="AE286" s="233"/>
      <c r="AF286" s="234"/>
      <c r="AG286" s="234"/>
      <c r="AH286" s="235"/>
      <c r="AI286" s="234"/>
      <c r="AJ286" s="234"/>
      <c r="AK286" s="234"/>
      <c r="AL286" s="234"/>
      <c r="AM286" s="236" t="e">
        <f t="shared" si="422"/>
        <v>#DIV/0!</v>
      </c>
      <c r="AN286" s="234"/>
      <c r="AO286" s="234"/>
      <c r="AP286" s="237" t="e">
        <f t="shared" si="423"/>
        <v>#DIV/0!</v>
      </c>
      <c r="AQ286" s="234"/>
      <c r="AR286" s="234"/>
      <c r="AS286" s="237" t="e">
        <f>(AQ286+AR286)/$AG286</f>
        <v>#DIV/0!</v>
      </c>
      <c r="AT286" s="234"/>
      <c r="AU286" s="234"/>
      <c r="AV286" s="237" t="e">
        <f>(AT286+AU286)/$AG286</f>
        <v>#DIV/0!</v>
      </c>
      <c r="AW286" s="234"/>
      <c r="AX286" s="234"/>
      <c r="AY286" s="237" t="e">
        <f>(AW286+AX286)/$AG286</f>
        <v>#DIV/0!</v>
      </c>
      <c r="AZ286" s="238">
        <f t="shared" si="424"/>
        <v>0</v>
      </c>
      <c r="BA286" s="238">
        <f t="shared" si="424"/>
        <v>0</v>
      </c>
      <c r="BB286" s="238">
        <f t="shared" si="425"/>
        <v>0</v>
      </c>
      <c r="BC286" s="237">
        <f t="shared" si="426"/>
        <v>1</v>
      </c>
      <c r="BD286" s="239"/>
      <c r="BE286" s="239"/>
    </row>
    <row r="287" spans="29:57" ht="18" customHeight="1" x14ac:dyDescent="0.2">
      <c r="AC287" s="7"/>
      <c r="AG287" s="240">
        <f>SUM(AG284:AG286)</f>
        <v>0</v>
      </c>
      <c r="AH287" s="240">
        <f>SUM(AH284:AH286)</f>
        <v>0</v>
      </c>
      <c r="AI287" s="240">
        <f t="shared" ref="AI287:AL287" si="427">SUM(AI284:AI286)</f>
        <v>0</v>
      </c>
      <c r="AJ287" s="240">
        <f t="shared" si="427"/>
        <v>0</v>
      </c>
      <c r="AK287" s="240">
        <f t="shared" si="427"/>
        <v>0</v>
      </c>
      <c r="AL287" s="240">
        <f t="shared" si="427"/>
        <v>0</v>
      </c>
      <c r="AM287" s="135"/>
      <c r="AN287" s="240">
        <f>SUM(AN284:AN286)</f>
        <v>0</v>
      </c>
      <c r="AO287" s="240">
        <f>SUM(AO284:AO286)</f>
        <v>0</v>
      </c>
      <c r="AP287" s="241"/>
      <c r="AQ287" s="240">
        <f>SUM(AQ284:AQ286)</f>
        <v>0</v>
      </c>
      <c r="AR287" s="240">
        <f>SUM(AR284:AR286)</f>
        <v>0</v>
      </c>
      <c r="AS287" s="241"/>
      <c r="AT287" s="240">
        <f>SUM(AT284:AT286)</f>
        <v>0</v>
      </c>
      <c r="AU287" s="240">
        <f>SUM(AU284:AU286)</f>
        <v>0</v>
      </c>
      <c r="AV287" s="241"/>
      <c r="AW287" s="240">
        <f>SUM(AW284:AW286)</f>
        <v>0</v>
      </c>
      <c r="AX287" s="240">
        <f>SUM(AX284:AX286)</f>
        <v>0</v>
      </c>
      <c r="AY287" s="241"/>
      <c r="AZ287" s="240">
        <f>SUM(AZ284:AZ286)</f>
        <v>0</v>
      </c>
      <c r="BA287" s="240">
        <f>SUM(BA284:BA286)</f>
        <v>0</v>
      </c>
      <c r="BB287" s="240">
        <f>SUM(AZ287:BA287)</f>
        <v>0</v>
      </c>
      <c r="BC287" s="242">
        <f>(BB287+1)/(AI287+1)</f>
        <v>1</v>
      </c>
      <c r="BD287" s="98"/>
      <c r="BE287" s="98"/>
    </row>
    <row r="288" spans="29:57" ht="18" customHeight="1" x14ac:dyDescent="0.2">
      <c r="AC288" s="212" t="s">
        <v>339</v>
      </c>
      <c r="AD288" s="15"/>
      <c r="AE288" s="23"/>
      <c r="AF288" s="16"/>
      <c r="AG288" s="15"/>
      <c r="AH288" s="15"/>
      <c r="AI288" s="15"/>
      <c r="AJ288" s="15"/>
      <c r="AK288" s="15"/>
      <c r="AL288" s="22"/>
      <c r="AM288" s="213"/>
      <c r="AN288" s="23"/>
      <c r="AO288" s="23"/>
      <c r="AP288" s="7"/>
      <c r="AQ288" s="15"/>
      <c r="AR288" s="15"/>
      <c r="AS288" s="7"/>
      <c r="AT288" s="15"/>
      <c r="AU288" s="15"/>
      <c r="AV288" s="7"/>
      <c r="AW288" s="15"/>
      <c r="AX288" s="15"/>
      <c r="AY288" s="214"/>
      <c r="AZ288" s="215"/>
      <c r="BA288" s="10"/>
      <c r="BB288" s="7"/>
      <c r="BC288" s="7"/>
      <c r="BD288" s="7"/>
      <c r="BE288" s="7"/>
    </row>
    <row r="289" spans="29:57" ht="18" customHeight="1" x14ac:dyDescent="0.2">
      <c r="AC289" s="216" t="s">
        <v>271</v>
      </c>
      <c r="AD289" s="217"/>
      <c r="AE289" s="217"/>
      <c r="AF289" s="218"/>
      <c r="AG289" s="218"/>
      <c r="AH289" s="219"/>
      <c r="AI289" s="218"/>
      <c r="AJ289" s="218"/>
      <c r="AK289" s="218"/>
      <c r="AL289" s="218"/>
      <c r="AM289" s="220" t="e">
        <f>SUM(AJ289:AL289)/AH289</f>
        <v>#DIV/0!</v>
      </c>
      <c r="AN289" s="218"/>
      <c r="AO289" s="218"/>
      <c r="AP289" s="221" t="e">
        <f>SUM(AN289:AO289)/AI289</f>
        <v>#DIV/0!</v>
      </c>
      <c r="AQ289" s="218"/>
      <c r="AR289" s="218"/>
      <c r="AS289" s="221" t="e">
        <f>(AQ289+AR289)/$AG289</f>
        <v>#DIV/0!</v>
      </c>
      <c r="AT289" s="218"/>
      <c r="AU289" s="218"/>
      <c r="AV289" s="221" t="e">
        <f>(AT289+AU289)/$AG289</f>
        <v>#DIV/0!</v>
      </c>
      <c r="AW289" s="218"/>
      <c r="AX289" s="218"/>
      <c r="AY289" s="221" t="e">
        <f>(AW289+AX289)/$AG289</f>
        <v>#DIV/0!</v>
      </c>
      <c r="AZ289" s="222">
        <f>SUM(AN289,AQ289,AT289,AW289)</f>
        <v>0</v>
      </c>
      <c r="BA289" s="222">
        <f>SUM(AO289,AR289,AU289,AX289)</f>
        <v>0</v>
      </c>
      <c r="BB289" s="222">
        <f>SUM(AZ289:BA289)</f>
        <v>0</v>
      </c>
      <c r="BC289" s="221">
        <f>(BB289+1)/(AI289+1)</f>
        <v>1</v>
      </c>
      <c r="BD289" s="223"/>
      <c r="BE289" s="223"/>
    </row>
    <row r="290" spans="29:57" ht="18" customHeight="1" x14ac:dyDescent="0.2">
      <c r="AC290" s="224" t="s">
        <v>273</v>
      </c>
      <c r="AD290" s="225"/>
      <c r="AE290" s="225"/>
      <c r="AF290" s="226"/>
      <c r="AG290" s="226"/>
      <c r="AH290" s="227"/>
      <c r="AI290" s="226"/>
      <c r="AJ290" s="226"/>
      <c r="AK290" s="226"/>
      <c r="AL290" s="226"/>
      <c r="AM290" s="228" t="e">
        <f t="shared" ref="AM290:AM291" si="428">SUM(AJ290:AL290)/AH290</f>
        <v>#DIV/0!</v>
      </c>
      <c r="AN290" s="226"/>
      <c r="AO290" s="226"/>
      <c r="AP290" s="229" t="e">
        <f t="shared" ref="AP290:AP291" si="429">SUM(AN290:AO290)/AI290</f>
        <v>#DIV/0!</v>
      </c>
      <c r="AQ290" s="226"/>
      <c r="AR290" s="226"/>
      <c r="AS290" s="229" t="e">
        <f>(AQ290+AR290)/$AG290</f>
        <v>#DIV/0!</v>
      </c>
      <c r="AT290" s="226"/>
      <c r="AU290" s="226"/>
      <c r="AV290" s="229" t="e">
        <f>(AT290+AU290)/$AG290</f>
        <v>#DIV/0!</v>
      </c>
      <c r="AW290" s="226"/>
      <c r="AX290" s="226"/>
      <c r="AY290" s="229" t="e">
        <f>(AW290+AX290)/$AG290</f>
        <v>#DIV/0!</v>
      </c>
      <c r="AZ290" s="230">
        <f t="shared" ref="AZ290:BA291" si="430">SUM(AN290,AQ290,AT290,AW290)</f>
        <v>0</v>
      </c>
      <c r="BA290" s="230">
        <f t="shared" si="430"/>
        <v>0</v>
      </c>
      <c r="BB290" s="230">
        <f t="shared" ref="BB290:BB291" si="431">SUM(AZ290:BA290)</f>
        <v>0</v>
      </c>
      <c r="BC290" s="229">
        <f t="shared" ref="BC290:BC291" si="432">(BB290+1)/(AI290+1)</f>
        <v>1</v>
      </c>
      <c r="BD290" s="231"/>
      <c r="BE290" s="231"/>
    </row>
    <row r="291" spans="29:57" ht="18" customHeight="1" x14ac:dyDescent="0.2">
      <c r="AC291" s="232" t="s">
        <v>275</v>
      </c>
      <c r="AD291" s="233"/>
      <c r="AE291" s="233"/>
      <c r="AF291" s="234"/>
      <c r="AG291" s="234"/>
      <c r="AH291" s="235"/>
      <c r="AI291" s="234"/>
      <c r="AJ291" s="234"/>
      <c r="AK291" s="234"/>
      <c r="AL291" s="234"/>
      <c r="AM291" s="236" t="e">
        <f t="shared" si="428"/>
        <v>#DIV/0!</v>
      </c>
      <c r="AN291" s="234"/>
      <c r="AO291" s="234"/>
      <c r="AP291" s="237" t="e">
        <f t="shared" si="429"/>
        <v>#DIV/0!</v>
      </c>
      <c r="AQ291" s="234"/>
      <c r="AR291" s="234"/>
      <c r="AS291" s="237" t="e">
        <f>(AQ291+AR291)/$AG291</f>
        <v>#DIV/0!</v>
      </c>
      <c r="AT291" s="234"/>
      <c r="AU291" s="234"/>
      <c r="AV291" s="237" t="e">
        <f>(AT291+AU291)/$AG291</f>
        <v>#DIV/0!</v>
      </c>
      <c r="AW291" s="234"/>
      <c r="AX291" s="234"/>
      <c r="AY291" s="237" t="e">
        <f>(AW291+AX291)/$AG291</f>
        <v>#DIV/0!</v>
      </c>
      <c r="AZ291" s="238">
        <f t="shared" si="430"/>
        <v>0</v>
      </c>
      <c r="BA291" s="238">
        <f t="shared" si="430"/>
        <v>0</v>
      </c>
      <c r="BB291" s="238">
        <f t="shared" si="431"/>
        <v>0</v>
      </c>
      <c r="BC291" s="237">
        <f t="shared" si="432"/>
        <v>1</v>
      </c>
      <c r="BD291" s="239"/>
      <c r="BE291" s="239"/>
    </row>
    <row r="292" spans="29:57" ht="18" customHeight="1" x14ac:dyDescent="0.2">
      <c r="AC292" s="7"/>
      <c r="AG292" s="240">
        <f>SUM(AG289:AG291)</f>
        <v>0</v>
      </c>
      <c r="AH292" s="240">
        <f>SUM(AH289:AH291)</f>
        <v>0</v>
      </c>
      <c r="AI292" s="240">
        <f t="shared" ref="AI292:AL292" si="433">SUM(AI289:AI291)</f>
        <v>0</v>
      </c>
      <c r="AJ292" s="240">
        <f t="shared" si="433"/>
        <v>0</v>
      </c>
      <c r="AK292" s="240">
        <f t="shared" si="433"/>
        <v>0</v>
      </c>
      <c r="AL292" s="240">
        <f t="shared" si="433"/>
        <v>0</v>
      </c>
      <c r="AM292" s="135"/>
      <c r="AN292" s="240">
        <f>SUM(AN289:AN291)</f>
        <v>0</v>
      </c>
      <c r="AO292" s="240">
        <f>SUM(AO289:AO291)</f>
        <v>0</v>
      </c>
      <c r="AP292" s="241"/>
      <c r="AQ292" s="240">
        <f>SUM(AQ289:AQ291)</f>
        <v>0</v>
      </c>
      <c r="AR292" s="240">
        <f>SUM(AR289:AR291)</f>
        <v>0</v>
      </c>
      <c r="AS292" s="241"/>
      <c r="AT292" s="240">
        <f>SUM(AT289:AT291)</f>
        <v>0</v>
      </c>
      <c r="AU292" s="240">
        <f>SUM(AU289:AU291)</f>
        <v>0</v>
      </c>
      <c r="AV292" s="241"/>
      <c r="AW292" s="240">
        <f>SUM(AW289:AW291)</f>
        <v>0</v>
      </c>
      <c r="AX292" s="240">
        <f>SUM(AX289:AX291)</f>
        <v>0</v>
      </c>
      <c r="AY292" s="241"/>
      <c r="AZ292" s="240">
        <f>SUM(AZ289:AZ291)</f>
        <v>0</v>
      </c>
      <c r="BA292" s="240">
        <f>SUM(BA289:BA291)</f>
        <v>0</v>
      </c>
      <c r="BB292" s="240">
        <f>SUM(AZ292:BA292)</f>
        <v>0</v>
      </c>
      <c r="BC292" s="242">
        <f>(BB292+1)/(AI292+1)</f>
        <v>1</v>
      </c>
      <c r="BD292" s="98"/>
      <c r="BE292" s="98"/>
    </row>
    <row r="293" spans="29:57" ht="18" customHeight="1" x14ac:dyDescent="0.2">
      <c r="AC293" s="212" t="s">
        <v>340</v>
      </c>
      <c r="AD293" s="15"/>
      <c r="AE293" s="23"/>
      <c r="AF293" s="16"/>
      <c r="AG293" s="15"/>
      <c r="AH293" s="15"/>
      <c r="AI293" s="15"/>
      <c r="AJ293" s="15"/>
      <c r="AK293" s="15"/>
      <c r="AL293" s="22"/>
      <c r="AM293" s="213"/>
      <c r="AN293" s="23"/>
      <c r="AO293" s="23"/>
      <c r="AP293" s="7"/>
      <c r="AQ293" s="15"/>
      <c r="AR293" s="15"/>
      <c r="AS293" s="7"/>
      <c r="AT293" s="15"/>
      <c r="AU293" s="15"/>
      <c r="AV293" s="7"/>
      <c r="AW293" s="15"/>
      <c r="AX293" s="15"/>
      <c r="AY293" s="214"/>
      <c r="AZ293" s="215"/>
      <c r="BA293" s="10"/>
      <c r="BB293" s="7"/>
      <c r="BC293" s="7"/>
      <c r="BD293" s="7"/>
      <c r="BE293" s="7"/>
    </row>
    <row r="294" spans="29:57" ht="18" customHeight="1" x14ac:dyDescent="0.2">
      <c r="AC294" s="216" t="s">
        <v>271</v>
      </c>
      <c r="AD294" s="403"/>
      <c r="AE294" s="400"/>
      <c r="AF294" s="406"/>
      <c r="AG294" s="218"/>
      <c r="AH294" s="219"/>
      <c r="AI294" s="218"/>
      <c r="AJ294" s="218"/>
      <c r="AK294" s="218"/>
      <c r="AL294" s="218"/>
      <c r="AM294" s="220" t="e">
        <f>SUM(AJ294:AL294)/AH294</f>
        <v>#DIV/0!</v>
      </c>
      <c r="AN294" s="218"/>
      <c r="AO294" s="218"/>
      <c r="AP294" s="221" t="e">
        <f>SUM(AN294:AO294)/AI294</f>
        <v>#DIV/0!</v>
      </c>
      <c r="AQ294" s="218"/>
      <c r="AR294" s="218"/>
      <c r="AS294" s="221" t="e">
        <f>(AQ294+AR294)/$AG294</f>
        <v>#DIV/0!</v>
      </c>
      <c r="AT294" s="218"/>
      <c r="AU294" s="218"/>
      <c r="AV294" s="221" t="e">
        <f>(AT294+AU294)/$AG294</f>
        <v>#DIV/0!</v>
      </c>
      <c r="AW294" s="218"/>
      <c r="AX294" s="218"/>
      <c r="AY294" s="221" t="e">
        <f>(AW294+AX294)/$AG294</f>
        <v>#DIV/0!</v>
      </c>
      <c r="AZ294" s="222">
        <f>SUM(AN294,AQ294,AT294,AW294)</f>
        <v>0</v>
      </c>
      <c r="BA294" s="222">
        <f>SUM(AO294,AR294,AU294,AX294)</f>
        <v>0</v>
      </c>
      <c r="BB294" s="222">
        <f>SUM(AZ294:BA294)</f>
        <v>0</v>
      </c>
      <c r="BC294" s="221">
        <f>(BB294+1)/(AI294+1)</f>
        <v>1</v>
      </c>
      <c r="BD294" s="223"/>
      <c r="BE294" s="223"/>
    </row>
    <row r="295" spans="29:57" ht="18" customHeight="1" x14ac:dyDescent="0.2">
      <c r="AC295" s="224" t="s">
        <v>273</v>
      </c>
      <c r="AD295" s="404"/>
      <c r="AE295" s="401"/>
      <c r="AF295" s="407"/>
      <c r="AG295" s="226"/>
      <c r="AH295" s="227"/>
      <c r="AI295" s="226"/>
      <c r="AJ295" s="226"/>
      <c r="AK295" s="226"/>
      <c r="AL295" s="226"/>
      <c r="AM295" s="228" t="e">
        <f t="shared" ref="AM295:AM296" si="434">SUM(AJ295:AL295)/AH295</f>
        <v>#DIV/0!</v>
      </c>
      <c r="AN295" s="226"/>
      <c r="AO295" s="226"/>
      <c r="AP295" s="229" t="e">
        <f t="shared" ref="AP295:AP296" si="435">SUM(AN295:AO295)/AI295</f>
        <v>#DIV/0!</v>
      </c>
      <c r="AQ295" s="226"/>
      <c r="AR295" s="226"/>
      <c r="AS295" s="229" t="e">
        <f>(AQ295+AR295)/$AG295</f>
        <v>#DIV/0!</v>
      </c>
      <c r="AT295" s="226"/>
      <c r="AU295" s="226"/>
      <c r="AV295" s="229" t="e">
        <f>(AT295+AU295)/$AG295</f>
        <v>#DIV/0!</v>
      </c>
      <c r="AW295" s="226"/>
      <c r="AX295" s="226"/>
      <c r="AY295" s="229" t="e">
        <f>(AW295+AX295)/$AG295</f>
        <v>#DIV/0!</v>
      </c>
      <c r="AZ295" s="230">
        <f t="shared" ref="AZ295:BA296" si="436">SUM(AN295,AQ295,AT295,AW295)</f>
        <v>0</v>
      </c>
      <c r="BA295" s="230">
        <f t="shared" si="436"/>
        <v>0</v>
      </c>
      <c r="BB295" s="230">
        <f t="shared" ref="BB295:BB296" si="437">SUM(AZ295:BA295)</f>
        <v>0</v>
      </c>
      <c r="BC295" s="229">
        <f t="shared" ref="BC295:BC296" si="438">(BB295+1)/(AI295+1)</f>
        <v>1</v>
      </c>
      <c r="BD295" s="231"/>
      <c r="BE295" s="231"/>
    </row>
    <row r="296" spans="29:57" ht="18" customHeight="1" x14ac:dyDescent="0.2">
      <c r="AC296" s="232" t="s">
        <v>275</v>
      </c>
      <c r="AD296" s="416"/>
      <c r="AE296" s="409"/>
      <c r="AF296" s="407"/>
      <c r="AG296" s="234"/>
      <c r="AH296" s="235"/>
      <c r="AI296" s="234"/>
      <c r="AJ296" s="234"/>
      <c r="AK296" s="234"/>
      <c r="AL296" s="234"/>
      <c r="AM296" s="236" t="e">
        <f t="shared" si="434"/>
        <v>#DIV/0!</v>
      </c>
      <c r="AN296" s="234"/>
      <c r="AO296" s="234"/>
      <c r="AP296" s="237" t="e">
        <f t="shared" si="435"/>
        <v>#DIV/0!</v>
      </c>
      <c r="AQ296" s="234"/>
      <c r="AR296" s="234"/>
      <c r="AS296" s="237" t="e">
        <f>(AQ296+AR296)/$AG296</f>
        <v>#DIV/0!</v>
      </c>
      <c r="AT296" s="234"/>
      <c r="AU296" s="234"/>
      <c r="AV296" s="237" t="e">
        <f>(AT296+AU296)/$AG296</f>
        <v>#DIV/0!</v>
      </c>
      <c r="AW296" s="234"/>
      <c r="AX296" s="234"/>
      <c r="AY296" s="237" t="e">
        <f>(AW296+AX296)/$AG296</f>
        <v>#DIV/0!</v>
      </c>
      <c r="AZ296" s="238">
        <f t="shared" si="436"/>
        <v>0</v>
      </c>
      <c r="BA296" s="238">
        <f t="shared" si="436"/>
        <v>0</v>
      </c>
      <c r="BB296" s="238">
        <f t="shared" si="437"/>
        <v>0</v>
      </c>
      <c r="BC296" s="237">
        <f t="shared" si="438"/>
        <v>1</v>
      </c>
      <c r="BD296" s="239"/>
      <c r="BE296" s="239"/>
    </row>
    <row r="297" spans="29:57" ht="18" customHeight="1" x14ac:dyDescent="0.2">
      <c r="AC297" s="7"/>
      <c r="AG297" s="240">
        <f>SUM(AG294:AG296)</f>
        <v>0</v>
      </c>
      <c r="AH297" s="240">
        <f>SUM(AH294:AH296)</f>
        <v>0</v>
      </c>
      <c r="AI297" s="240">
        <f t="shared" ref="AI297:AL297" si="439">SUM(AI294:AI296)</f>
        <v>0</v>
      </c>
      <c r="AJ297" s="240">
        <f t="shared" si="439"/>
        <v>0</v>
      </c>
      <c r="AK297" s="240">
        <f t="shared" si="439"/>
        <v>0</v>
      </c>
      <c r="AL297" s="240">
        <f t="shared" si="439"/>
        <v>0</v>
      </c>
      <c r="AM297" s="135"/>
      <c r="AN297" s="240">
        <f>SUM(AN294:AN296)</f>
        <v>0</v>
      </c>
      <c r="AO297" s="240">
        <f>SUM(AO294:AO296)</f>
        <v>0</v>
      </c>
      <c r="AP297" s="241"/>
      <c r="AQ297" s="240">
        <f>SUM(AQ294:AQ296)</f>
        <v>0</v>
      </c>
      <c r="AR297" s="240">
        <f>SUM(AR294:AR296)</f>
        <v>0</v>
      </c>
      <c r="AS297" s="241"/>
      <c r="AT297" s="240">
        <f>SUM(AT294:AT296)</f>
        <v>0</v>
      </c>
      <c r="AU297" s="240">
        <f>SUM(AU294:AU296)</f>
        <v>0</v>
      </c>
      <c r="AV297" s="241"/>
      <c r="AW297" s="240">
        <f>SUM(AW294:AW296)</f>
        <v>0</v>
      </c>
      <c r="AX297" s="240">
        <f>SUM(AX294:AX296)</f>
        <v>0</v>
      </c>
      <c r="AY297" s="241"/>
      <c r="AZ297" s="240">
        <f>SUM(AZ294:AZ296)</f>
        <v>0</v>
      </c>
      <c r="BA297" s="240">
        <f>SUM(BA294:BA296)</f>
        <v>0</v>
      </c>
      <c r="BB297" s="240">
        <f>SUM(AZ297:BA297)</f>
        <v>0</v>
      </c>
      <c r="BC297" s="242">
        <f>(BB297+1)/(AI297+1)</f>
        <v>1</v>
      </c>
      <c r="BD297" s="98"/>
      <c r="BE297" s="98"/>
    </row>
    <row r="298" spans="29:57" ht="18" customHeight="1" x14ac:dyDescent="0.2">
      <c r="AC298" s="212" t="s">
        <v>341</v>
      </c>
      <c r="AD298" s="15"/>
      <c r="AE298" s="23"/>
      <c r="AF298" s="16"/>
      <c r="AG298" s="15"/>
      <c r="AH298" s="15"/>
      <c r="AI298" s="15"/>
      <c r="AJ298" s="15"/>
      <c r="AK298" s="15"/>
      <c r="AL298" s="22"/>
      <c r="AM298" s="213"/>
      <c r="AN298" s="23"/>
      <c r="AO298" s="23"/>
      <c r="AP298" s="7"/>
      <c r="AQ298" s="15"/>
      <c r="AR298" s="15"/>
      <c r="AS298" s="7"/>
      <c r="AT298" s="15"/>
      <c r="AU298" s="15"/>
      <c r="AV298" s="7"/>
      <c r="AW298" s="15"/>
      <c r="AX298" s="15"/>
      <c r="AY298" s="214"/>
      <c r="AZ298" s="215"/>
      <c r="BA298" s="10"/>
      <c r="BB298" s="7"/>
      <c r="BC298" s="7"/>
      <c r="BD298" s="7"/>
      <c r="BE298" s="7"/>
    </row>
    <row r="299" spans="29:57" ht="18" customHeight="1" x14ac:dyDescent="0.2">
      <c r="AC299" s="216" t="s">
        <v>271</v>
      </c>
      <c r="AD299" s="217"/>
      <c r="AE299" s="217"/>
      <c r="AF299" s="218"/>
      <c r="AG299" s="218"/>
      <c r="AH299" s="219"/>
      <c r="AI299" s="218"/>
      <c r="AJ299" s="218"/>
      <c r="AK299" s="218"/>
      <c r="AL299" s="218"/>
      <c r="AM299" s="220" t="e">
        <f>SUM(AJ299:AL299)/AH299</f>
        <v>#DIV/0!</v>
      </c>
      <c r="AN299" s="218"/>
      <c r="AO299" s="218"/>
      <c r="AP299" s="221" t="e">
        <f>SUM(AN299:AO299)/AI299</f>
        <v>#DIV/0!</v>
      </c>
      <c r="AQ299" s="218"/>
      <c r="AR299" s="218"/>
      <c r="AS299" s="221" t="e">
        <f>(AQ299+AR299)/$AG299</f>
        <v>#DIV/0!</v>
      </c>
      <c r="AT299" s="218"/>
      <c r="AU299" s="218"/>
      <c r="AV299" s="221" t="e">
        <f>(AT299+AU299)/$AG299</f>
        <v>#DIV/0!</v>
      </c>
      <c r="AW299" s="218"/>
      <c r="AX299" s="218"/>
      <c r="AY299" s="221" t="e">
        <f>(AW299+AX299)/$AG299</f>
        <v>#DIV/0!</v>
      </c>
      <c r="AZ299" s="222">
        <f>SUM(AN299,AQ299,AT299,AW299)</f>
        <v>0</v>
      </c>
      <c r="BA299" s="222">
        <f>SUM(AO299,AR299,AU299,AX299)</f>
        <v>0</v>
      </c>
      <c r="BB299" s="222">
        <f>SUM(AZ299:BA299)</f>
        <v>0</v>
      </c>
      <c r="BC299" s="221">
        <f>(BB299+1)/(AI299+1)</f>
        <v>1</v>
      </c>
      <c r="BD299" s="223"/>
      <c r="BE299" s="223"/>
    </row>
    <row r="300" spans="29:57" ht="18" customHeight="1" x14ac:dyDescent="0.2">
      <c r="AC300" s="224" t="s">
        <v>273</v>
      </c>
      <c r="AD300" s="225"/>
      <c r="AE300" s="225"/>
      <c r="AF300" s="226"/>
      <c r="AG300" s="226"/>
      <c r="AH300" s="227"/>
      <c r="AI300" s="226"/>
      <c r="AJ300" s="226"/>
      <c r="AK300" s="226"/>
      <c r="AL300" s="226"/>
      <c r="AM300" s="228" t="e">
        <f t="shared" ref="AM300:AM301" si="440">SUM(AJ300:AL300)/AH300</f>
        <v>#DIV/0!</v>
      </c>
      <c r="AN300" s="226"/>
      <c r="AO300" s="226"/>
      <c r="AP300" s="229" t="e">
        <f t="shared" ref="AP300:AP301" si="441">SUM(AN300:AO300)/AI300</f>
        <v>#DIV/0!</v>
      </c>
      <c r="AQ300" s="226"/>
      <c r="AR300" s="226"/>
      <c r="AS300" s="229" t="e">
        <f>(AQ300+AR300)/$AG300</f>
        <v>#DIV/0!</v>
      </c>
      <c r="AT300" s="226"/>
      <c r="AU300" s="226"/>
      <c r="AV300" s="229" t="e">
        <f>(AT300+AU300)/$AG300</f>
        <v>#DIV/0!</v>
      </c>
      <c r="AW300" s="226"/>
      <c r="AX300" s="226"/>
      <c r="AY300" s="229" t="e">
        <f>(AW300+AX300)/$AG300</f>
        <v>#DIV/0!</v>
      </c>
      <c r="AZ300" s="230">
        <f t="shared" ref="AZ300:BA301" si="442">SUM(AN300,AQ300,AT300,AW300)</f>
        <v>0</v>
      </c>
      <c r="BA300" s="230">
        <f t="shared" si="442"/>
        <v>0</v>
      </c>
      <c r="BB300" s="230">
        <f t="shared" ref="BB300:BB301" si="443">SUM(AZ300:BA300)</f>
        <v>0</v>
      </c>
      <c r="BC300" s="229">
        <f t="shared" ref="BC300:BC301" si="444">(BB300+1)/(AI300+1)</f>
        <v>1</v>
      </c>
      <c r="BD300" s="231"/>
      <c r="BE300" s="231"/>
    </row>
    <row r="301" spans="29:57" ht="18" customHeight="1" x14ac:dyDescent="0.2">
      <c r="AC301" s="232" t="s">
        <v>275</v>
      </c>
      <c r="AD301" s="233"/>
      <c r="AE301" s="233"/>
      <c r="AF301" s="234"/>
      <c r="AG301" s="234"/>
      <c r="AH301" s="235"/>
      <c r="AI301" s="234"/>
      <c r="AJ301" s="234"/>
      <c r="AK301" s="234"/>
      <c r="AL301" s="234"/>
      <c r="AM301" s="236" t="e">
        <f t="shared" si="440"/>
        <v>#DIV/0!</v>
      </c>
      <c r="AN301" s="234"/>
      <c r="AO301" s="234"/>
      <c r="AP301" s="237" t="e">
        <f t="shared" si="441"/>
        <v>#DIV/0!</v>
      </c>
      <c r="AQ301" s="234"/>
      <c r="AR301" s="234"/>
      <c r="AS301" s="237" t="e">
        <f>(AQ301+AR301)/$AG301</f>
        <v>#DIV/0!</v>
      </c>
      <c r="AT301" s="234"/>
      <c r="AU301" s="234"/>
      <c r="AV301" s="237" t="e">
        <f>(AT301+AU301)/$AG301</f>
        <v>#DIV/0!</v>
      </c>
      <c r="AW301" s="234"/>
      <c r="AX301" s="234"/>
      <c r="AY301" s="237" t="e">
        <f>(AW301+AX301)/$AG301</f>
        <v>#DIV/0!</v>
      </c>
      <c r="AZ301" s="238">
        <f t="shared" si="442"/>
        <v>0</v>
      </c>
      <c r="BA301" s="238">
        <f t="shared" si="442"/>
        <v>0</v>
      </c>
      <c r="BB301" s="238">
        <f t="shared" si="443"/>
        <v>0</v>
      </c>
      <c r="BC301" s="237">
        <f t="shared" si="444"/>
        <v>1</v>
      </c>
      <c r="BD301" s="239"/>
      <c r="BE301" s="239"/>
    </row>
    <row r="302" spans="29:57" ht="18" customHeight="1" x14ac:dyDescent="0.2">
      <c r="AC302" s="7"/>
      <c r="AG302" s="240">
        <f>SUM(AG299:AG301)</f>
        <v>0</v>
      </c>
      <c r="AH302" s="240">
        <f>SUM(AH299:AH301)</f>
        <v>0</v>
      </c>
      <c r="AI302" s="240">
        <f t="shared" ref="AI302:AL302" si="445">SUM(AI299:AI301)</f>
        <v>0</v>
      </c>
      <c r="AJ302" s="240">
        <f t="shared" si="445"/>
        <v>0</v>
      </c>
      <c r="AK302" s="240">
        <f t="shared" si="445"/>
        <v>0</v>
      </c>
      <c r="AL302" s="240">
        <f t="shared" si="445"/>
        <v>0</v>
      </c>
      <c r="AM302" s="135"/>
      <c r="AN302" s="240">
        <f>SUM(AN299:AN301)</f>
        <v>0</v>
      </c>
      <c r="AO302" s="240">
        <f>SUM(AO299:AO301)</f>
        <v>0</v>
      </c>
      <c r="AP302" s="241"/>
      <c r="AQ302" s="240">
        <f>SUM(AQ299:AQ301)</f>
        <v>0</v>
      </c>
      <c r="AR302" s="240">
        <f>SUM(AR299:AR301)</f>
        <v>0</v>
      </c>
      <c r="AS302" s="241"/>
      <c r="AT302" s="240">
        <f>SUM(AT299:AT301)</f>
        <v>0</v>
      </c>
      <c r="AU302" s="240">
        <f>SUM(AU299:AU301)</f>
        <v>0</v>
      </c>
      <c r="AV302" s="241"/>
      <c r="AW302" s="240">
        <f>SUM(AW299:AW301)</f>
        <v>0</v>
      </c>
      <c r="AX302" s="240">
        <f>SUM(AX299:AX301)</f>
        <v>0</v>
      </c>
      <c r="AY302" s="241"/>
      <c r="AZ302" s="240">
        <f>SUM(AZ299:AZ301)</f>
        <v>0</v>
      </c>
      <c r="BA302" s="240">
        <f>SUM(BA299:BA301)</f>
        <v>0</v>
      </c>
      <c r="BB302" s="240">
        <f>SUM(AZ302:BA302)</f>
        <v>0</v>
      </c>
      <c r="BC302" s="242">
        <f>(BB302+1)/(AI302+1)</f>
        <v>1</v>
      </c>
      <c r="BD302" s="98"/>
      <c r="BE302" s="98"/>
    </row>
  </sheetData>
  <protectedRanges>
    <protectedRange sqref="D3:D6" name="Range1_1_1_2"/>
    <protectedRange sqref="B3:C6" name="Range1_1_2_1"/>
    <protectedRange sqref="D7:D22" name="Range1_2_1"/>
    <protectedRange sqref="B7:C22" name="Range1_1_1_1_1"/>
    <protectedRange sqref="E9:K17 E20:K22" name="Range1_2_3_1"/>
    <protectedRange sqref="E3:F6 F7 G3:J7 K3:K6" name="Range1_4_1"/>
    <protectedRange sqref="AD4:AL6 AD9:AL11 AD14:AL16 AD19:AL21 AD24:AL26 AD29:AL31 AD34:AL36 AD39:AL41 AD44:AL46 AD49:AL51 AD54:AL56 AD59:AL61 AD64:AL66 AD69:AL71 AD79:AL81 AD84:AL86 AD89:AL91 AD99:AL101 AD74:AL76 AD94:AL96" name="Range2_12_3_1"/>
    <protectedRange sqref="AN4:AO6 AN9:AO11 AN14:AO16 AN19:AO21 AN24:AO26 AN29:AO31 AN34:AO36 AN39:AO41 AN44:AO46 AN49:AO51 AN54:AO56 AN59:AO61 AN64:AO66 AN69:AO71 AN74:AO76 AN79:AO81 AN84:AO86 AN89:AO91 AN94:AO96 AN99:AO101" name="Range3_12_3_1"/>
    <protectedRange sqref="AQ4:AR6 AQ9:AR11 AQ14:AR16 AQ19:AR21 AQ24:AR26 AQ29:AR31 AQ34:AR36 AQ39:AR41 AQ44:AR46 AQ49:AR51 AQ54:AR56 AQ59:AR61 AQ64:AR66 AQ69:AR71 AQ74:AR76 AQ79:AR81 AQ84:AR86 AQ89:AR91 AQ94:AR96 AQ99:AR101" name="Range4_12_3_1"/>
    <protectedRange sqref="AT4:AU6 AT9:AU11 AT14:AU16 AT19:AU21 AT24:AU26 AT29:AU31 AT34:AU36 AT39:AU41 AT44:AU46 AT49:AU51 AT54:AU56 AT59:AU61 AT64:AU66 AT69:AU71 AT74:AU76 AT79:AU81 AT84:AU86 AT89:AU91 AT94:AU96 AT99:AU101" name="Range5_12_3_1"/>
    <protectedRange sqref="AW4:AX6 AW9:AX11 AW14:AX16 AW19:AX21 AW24:AX26 AW29:AX31 AW34:AX36 AW39:AX41 AW44:AX46 AW49:AX51 AW54:AX56 AW59:AX61 AW64:AX66 AW69:AX71 AW74:AX76 AW79:AX81 AW84:AX86 AW89:AX91 AW94:AX96 AW99:AX101" name="Range6_12_3_1"/>
    <protectedRange sqref="E7:E8 K7:K8" name="Range1_4_1_1"/>
    <protectedRange sqref="E18:E19 K18:K19" name="Range1_2_3_1_1"/>
    <protectedRange sqref="F18:J19" name="Range1_2_3_1_3"/>
    <protectedRange sqref="D23:D26" name="Range1_1_1_2_1"/>
    <protectedRange sqref="B23:C26" name="Range1_1_2_1_1"/>
    <protectedRange sqref="D27:D42" name="Range1_2_1_1"/>
    <protectedRange sqref="B27:C42" name="Range1_1_1_1_1_1"/>
    <protectedRange sqref="E23:K62" name="Range1_4_1_3"/>
    <protectedRange sqref="D43:D46" name="Range1_1_1_2_2"/>
    <protectedRange sqref="B43:C46" name="Range1_1_2_1_2"/>
    <protectedRange sqref="D47:D62" name="Range1_2_1_2"/>
    <protectedRange sqref="B47:C62" name="Range1_1_1_1_1_2"/>
    <protectedRange sqref="AD104:AL106 AD109:AL111 AD114:AL116 AD119:AL121 AD124:AL126 AD129:AL131 AD134:AL136 AD139:AL141 AD144:AL146 AD149:AL151 AD154:AL156 AD159:AL161 AD169:AL171 AD179:AL181 AD189:AL191 AD199:AL201 AD174:AL176 AD194:AL196 AD164:AL166 AD184:AL186" name="Range2_12_3_1_1"/>
    <protectedRange sqref="AN104:AO106 AN109:AO111 AN114:AO116 AN119:AO121 AN124:AO126 AN129:AO131 AN134:AO136 AN139:AO141 AN144:AO146 AN149:AO151 AN154:AO156 AN159:AO161 AN164:AO166 AN169:AO171 AN174:AO176 AN179:AO181 AN184:AO186 AN189:AO191 AN194:AO196 AN199:AO201" name="Range3_12_3_1_1"/>
    <protectedRange sqref="AQ104:AR106 AQ109:AR111 AQ114:AR116 AQ119:AR121 AQ124:AR126 AQ129:AR131 AQ134:AR136 AQ139:AR141 AQ144:AR146 AQ149:AR151 AQ154:AR156 AQ159:AR161 AQ164:AR166 AQ169:AR171 AQ174:AR176 AQ179:AR181 AQ184:AR186 AQ189:AR191 AQ194:AR196 AQ199:AR201" name="Range4_12_3_1_1"/>
    <protectedRange sqref="AT104:AU106 AT109:AU111 AT114:AU116 AT119:AU121 AT124:AU126 AT129:AU131 AT134:AU136 AT139:AU141 AT144:AU146 AT149:AU151 AT154:AU156 AT159:AU161 AT164:AU166 AT169:AU171 AT174:AU176 AT179:AU181 AT184:AU186 AT189:AU191 AT194:AU196 AT199:AU201" name="Range5_12_3_1_1"/>
    <protectedRange sqref="AW104:AX106 AW109:AX111 AW114:AX116 AW119:AX121 AW124:AX126 AW129:AX131 AW134:AX136 AW139:AX141 AW144:AX146 AW149:AX151 AW154:AX156 AW159:AX161 AW164:AX166 AW169:AX171 AW174:AX176 AW179:AX181 AW184:AX186 AW189:AX191 AW194:AX196 AW199:AX201" name="Range6_12_3_1_1"/>
    <protectedRange sqref="AD204:AL206 AD209:AL211 AD214:AL216 AD219:AL221 AD224:AL226 AD229:AL231 AD234:AL236 AD239:AL241 AD244:AL246 AD249:AL251 AD254:AL256 AD259:AL261 AD264:AL266 AD269:AL271 AD279:AL281 AD284:AL286 AD289:AL291 AD299:AL301 AD274:AL276 AD294:AL296" name="Range2_12_3_1_2"/>
    <protectedRange sqref="AN204:AO206 AN209:AO211 AN214:AO216 AN219:AO221 AN224:AO226 AN229:AO231 AN234:AO236 AN239:AO241 AN244:AO246 AN249:AO251 AN254:AO256 AN259:AO261 AN264:AO266 AN269:AO271 AN274:AO276 AN279:AO281 AN284:AO286 AN289:AO291 AN294:AO296 AN299:AO301" name="Range3_12_3_1_2"/>
    <protectedRange sqref="AQ204:AR206 AQ209:AR211 AQ214:AR216 AQ219:AR221 AQ224:AR226 AQ229:AR231 AQ234:AR236 AQ239:AR241 AQ244:AR246 AQ249:AR251 AQ254:AR256 AQ259:AR261 AQ264:AR266 AQ269:AR271 AQ274:AR276 AQ279:AR281 AQ284:AR286 AQ289:AR291 AQ294:AR296 AQ299:AR301" name="Range4_12_3_1_2"/>
    <protectedRange sqref="AT204:AU206 AT209:AU211 AT214:AU216 AT219:AU221 AT224:AU226 AT229:AU231 AT234:AU236 AT239:AU241 AT244:AU246 AT249:AU251 AT254:AU256 AT259:AU261 AT264:AU266 AT269:AU271 AT274:AU276 AT279:AU281 AT284:AU286 AT289:AU291 AT294:AU296 AT299:AU301" name="Range5_12_3_1_2"/>
    <protectedRange sqref="AW204:AX206 AW209:AX211 AW214:AX216 AW219:AX221 AW224:AX226 AW229:AX231 AW234:AX236 AW239:AX241 AW244:AX246 AW249:AX251 AW254:AX256 AW259:AX261 AW264:AX266 AW269:AX271 AW274:AX276 AW279:AX281 AW284:AX286 AW289:AX291 AW294:AX296 AW299:AX301" name="Range6_12_3_1_2"/>
  </protectedRanges>
  <pageMargins left="0.75" right="0.75" top="1" bottom="1" header="0.5" footer="0.5"/>
  <pageSetup orientation="portrait"/>
  <headerFooter alignWithMargins="0"/>
  <ignoredErrors>
    <ignoredError sqref="M46"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BH213"/>
  <sheetViews>
    <sheetView zoomScale="80" zoomScaleNormal="80" workbookViewId="0">
      <pane xSplit="2" ySplit="2" topLeftCell="C88" activePane="bottomRight" state="frozen"/>
      <selection pane="topRight" activeCell="C1" sqref="C1"/>
      <selection pane="bottomLeft" activeCell="A3" sqref="A3"/>
      <selection pane="bottomRight" activeCell="E23" sqref="E23"/>
    </sheetView>
  </sheetViews>
  <sheetFormatPr defaultColWidth="5.42578125" defaultRowHeight="18" customHeight="1" x14ac:dyDescent="0.2"/>
  <cols>
    <col min="1" max="1" width="4.85546875" style="24" bestFit="1" customWidth="1"/>
    <col min="2" max="3" width="8.7109375" style="105" bestFit="1" customWidth="1"/>
    <col min="4" max="4" width="4.140625" style="113" bestFit="1" customWidth="1"/>
    <col min="5" max="5" width="5.85546875" style="113" customWidth="1"/>
    <col min="6" max="6" width="5.85546875" style="19" bestFit="1" customWidth="1"/>
    <col min="7" max="7" width="6.42578125" style="114" customWidth="1"/>
    <col min="8" max="8" width="5.7109375" style="114" customWidth="1"/>
    <col min="9" max="9" width="17.42578125" style="114" customWidth="1"/>
    <col min="10" max="10" width="17.42578125" style="113" customWidth="1"/>
    <col min="11" max="11" width="14.140625" style="113" customWidth="1"/>
    <col min="12" max="12" width="3.5703125" style="113" bestFit="1" customWidth="1"/>
    <col min="13" max="13" width="7.28515625" style="26" bestFit="1" customWidth="1"/>
    <col min="14" max="14" width="4.140625" style="19" bestFit="1" customWidth="1"/>
    <col min="15" max="15" width="7.28515625" style="15" bestFit="1" customWidth="1"/>
    <col min="16" max="16" width="4.140625" style="19" bestFit="1" customWidth="1"/>
    <col min="17" max="17" width="7.28515625" style="15" bestFit="1" customWidth="1"/>
    <col min="18" max="18" width="4.140625" style="19" bestFit="1" customWidth="1"/>
    <col min="19" max="19" width="7.28515625" style="15" bestFit="1" customWidth="1"/>
    <col min="20" max="20" width="4.140625" style="19" bestFit="1" customWidth="1"/>
    <col min="21" max="21" width="7.28515625" style="15" bestFit="1" customWidth="1"/>
    <col min="22" max="23" width="4.140625" style="132" bestFit="1" customWidth="1"/>
    <col min="24" max="24" width="6.85546875" style="132" bestFit="1" customWidth="1"/>
    <col min="25" max="25" width="8.5703125" style="15" bestFit="1" customWidth="1"/>
    <col min="26" max="26" width="6.28515625" style="15" bestFit="1" customWidth="1"/>
    <col min="27" max="27" width="6.140625" style="15" bestFit="1" customWidth="1"/>
    <col min="28" max="28" width="8.85546875" style="15" customWidth="1"/>
    <col min="29" max="29" width="12.42578125" style="15" customWidth="1"/>
    <col min="30" max="30" width="8.7109375" style="105" bestFit="1" customWidth="1"/>
    <col min="31" max="31" width="8.42578125" style="105" bestFit="1" customWidth="1"/>
    <col min="32" max="32" width="4.140625" style="19" bestFit="1" customWidth="1"/>
    <col min="33" max="33" width="4.140625" style="19" customWidth="1"/>
    <col min="34" max="35" width="4.42578125" style="19" bestFit="1" customWidth="1"/>
    <col min="36" max="36" width="4.28515625" style="19" bestFit="1" customWidth="1"/>
    <col min="37" max="38" width="4.140625" style="19" bestFit="1" customWidth="1"/>
    <col min="39" max="39" width="7.28515625" style="136" bestFit="1" customWidth="1"/>
    <col min="40" max="41" width="4.140625" style="19" bestFit="1" customWidth="1"/>
    <col min="42" max="42" width="7.28515625" style="26" bestFit="1" customWidth="1"/>
    <col min="43" max="44" width="4.140625" style="19" bestFit="1" customWidth="1"/>
    <col min="45" max="45" width="7.28515625" style="26" bestFit="1" customWidth="1"/>
    <col min="46" max="47" width="4.140625" style="19" bestFit="1" customWidth="1"/>
    <col min="48" max="48" width="7.28515625" style="26" bestFit="1" customWidth="1"/>
    <col min="49" max="50" width="4.140625" style="19" bestFit="1" customWidth="1"/>
    <col min="51" max="51" width="7.28515625" style="26" bestFit="1" customWidth="1"/>
    <col min="52" max="54" width="4.140625" style="19" bestFit="1" customWidth="1"/>
    <col min="55" max="55" width="7.140625" style="24" bestFit="1" customWidth="1"/>
    <col min="56" max="56" width="9.42578125" style="24" bestFit="1" customWidth="1"/>
    <col min="57" max="57" width="8.85546875" style="15" bestFit="1" customWidth="1"/>
    <col min="58" max="58" width="10.7109375" style="15" bestFit="1" customWidth="1"/>
    <col min="59" max="59" width="90.140625" style="15" bestFit="1" customWidth="1"/>
    <col min="60" max="60" width="8.140625" style="15" bestFit="1" customWidth="1"/>
    <col min="61" max="64" width="5.42578125" style="15" customWidth="1"/>
    <col min="65" max="16384" width="5.42578125" style="15"/>
  </cols>
  <sheetData>
    <row r="1" spans="1:60" ht="26.25" hidden="1" customHeight="1" thickBot="1" x14ac:dyDescent="0.35">
      <c r="A1" s="49" t="s">
        <v>227</v>
      </c>
      <c r="B1" s="106"/>
      <c r="C1" s="106"/>
      <c r="D1" s="109"/>
      <c r="E1" s="109"/>
      <c r="F1" s="109"/>
      <c r="G1" s="109"/>
      <c r="H1" s="109"/>
      <c r="I1" s="109"/>
      <c r="J1" s="109"/>
      <c r="K1" s="137" t="s">
        <v>228</v>
      </c>
      <c r="L1" s="138"/>
      <c r="M1" s="139"/>
      <c r="N1" s="140"/>
      <c r="O1" s="141"/>
      <c r="P1" s="141"/>
      <c r="Q1" s="208"/>
      <c r="R1" s="209"/>
      <c r="S1" s="208"/>
      <c r="T1" s="109"/>
      <c r="U1" s="48"/>
      <c r="V1" s="109"/>
      <c r="W1" s="109"/>
      <c r="X1" s="109"/>
      <c r="Y1" s="48"/>
      <c r="Z1" s="48"/>
      <c r="AA1" s="206"/>
      <c r="AB1" s="206"/>
      <c r="AC1" s="7" t="s">
        <v>229</v>
      </c>
      <c r="AD1" s="102"/>
      <c r="AE1" s="102"/>
      <c r="AF1" s="10"/>
      <c r="AG1" s="10"/>
      <c r="AH1" s="10"/>
      <c r="AI1" s="10"/>
      <c r="AJ1" s="10"/>
      <c r="AK1" s="10"/>
      <c r="AL1" s="10"/>
      <c r="AM1" s="135"/>
      <c r="AN1" s="10"/>
      <c r="AO1" s="10"/>
      <c r="AP1" s="11"/>
      <c r="AQ1" s="10"/>
      <c r="AR1" s="10"/>
      <c r="AS1" s="11"/>
      <c r="AT1" s="10"/>
      <c r="AU1" s="10"/>
      <c r="AV1" s="11"/>
      <c r="AW1" s="10"/>
      <c r="AX1" s="10"/>
      <c r="AY1" s="11"/>
      <c r="AZ1" s="10"/>
      <c r="BA1" s="10"/>
      <c r="BB1" s="10"/>
      <c r="BC1" s="98"/>
      <c r="BD1" s="98"/>
    </row>
    <row r="2" spans="1:60" s="20" customFormat="1" ht="168" customHeight="1" thickBot="1" x14ac:dyDescent="0.25">
      <c r="A2" s="310" t="s">
        <v>58</v>
      </c>
      <c r="B2" s="317" t="s">
        <v>230</v>
      </c>
      <c r="C2" s="318" t="s">
        <v>231</v>
      </c>
      <c r="D2" s="319" t="s">
        <v>232</v>
      </c>
      <c r="E2" s="150" t="s">
        <v>233</v>
      </c>
      <c r="F2" s="349" t="s">
        <v>234</v>
      </c>
      <c r="G2" s="349" t="s">
        <v>235</v>
      </c>
      <c r="H2" s="349" t="s">
        <v>236</v>
      </c>
      <c r="I2" s="349" t="s">
        <v>237</v>
      </c>
      <c r="J2" s="349" t="s">
        <v>238</v>
      </c>
      <c r="K2" s="112" t="s">
        <v>239</v>
      </c>
      <c r="L2" s="150" t="s">
        <v>240</v>
      </c>
      <c r="M2" s="178" t="s">
        <v>241</v>
      </c>
      <c r="N2" s="179" t="s">
        <v>242</v>
      </c>
      <c r="O2" s="175" t="s">
        <v>243</v>
      </c>
      <c r="P2" s="179" t="s">
        <v>244</v>
      </c>
      <c r="Q2" s="175" t="s">
        <v>245</v>
      </c>
      <c r="R2" s="179" t="s">
        <v>246</v>
      </c>
      <c r="S2" s="175" t="s">
        <v>247</v>
      </c>
      <c r="T2" s="179" t="s">
        <v>248</v>
      </c>
      <c r="U2" s="175" t="s">
        <v>249</v>
      </c>
      <c r="V2" s="150" t="s">
        <v>250</v>
      </c>
      <c r="W2" s="150" t="s">
        <v>251</v>
      </c>
      <c r="X2" s="175" t="s">
        <v>252</v>
      </c>
      <c r="Y2" s="175" t="s">
        <v>253</v>
      </c>
      <c r="Z2" s="175" t="s">
        <v>254</v>
      </c>
      <c r="AA2" s="175" t="s">
        <v>255</v>
      </c>
      <c r="AB2" s="207"/>
      <c r="AC2" s="175" t="s">
        <v>256</v>
      </c>
      <c r="AD2" s="176" t="s">
        <v>230</v>
      </c>
      <c r="AE2" s="177" t="s">
        <v>231</v>
      </c>
      <c r="AF2" s="112" t="s">
        <v>232</v>
      </c>
      <c r="AG2" s="150" t="s">
        <v>233</v>
      </c>
      <c r="AH2" s="150" t="s">
        <v>234</v>
      </c>
      <c r="AI2" s="150" t="s">
        <v>235</v>
      </c>
      <c r="AJ2" s="150" t="s">
        <v>236</v>
      </c>
      <c r="AK2" s="150" t="s">
        <v>237</v>
      </c>
      <c r="AL2" s="150" t="s">
        <v>238</v>
      </c>
      <c r="AM2" s="178" t="s">
        <v>241</v>
      </c>
      <c r="AN2" s="210" t="s">
        <v>257</v>
      </c>
      <c r="AO2" s="210" t="s">
        <v>258</v>
      </c>
      <c r="AP2" s="175" t="s">
        <v>243</v>
      </c>
      <c r="AQ2" s="210" t="s">
        <v>259</v>
      </c>
      <c r="AR2" s="210" t="s">
        <v>260</v>
      </c>
      <c r="AS2" s="175" t="s">
        <v>245</v>
      </c>
      <c r="AT2" s="210" t="s">
        <v>261</v>
      </c>
      <c r="AU2" s="210" t="s">
        <v>262</v>
      </c>
      <c r="AV2" s="175" t="s">
        <v>247</v>
      </c>
      <c r="AW2" s="210" t="s">
        <v>263</v>
      </c>
      <c r="AX2" s="210" t="s">
        <v>264</v>
      </c>
      <c r="AY2" s="175" t="s">
        <v>249</v>
      </c>
      <c r="AZ2" s="211" t="s">
        <v>265</v>
      </c>
      <c r="BA2" s="175" t="s">
        <v>266</v>
      </c>
      <c r="BB2" s="175" t="s">
        <v>251</v>
      </c>
      <c r="BC2" s="175" t="s">
        <v>252</v>
      </c>
      <c r="BD2" s="175" t="s">
        <v>253</v>
      </c>
      <c r="BE2" s="175" t="s">
        <v>254</v>
      </c>
    </row>
    <row r="3" spans="1:60" ht="15" customHeight="1" thickBot="1" x14ac:dyDescent="0.25">
      <c r="A3" s="320">
        <v>1</v>
      </c>
      <c r="B3" s="330">
        <v>45980</v>
      </c>
      <c r="C3" s="327">
        <v>45980</v>
      </c>
      <c r="D3" s="323">
        <v>0</v>
      </c>
      <c r="E3" s="345">
        <f t="shared" ref="E3:F3" si="0">AG7</f>
        <v>281</v>
      </c>
      <c r="F3" s="333">
        <f t="shared" si="0"/>
        <v>281</v>
      </c>
      <c r="G3" s="334">
        <f>AI7</f>
        <v>280</v>
      </c>
      <c r="H3" s="334">
        <f>AJ7</f>
        <v>0</v>
      </c>
      <c r="I3" s="334">
        <f>AK7</f>
        <v>0</v>
      </c>
      <c r="J3" s="335">
        <f>AL7</f>
        <v>1</v>
      </c>
      <c r="K3" s="312">
        <f>BA7</f>
        <v>0</v>
      </c>
      <c r="L3" s="184">
        <f>SUM(H3:K3)</f>
        <v>1</v>
      </c>
      <c r="M3" s="185">
        <f>L3/E3</f>
        <v>3.5587188612099642E-3</v>
      </c>
      <c r="N3" s="186">
        <f>AN7+AO7</f>
        <v>3</v>
      </c>
      <c r="O3" s="187">
        <f t="shared" ref="O3:O22" si="1">N3/G3</f>
        <v>1.0714285714285714E-2</v>
      </c>
      <c r="P3" s="186">
        <f>SUM(AQ7:AR7)</f>
        <v>4</v>
      </c>
      <c r="Q3" s="187">
        <f>P3/G3</f>
        <v>1.4285714285714285E-2</v>
      </c>
      <c r="R3" s="186">
        <f>SUM(AT7:AU7)</f>
        <v>0</v>
      </c>
      <c r="S3" s="187">
        <f t="shared" ref="S3:S22" si="2">R3/G3</f>
        <v>0</v>
      </c>
      <c r="T3" s="186">
        <f>SUM(AW7:AX7)</f>
        <v>0</v>
      </c>
      <c r="U3" s="187">
        <f t="shared" ref="U3:U22" si="3">T3/G3</f>
        <v>0</v>
      </c>
      <c r="V3" s="184">
        <f>AZ7</f>
        <v>7</v>
      </c>
      <c r="W3" s="184">
        <f>BB7</f>
        <v>7</v>
      </c>
      <c r="X3" s="187">
        <f t="shared" ref="X3:X22" si="4">(W3+1)/(G3+1)</f>
        <v>2.8469750889679714E-2</v>
      </c>
      <c r="Y3" s="188" t="s">
        <v>267</v>
      </c>
      <c r="Z3" s="188" t="s">
        <v>268</v>
      </c>
      <c r="AA3" s="188" t="s">
        <v>342</v>
      </c>
      <c r="AB3" s="207"/>
      <c r="AC3" s="212" t="s">
        <v>270</v>
      </c>
      <c r="AD3" s="15"/>
      <c r="AE3" s="23"/>
      <c r="AF3" s="16"/>
      <c r="AG3" s="15"/>
      <c r="AH3" s="15"/>
      <c r="AI3" s="15"/>
      <c r="AJ3" s="15"/>
      <c r="AK3" s="15"/>
      <c r="AL3" s="22"/>
      <c r="AM3" s="213"/>
      <c r="AN3" s="23"/>
      <c r="AO3" s="23"/>
      <c r="AP3" s="7"/>
      <c r="AQ3" s="15"/>
      <c r="AR3" s="15"/>
      <c r="AS3" s="7"/>
      <c r="AT3" s="15"/>
      <c r="AU3" s="15"/>
      <c r="AV3" s="7"/>
      <c r="AW3" s="15"/>
      <c r="AX3" s="15"/>
      <c r="AY3" s="214"/>
      <c r="AZ3" s="215"/>
      <c r="BA3" s="10"/>
      <c r="BB3" s="7"/>
      <c r="BC3" s="7"/>
      <c r="BD3" s="7"/>
      <c r="BE3" s="7"/>
      <c r="BH3" s="17"/>
    </row>
    <row r="4" spans="1:60" ht="15" customHeight="1" x14ac:dyDescent="0.2">
      <c r="A4" s="321">
        <v>2</v>
      </c>
      <c r="B4" s="331">
        <v>45995</v>
      </c>
      <c r="C4" s="328">
        <v>45995</v>
      </c>
      <c r="D4" s="324">
        <v>1</v>
      </c>
      <c r="E4" s="346">
        <f t="shared" ref="E4:J4" si="5">AG12</f>
        <v>252</v>
      </c>
      <c r="F4" s="336">
        <f t="shared" si="5"/>
        <v>256</v>
      </c>
      <c r="G4" s="192">
        <f t="shared" si="5"/>
        <v>256</v>
      </c>
      <c r="H4" s="192">
        <f t="shared" si="5"/>
        <v>0</v>
      </c>
      <c r="I4" s="192">
        <f t="shared" si="5"/>
        <v>0</v>
      </c>
      <c r="J4" s="337">
        <f t="shared" si="5"/>
        <v>0</v>
      </c>
      <c r="K4" s="313">
        <f>BA12</f>
        <v>0</v>
      </c>
      <c r="L4" s="184">
        <f t="shared" ref="L4:L21" si="6">SUM(H4:K4)</f>
        <v>0</v>
      </c>
      <c r="M4" s="193">
        <f>L4/E4</f>
        <v>0</v>
      </c>
      <c r="N4" s="292">
        <f>AO12+AN12</f>
        <v>1</v>
      </c>
      <c r="O4" s="194">
        <f t="shared" si="1"/>
        <v>3.90625E-3</v>
      </c>
      <c r="P4" s="184">
        <f>SUM(AQ12:AR12)</f>
        <v>0</v>
      </c>
      <c r="Q4" s="194">
        <f t="shared" ref="Q4:Q22" si="7">P4/G4</f>
        <v>0</v>
      </c>
      <c r="R4" s="184">
        <f>SUM(AT12:AU12)</f>
        <v>0</v>
      </c>
      <c r="S4" s="194">
        <f t="shared" si="2"/>
        <v>0</v>
      </c>
      <c r="T4" s="184">
        <f>SUM(AW12:AX12)</f>
        <v>0</v>
      </c>
      <c r="U4" s="194">
        <f t="shared" si="3"/>
        <v>0</v>
      </c>
      <c r="V4" s="184">
        <f>AZ12</f>
        <v>1</v>
      </c>
      <c r="W4" s="184">
        <f>BB12</f>
        <v>1</v>
      </c>
      <c r="X4" s="194">
        <f t="shared" si="4"/>
        <v>7.7821011673151752E-3</v>
      </c>
      <c r="Y4" s="188" t="s">
        <v>267</v>
      </c>
      <c r="Z4" s="195" t="s">
        <v>268</v>
      </c>
      <c r="AA4" s="195" t="s">
        <v>342</v>
      </c>
      <c r="AB4" s="207"/>
      <c r="AC4" s="216" t="s">
        <v>271</v>
      </c>
      <c r="AD4" s="217">
        <v>45980</v>
      </c>
      <c r="AE4" s="217">
        <v>45980</v>
      </c>
      <c r="AF4" s="218">
        <v>0</v>
      </c>
      <c r="AG4" s="218">
        <v>281</v>
      </c>
      <c r="AH4" s="219">
        <v>281</v>
      </c>
      <c r="AI4" s="218">
        <v>280</v>
      </c>
      <c r="AJ4" s="218">
        <v>0</v>
      </c>
      <c r="AK4" s="218">
        <v>0</v>
      </c>
      <c r="AL4" s="218">
        <v>1</v>
      </c>
      <c r="AM4" s="220">
        <f>SUM(AJ4:AL4)/AH4</f>
        <v>3.5587188612099642E-3</v>
      </c>
      <c r="AN4" s="218">
        <v>3</v>
      </c>
      <c r="AO4" s="218">
        <v>0</v>
      </c>
      <c r="AP4" s="221">
        <f>SUM(AN4:AO4)/AI4</f>
        <v>1.0714285714285714E-2</v>
      </c>
      <c r="AQ4" s="218">
        <v>4</v>
      </c>
      <c r="AR4" s="218">
        <v>0</v>
      </c>
      <c r="AS4" s="221">
        <f>(AQ4+AR4)/$AG4</f>
        <v>1.4234875444839857E-2</v>
      </c>
      <c r="AT4" s="218">
        <v>0</v>
      </c>
      <c r="AU4" s="218">
        <v>0</v>
      </c>
      <c r="AV4" s="221">
        <f>(AT4+AU4)/$AG4</f>
        <v>0</v>
      </c>
      <c r="AW4" s="218">
        <v>0</v>
      </c>
      <c r="AX4" s="218">
        <v>0</v>
      </c>
      <c r="AY4" s="221">
        <f>(AW4+AX4)/$AG4</f>
        <v>0</v>
      </c>
      <c r="AZ4" s="222">
        <f>SUM(AN4,AQ4,AT4,AW4)</f>
        <v>7</v>
      </c>
      <c r="BA4" s="222">
        <f>SUM(AO4,AR4,AU4,AX4)</f>
        <v>0</v>
      </c>
      <c r="BB4" s="222">
        <f>SUM(AZ4:BA4)</f>
        <v>7</v>
      </c>
      <c r="BC4" s="221">
        <f>(BB4+1)/(AI4+1)</f>
        <v>2.8469750889679714E-2</v>
      </c>
      <c r="BD4" s="223" t="s">
        <v>343</v>
      </c>
      <c r="BE4" s="223" t="s">
        <v>272</v>
      </c>
      <c r="BH4" s="17"/>
    </row>
    <row r="5" spans="1:60" ht="15" customHeight="1" x14ac:dyDescent="0.2">
      <c r="A5" s="321">
        <v>3</v>
      </c>
      <c r="B5" s="331">
        <v>46001</v>
      </c>
      <c r="C5" s="328">
        <v>46001</v>
      </c>
      <c r="D5" s="324">
        <v>0</v>
      </c>
      <c r="E5" s="346">
        <f t="shared" ref="E5:J5" si="8">AG17</f>
        <v>254</v>
      </c>
      <c r="F5" s="336">
        <f t="shared" si="8"/>
        <v>254</v>
      </c>
      <c r="G5" s="192">
        <f t="shared" si="8"/>
        <v>254</v>
      </c>
      <c r="H5" s="192">
        <f t="shared" si="8"/>
        <v>0</v>
      </c>
      <c r="I5" s="192">
        <f t="shared" si="8"/>
        <v>0</v>
      </c>
      <c r="J5" s="337">
        <f t="shared" si="8"/>
        <v>0</v>
      </c>
      <c r="K5" s="313">
        <f>BA17</f>
        <v>0</v>
      </c>
      <c r="L5" s="184">
        <f t="shared" si="6"/>
        <v>0</v>
      </c>
      <c r="M5" s="193">
        <f>L5/E5</f>
        <v>0</v>
      </c>
      <c r="N5" s="184">
        <f>AN17+AO17</f>
        <v>0</v>
      </c>
      <c r="O5" s="194">
        <f t="shared" si="1"/>
        <v>0</v>
      </c>
      <c r="P5" s="184">
        <f>SUM(AQ17:AR17)</f>
        <v>4</v>
      </c>
      <c r="Q5" s="194">
        <f t="shared" si="7"/>
        <v>1.5748031496062992E-2</v>
      </c>
      <c r="R5" s="184">
        <f>SUM(AT17:AU17)</f>
        <v>0</v>
      </c>
      <c r="S5" s="194">
        <f t="shared" si="2"/>
        <v>0</v>
      </c>
      <c r="T5" s="184">
        <f>SUM(AW17:AX17)</f>
        <v>0</v>
      </c>
      <c r="U5" s="194">
        <f t="shared" si="3"/>
        <v>0</v>
      </c>
      <c r="V5" s="184">
        <f>AZ17</f>
        <v>4</v>
      </c>
      <c r="W5" s="184">
        <f>BB17</f>
        <v>4</v>
      </c>
      <c r="X5" s="194">
        <f t="shared" si="4"/>
        <v>1.9607843137254902E-2</v>
      </c>
      <c r="Y5" s="188" t="s">
        <v>267</v>
      </c>
      <c r="Z5" s="195" t="s">
        <v>268</v>
      </c>
      <c r="AA5" s="195" t="s">
        <v>342</v>
      </c>
      <c r="AB5" s="207"/>
      <c r="AC5" s="224" t="s">
        <v>273</v>
      </c>
      <c r="AD5" s="225"/>
      <c r="AE5" s="225"/>
      <c r="AF5" s="226"/>
      <c r="AG5" s="226"/>
      <c r="AH5" s="227"/>
      <c r="AI5" s="226"/>
      <c r="AJ5" s="226"/>
      <c r="AK5" s="226"/>
      <c r="AL5" s="226"/>
      <c r="AM5" s="228" t="e">
        <f t="shared" ref="AM5:AM6" si="9">SUM(AJ5:AL5)/AH5</f>
        <v>#DIV/0!</v>
      </c>
      <c r="AN5" s="226"/>
      <c r="AO5" s="226"/>
      <c r="AP5" s="229" t="e">
        <f t="shared" ref="AP5:AP6" si="10">SUM(AN5:AO5)/AI5</f>
        <v>#DIV/0!</v>
      </c>
      <c r="AQ5" s="226"/>
      <c r="AR5" s="226"/>
      <c r="AS5" s="229" t="e">
        <f t="shared" ref="AS5:AS6" si="11">(AQ5+AR5)/$AG5</f>
        <v>#DIV/0!</v>
      </c>
      <c r="AT5" s="226"/>
      <c r="AU5" s="226"/>
      <c r="AV5" s="229" t="e">
        <f t="shared" ref="AV5:AV6" si="12">(AT5+AU5)/$AG5</f>
        <v>#DIV/0!</v>
      </c>
      <c r="AW5" s="226"/>
      <c r="AX5" s="226"/>
      <c r="AY5" s="229" t="e">
        <f t="shared" ref="AY5:AY6" si="13">(AW5+AX5)/$AG5</f>
        <v>#DIV/0!</v>
      </c>
      <c r="AZ5" s="230">
        <f t="shared" ref="AZ5:BA6" si="14">SUM(AN5,AQ5,AT5,AW5)</f>
        <v>0</v>
      </c>
      <c r="BA5" s="230">
        <f t="shared" si="14"/>
        <v>0</v>
      </c>
      <c r="BB5" s="230">
        <f t="shared" ref="BB5:BB6" si="15">SUM(AZ5:BA5)</f>
        <v>0</v>
      </c>
      <c r="BC5" s="229">
        <f t="shared" ref="BC5:BC6" si="16">(BB5+1)/(AI5+1)</f>
        <v>1</v>
      </c>
      <c r="BD5" s="231"/>
      <c r="BE5" s="231"/>
      <c r="BH5" s="17"/>
    </row>
    <row r="6" spans="1:60" ht="15" customHeight="1" x14ac:dyDescent="0.2">
      <c r="A6" s="321">
        <v>4</v>
      </c>
      <c r="B6" s="331">
        <v>46036</v>
      </c>
      <c r="C6" s="328">
        <v>46037</v>
      </c>
      <c r="D6" s="324">
        <v>1</v>
      </c>
      <c r="E6" s="346">
        <f t="shared" ref="E6:J6" si="17">AG22</f>
        <v>263</v>
      </c>
      <c r="F6" s="336">
        <f t="shared" si="17"/>
        <v>263</v>
      </c>
      <c r="G6" s="192">
        <f t="shared" si="17"/>
        <v>263</v>
      </c>
      <c r="H6" s="192">
        <f t="shared" si="17"/>
        <v>0</v>
      </c>
      <c r="I6" s="192">
        <f t="shared" si="17"/>
        <v>0</v>
      </c>
      <c r="J6" s="337">
        <f t="shared" si="17"/>
        <v>0</v>
      </c>
      <c r="K6" s="313">
        <f>BA22</f>
        <v>0</v>
      </c>
      <c r="L6" s="184">
        <f t="shared" si="6"/>
        <v>0</v>
      </c>
      <c r="M6" s="193">
        <f>L6/E6</f>
        <v>0</v>
      </c>
      <c r="N6" s="184">
        <f>AN22+AO22</f>
        <v>6</v>
      </c>
      <c r="O6" s="194">
        <f t="shared" si="1"/>
        <v>2.2813688212927757E-2</v>
      </c>
      <c r="P6" s="184">
        <f>SUM(AQ22:AR22)</f>
        <v>4</v>
      </c>
      <c r="Q6" s="194">
        <f t="shared" si="7"/>
        <v>1.5209125475285171E-2</v>
      </c>
      <c r="R6" s="184">
        <f>SUM(AT22:AU22)</f>
        <v>0</v>
      </c>
      <c r="S6" s="194">
        <f t="shared" si="2"/>
        <v>0</v>
      </c>
      <c r="T6" s="184">
        <f>SUM(AW22:AX22)</f>
        <v>0</v>
      </c>
      <c r="U6" s="194">
        <f t="shared" si="3"/>
        <v>0</v>
      </c>
      <c r="V6" s="184">
        <f>AZ22</f>
        <v>10</v>
      </c>
      <c r="W6" s="184">
        <f>BB22</f>
        <v>10</v>
      </c>
      <c r="X6" s="194">
        <f t="shared" si="4"/>
        <v>4.1666666666666664E-2</v>
      </c>
      <c r="Y6" s="195" t="s">
        <v>274</v>
      </c>
      <c r="Z6" s="195" t="s">
        <v>268</v>
      </c>
      <c r="AA6" s="195" t="s">
        <v>342</v>
      </c>
      <c r="AB6" s="207"/>
      <c r="AC6" s="232" t="s">
        <v>275</v>
      </c>
      <c r="AD6" s="233"/>
      <c r="AE6" s="233"/>
      <c r="AF6" s="234"/>
      <c r="AG6" s="234"/>
      <c r="AH6" s="235"/>
      <c r="AI6" s="234"/>
      <c r="AJ6" s="234"/>
      <c r="AK6" s="234"/>
      <c r="AL6" s="234"/>
      <c r="AM6" s="236" t="e">
        <f t="shared" si="9"/>
        <v>#DIV/0!</v>
      </c>
      <c r="AN6" s="234"/>
      <c r="AO6" s="234"/>
      <c r="AP6" s="237" t="e">
        <f t="shared" si="10"/>
        <v>#DIV/0!</v>
      </c>
      <c r="AQ6" s="234"/>
      <c r="AR6" s="234"/>
      <c r="AS6" s="237" t="e">
        <f t="shared" si="11"/>
        <v>#DIV/0!</v>
      </c>
      <c r="AT6" s="234"/>
      <c r="AU6" s="234"/>
      <c r="AV6" s="237" t="e">
        <f t="shared" si="12"/>
        <v>#DIV/0!</v>
      </c>
      <c r="AW6" s="234"/>
      <c r="AX6" s="234"/>
      <c r="AY6" s="237" t="e">
        <f t="shared" si="13"/>
        <v>#DIV/0!</v>
      </c>
      <c r="AZ6" s="238">
        <f t="shared" si="14"/>
        <v>0</v>
      </c>
      <c r="BA6" s="238">
        <f t="shared" si="14"/>
        <v>0</v>
      </c>
      <c r="BB6" s="238">
        <f t="shared" si="15"/>
        <v>0</v>
      </c>
      <c r="BC6" s="237">
        <f t="shared" si="16"/>
        <v>1</v>
      </c>
      <c r="BD6" s="239"/>
      <c r="BE6" s="239"/>
      <c r="BH6" s="17"/>
    </row>
    <row r="7" spans="1:60" ht="15" customHeight="1" x14ac:dyDescent="0.2">
      <c r="A7" s="321">
        <v>5</v>
      </c>
      <c r="B7" s="331">
        <v>46036</v>
      </c>
      <c r="C7" s="328">
        <v>46037</v>
      </c>
      <c r="D7" s="325">
        <v>1</v>
      </c>
      <c r="E7" s="192">
        <f t="shared" ref="E7" si="18">AG27</f>
        <v>254</v>
      </c>
      <c r="F7" s="336">
        <f t="shared" ref="F7:J7" si="19">AH27</f>
        <v>254</v>
      </c>
      <c r="G7" s="192">
        <f t="shared" si="19"/>
        <v>254</v>
      </c>
      <c r="H7" s="192">
        <f t="shared" si="19"/>
        <v>0</v>
      </c>
      <c r="I7" s="192">
        <f t="shared" si="19"/>
        <v>0</v>
      </c>
      <c r="J7" s="337">
        <f t="shared" si="19"/>
        <v>0</v>
      </c>
      <c r="K7" s="313">
        <f>BA27</f>
        <v>0</v>
      </c>
      <c r="L7" s="184">
        <f t="shared" si="6"/>
        <v>0</v>
      </c>
      <c r="M7" s="193">
        <f t="shared" ref="M7:M22" si="20">L7/E7</f>
        <v>0</v>
      </c>
      <c r="N7" s="184">
        <f>AN27+AO27</f>
        <v>8</v>
      </c>
      <c r="O7" s="194">
        <f t="shared" si="1"/>
        <v>3.1496062992125984E-2</v>
      </c>
      <c r="P7" s="184">
        <f>SUM(AQ27:AR27)</f>
        <v>2</v>
      </c>
      <c r="Q7" s="194">
        <f t="shared" si="7"/>
        <v>7.874015748031496E-3</v>
      </c>
      <c r="R7" s="184">
        <f>SUM(AT27:AU27)</f>
        <v>0</v>
      </c>
      <c r="S7" s="194">
        <f t="shared" si="2"/>
        <v>0</v>
      </c>
      <c r="T7" s="184">
        <f>SUM(AW27:AX27)</f>
        <v>0</v>
      </c>
      <c r="U7" s="194">
        <f t="shared" si="3"/>
        <v>0</v>
      </c>
      <c r="V7" s="184">
        <f>AZ27</f>
        <v>10</v>
      </c>
      <c r="W7" s="184">
        <f>BB27</f>
        <v>10</v>
      </c>
      <c r="X7" s="194">
        <f t="shared" si="4"/>
        <v>4.3137254901960784E-2</v>
      </c>
      <c r="Y7" s="195" t="s">
        <v>274</v>
      </c>
      <c r="Z7" s="195" t="s">
        <v>268</v>
      </c>
      <c r="AA7" s="195" t="s">
        <v>342</v>
      </c>
      <c r="AB7" s="207"/>
      <c r="AC7" s="7"/>
      <c r="AG7" s="240">
        <f>SUM(AG4:AG6)</f>
        <v>281</v>
      </c>
      <c r="AH7" s="240">
        <f>SUM(AH4:AH6)</f>
        <v>281</v>
      </c>
      <c r="AI7" s="240">
        <f t="shared" ref="AI7:AL7" si="21">SUM(AI4:AI6)</f>
        <v>280</v>
      </c>
      <c r="AJ7" s="240">
        <f t="shared" si="21"/>
        <v>0</v>
      </c>
      <c r="AK7" s="240">
        <f t="shared" si="21"/>
        <v>0</v>
      </c>
      <c r="AL7" s="240">
        <f t="shared" si="21"/>
        <v>1</v>
      </c>
      <c r="AM7" s="135"/>
      <c r="AN7" s="240">
        <f>SUM(AN4:AN6)</f>
        <v>3</v>
      </c>
      <c r="AO7" s="240">
        <f>SUM(AO4:AO6)</f>
        <v>0</v>
      </c>
      <c r="AP7" s="241"/>
      <c r="AQ7" s="240">
        <f>SUM(AQ4:AQ6)</f>
        <v>4</v>
      </c>
      <c r="AR7" s="240">
        <f>SUM(AR4:AR6)</f>
        <v>0</v>
      </c>
      <c r="AS7" s="241">
        <f ca="1">SUM(AS7:AT7)</f>
        <v>0</v>
      </c>
      <c r="AT7" s="240">
        <f>SUM(AT4:AT6)</f>
        <v>0</v>
      </c>
      <c r="AU7" s="240">
        <f>SUM(AU4:AU6)</f>
        <v>0</v>
      </c>
      <c r="AV7" s="241"/>
      <c r="AW7" s="240">
        <f>SUM(AW4:AW6)</f>
        <v>0</v>
      </c>
      <c r="AX7" s="240">
        <f>SUM(AX4:AX6)</f>
        <v>0</v>
      </c>
      <c r="AY7" s="241"/>
      <c r="AZ7" s="240">
        <f>SUM(AZ4:AZ6)</f>
        <v>7</v>
      </c>
      <c r="BA7" s="240">
        <f>SUM(BA4:BA6)</f>
        <v>0</v>
      </c>
      <c r="BB7" s="240">
        <f>SUM(AZ7:BA7)</f>
        <v>7</v>
      </c>
      <c r="BC7" s="242">
        <f>(BB7+1)/(AI7+1)</f>
        <v>2.8469750889679714E-2</v>
      </c>
      <c r="BD7" s="98"/>
      <c r="BE7" s="98"/>
      <c r="BH7" s="17"/>
    </row>
    <row r="8" spans="1:60" ht="12.75" x14ac:dyDescent="0.2">
      <c r="A8" s="321">
        <v>6</v>
      </c>
      <c r="B8" s="331">
        <v>46040</v>
      </c>
      <c r="C8" s="328">
        <v>46041</v>
      </c>
      <c r="D8" s="325">
        <v>4</v>
      </c>
      <c r="E8" s="192">
        <f>AG32</f>
        <v>253</v>
      </c>
      <c r="F8" s="338">
        <f t="shared" ref="F8:J8" si="22">AH32</f>
        <v>252</v>
      </c>
      <c r="G8" s="184">
        <f t="shared" si="22"/>
        <v>251</v>
      </c>
      <c r="H8" s="192">
        <f t="shared" ref="H8" si="23">AJ24</f>
        <v>0</v>
      </c>
      <c r="I8" s="184">
        <f t="shared" si="22"/>
        <v>0</v>
      </c>
      <c r="J8" s="339">
        <f t="shared" si="22"/>
        <v>0</v>
      </c>
      <c r="K8" s="314">
        <f>BA32</f>
        <v>0</v>
      </c>
      <c r="L8" s="184">
        <f t="shared" si="6"/>
        <v>0</v>
      </c>
      <c r="M8" s="193">
        <f t="shared" si="20"/>
        <v>0</v>
      </c>
      <c r="N8" s="184">
        <f>AN32+AO32</f>
        <v>10</v>
      </c>
      <c r="O8" s="194">
        <f t="shared" si="1"/>
        <v>3.9840637450199202E-2</v>
      </c>
      <c r="P8" s="184">
        <f>SUM(AQ32:AR32)</f>
        <v>2</v>
      </c>
      <c r="Q8" s="194">
        <f t="shared" si="7"/>
        <v>7.9681274900398405E-3</v>
      </c>
      <c r="R8" s="184">
        <f>SUM(AT32:AU32)</f>
        <v>1</v>
      </c>
      <c r="S8" s="194">
        <f t="shared" si="2"/>
        <v>3.9840637450199202E-3</v>
      </c>
      <c r="T8" s="184">
        <f>SUM(AW32:AX32)</f>
        <v>0</v>
      </c>
      <c r="U8" s="194">
        <f t="shared" si="3"/>
        <v>0</v>
      </c>
      <c r="V8" s="184">
        <f>AZ32</f>
        <v>13</v>
      </c>
      <c r="W8" s="184">
        <f>BB32</f>
        <v>13</v>
      </c>
      <c r="X8" s="194">
        <f t="shared" si="4"/>
        <v>5.5555555555555552E-2</v>
      </c>
      <c r="Y8" s="195" t="s">
        <v>274</v>
      </c>
      <c r="Z8" s="195" t="s">
        <v>268</v>
      </c>
      <c r="AA8" s="195" t="s">
        <v>342</v>
      </c>
      <c r="AB8" s="207"/>
      <c r="AC8" s="212" t="s">
        <v>276</v>
      </c>
      <c r="AD8" s="15"/>
      <c r="AE8" s="23"/>
      <c r="AF8" s="16"/>
      <c r="AG8" s="15"/>
      <c r="AH8" s="15"/>
      <c r="AI8" s="15"/>
      <c r="AJ8" s="15"/>
      <c r="AK8" s="15"/>
      <c r="AL8" s="22"/>
      <c r="AM8" s="213"/>
      <c r="AN8" s="23"/>
      <c r="AO8" s="23"/>
      <c r="AP8" s="7"/>
      <c r="AQ8" s="15"/>
      <c r="AR8" s="15"/>
      <c r="AS8" s="7"/>
      <c r="AT8" s="15"/>
      <c r="AU8" s="15"/>
      <c r="AV8" s="7"/>
      <c r="AW8" s="15"/>
      <c r="AX8" s="15"/>
      <c r="AY8" s="214"/>
      <c r="AZ8" s="215"/>
      <c r="BA8" s="10"/>
      <c r="BB8" s="7"/>
      <c r="BC8" s="7"/>
      <c r="BD8" s="7"/>
      <c r="BE8" s="7"/>
      <c r="BH8" s="17"/>
    </row>
    <row r="9" spans="1:60" ht="12.75" x14ac:dyDescent="0.2">
      <c r="A9" s="321">
        <v>7</v>
      </c>
      <c r="B9" s="331">
        <v>46040</v>
      </c>
      <c r="C9" s="328">
        <v>46041</v>
      </c>
      <c r="D9" s="325">
        <v>4</v>
      </c>
      <c r="E9" s="347">
        <v>256</v>
      </c>
      <c r="F9" s="340">
        <f t="shared" ref="F9:J9" si="24">AH37</f>
        <v>257</v>
      </c>
      <c r="G9" s="197">
        <f t="shared" si="24"/>
        <v>257</v>
      </c>
      <c r="H9" s="197">
        <f t="shared" si="24"/>
        <v>0</v>
      </c>
      <c r="I9" s="197">
        <f t="shared" si="24"/>
        <v>0</v>
      </c>
      <c r="J9" s="341">
        <f t="shared" si="24"/>
        <v>0</v>
      </c>
      <c r="K9" s="315">
        <f>BA37</f>
        <v>0</v>
      </c>
      <c r="L9" s="184">
        <f t="shared" si="6"/>
        <v>0</v>
      </c>
      <c r="M9" s="193">
        <f t="shared" si="20"/>
        <v>0</v>
      </c>
      <c r="N9" s="184">
        <f>AN37+AO37</f>
        <v>13</v>
      </c>
      <c r="O9" s="194">
        <f t="shared" si="1"/>
        <v>5.0583657587548639E-2</v>
      </c>
      <c r="P9" s="184">
        <f>SUM(AQ37:AR37)</f>
        <v>3</v>
      </c>
      <c r="Q9" s="194">
        <f t="shared" si="7"/>
        <v>1.1673151750972763E-2</v>
      </c>
      <c r="R9" s="184">
        <f>SUM(AT37:AU37)</f>
        <v>2</v>
      </c>
      <c r="S9" s="194">
        <f t="shared" si="2"/>
        <v>7.7821011673151752E-3</v>
      </c>
      <c r="T9" s="184">
        <f>SUM(AW37:AX37)</f>
        <v>0</v>
      </c>
      <c r="U9" s="194">
        <f t="shared" si="3"/>
        <v>0</v>
      </c>
      <c r="V9" s="184">
        <f>AZ37</f>
        <v>18</v>
      </c>
      <c r="W9" s="184">
        <f>BB37</f>
        <v>18</v>
      </c>
      <c r="X9" s="194">
        <f t="shared" si="4"/>
        <v>7.3643410852713184E-2</v>
      </c>
      <c r="Y9" s="195" t="s">
        <v>274</v>
      </c>
      <c r="Z9" s="195" t="s">
        <v>268</v>
      </c>
      <c r="AA9" s="195" t="s">
        <v>342</v>
      </c>
      <c r="AB9" s="207"/>
      <c r="AC9" s="216" t="s">
        <v>271</v>
      </c>
      <c r="AD9" s="217">
        <v>45995</v>
      </c>
      <c r="AE9" s="217">
        <v>45995</v>
      </c>
      <c r="AF9" s="218">
        <v>1</v>
      </c>
      <c r="AG9" s="218">
        <v>252</v>
      </c>
      <c r="AH9" s="219">
        <v>256</v>
      </c>
      <c r="AI9" s="218">
        <v>256</v>
      </c>
      <c r="AJ9" s="218">
        <v>0</v>
      </c>
      <c r="AK9" s="218">
        <v>0</v>
      </c>
      <c r="AL9" s="218">
        <v>0</v>
      </c>
      <c r="AM9" s="220">
        <f>SUM(AJ9:AL9)/AH9</f>
        <v>0</v>
      </c>
      <c r="AN9" s="218">
        <v>1</v>
      </c>
      <c r="AO9" s="218">
        <v>0</v>
      </c>
      <c r="AP9" s="221">
        <f>SUM(AN9:AO9)/AI9</f>
        <v>3.90625E-3</v>
      </c>
      <c r="AQ9" s="218">
        <v>0</v>
      </c>
      <c r="AR9" s="218">
        <v>0</v>
      </c>
      <c r="AS9" s="221">
        <f>(AQ9+AR9)/$AG9</f>
        <v>0</v>
      </c>
      <c r="AT9" s="218">
        <v>0</v>
      </c>
      <c r="AU9" s="218">
        <v>0</v>
      </c>
      <c r="AV9" s="221">
        <f>(AT9+AU9)/$AG9</f>
        <v>0</v>
      </c>
      <c r="AW9" s="218">
        <v>0</v>
      </c>
      <c r="AX9" s="218">
        <v>0</v>
      </c>
      <c r="AY9" s="221">
        <f>(AW9+AX9)/$AG9</f>
        <v>0</v>
      </c>
      <c r="AZ9" s="222">
        <f>SUM(AN9,AQ9,AT9,AW9)</f>
        <v>1</v>
      </c>
      <c r="BA9" s="222">
        <f>SUM(AO9,AR9,AU9,AX9)</f>
        <v>0</v>
      </c>
      <c r="BB9" s="222">
        <f>SUM(AZ9:BA9)</f>
        <v>1</v>
      </c>
      <c r="BC9" s="221">
        <f>(BB9+1)/(AI9+1)</f>
        <v>7.7821011673151752E-3</v>
      </c>
      <c r="BD9" s="223" t="s">
        <v>343</v>
      </c>
      <c r="BE9" s="223" t="s">
        <v>272</v>
      </c>
      <c r="BH9" s="17"/>
    </row>
    <row r="10" spans="1:60" ht="12.75" x14ac:dyDescent="0.2">
      <c r="A10" s="321">
        <v>8</v>
      </c>
      <c r="B10" s="331">
        <v>46043</v>
      </c>
      <c r="C10" s="328">
        <v>46044</v>
      </c>
      <c r="D10" s="325">
        <v>1</v>
      </c>
      <c r="E10" s="347">
        <f t="shared" ref="E10:J10" si="25">AG42</f>
        <v>269</v>
      </c>
      <c r="F10" s="340">
        <f t="shared" si="25"/>
        <v>269</v>
      </c>
      <c r="G10" s="197">
        <f t="shared" si="25"/>
        <v>266</v>
      </c>
      <c r="H10" s="197">
        <f t="shared" si="25"/>
        <v>0</v>
      </c>
      <c r="I10" s="197">
        <f t="shared" si="25"/>
        <v>0</v>
      </c>
      <c r="J10" s="341">
        <f t="shared" si="25"/>
        <v>2</v>
      </c>
      <c r="K10" s="315">
        <f>BA42</f>
        <v>0</v>
      </c>
      <c r="L10" s="184">
        <f t="shared" si="6"/>
        <v>2</v>
      </c>
      <c r="M10" s="193">
        <f t="shared" si="20"/>
        <v>7.4349442379182153E-3</v>
      </c>
      <c r="N10" s="184">
        <f>AN42+AO42</f>
        <v>25</v>
      </c>
      <c r="O10" s="194">
        <f t="shared" si="1"/>
        <v>9.3984962406015032E-2</v>
      </c>
      <c r="P10" s="184">
        <f>SUM(AQ42:AR42)</f>
        <v>0</v>
      </c>
      <c r="Q10" s="194">
        <f t="shared" si="7"/>
        <v>0</v>
      </c>
      <c r="R10" s="184">
        <f>SUM(AT42:AU42)</f>
        <v>0</v>
      </c>
      <c r="S10" s="194">
        <f t="shared" si="2"/>
        <v>0</v>
      </c>
      <c r="T10" s="184">
        <f>SUM(AW42:AX42)</f>
        <v>0</v>
      </c>
      <c r="U10" s="194">
        <f t="shared" si="3"/>
        <v>0</v>
      </c>
      <c r="V10" s="184">
        <f>AZ42</f>
        <v>25</v>
      </c>
      <c r="W10" s="184">
        <f>BB42</f>
        <v>25</v>
      </c>
      <c r="X10" s="194">
        <f t="shared" si="4"/>
        <v>9.7378277153558054E-2</v>
      </c>
      <c r="Y10" s="195" t="s">
        <v>274</v>
      </c>
      <c r="Z10" s="195" t="s">
        <v>268</v>
      </c>
      <c r="AA10" s="195" t="s">
        <v>342</v>
      </c>
      <c r="AB10" s="207"/>
      <c r="AC10" s="224" t="s">
        <v>273</v>
      </c>
      <c r="AD10" s="225"/>
      <c r="AE10" s="225"/>
      <c r="AF10" s="226"/>
      <c r="AG10" s="226"/>
      <c r="AH10" s="227"/>
      <c r="AI10" s="226"/>
      <c r="AJ10" s="226"/>
      <c r="AK10" s="226"/>
      <c r="AL10" s="226"/>
      <c r="AM10" s="228" t="e">
        <f t="shared" ref="AM10:AM11" si="26">SUM(AJ10:AL10)/AH10</f>
        <v>#DIV/0!</v>
      </c>
      <c r="AN10" s="226"/>
      <c r="AO10" s="226"/>
      <c r="AP10" s="229" t="e">
        <f t="shared" ref="AP10:AP11" si="27">SUM(AN10:AO10)/AI10</f>
        <v>#DIV/0!</v>
      </c>
      <c r="AQ10" s="226"/>
      <c r="AR10" s="226"/>
      <c r="AS10" s="229" t="e">
        <f t="shared" ref="AS10:AS11" si="28">(AQ10+AR10)/$AG10</f>
        <v>#DIV/0!</v>
      </c>
      <c r="AT10" s="226"/>
      <c r="AU10" s="226"/>
      <c r="AV10" s="229" t="e">
        <f t="shared" ref="AV10:AV11" si="29">(AT10+AU10)/$AG10</f>
        <v>#DIV/0!</v>
      </c>
      <c r="AW10" s="226"/>
      <c r="AX10" s="226"/>
      <c r="AY10" s="229" t="e">
        <f t="shared" ref="AY10:AY11" si="30">(AW10+AX10)/$AG10</f>
        <v>#DIV/0!</v>
      </c>
      <c r="AZ10" s="230">
        <f t="shared" ref="AZ10:BA11" si="31">SUM(AN10,AQ10,AT10,AW10)</f>
        <v>0</v>
      </c>
      <c r="BA10" s="230">
        <f t="shared" si="31"/>
        <v>0</v>
      </c>
      <c r="BB10" s="230">
        <f t="shared" ref="BB10:BB11" si="32">SUM(AZ10:BA10)</f>
        <v>0</v>
      </c>
      <c r="BC10" s="229">
        <f t="shared" ref="BC10:BC11" si="33">(BB10+1)/(AI10+1)</f>
        <v>1</v>
      </c>
      <c r="BD10" s="231"/>
      <c r="BE10" s="231"/>
      <c r="BH10" s="17"/>
    </row>
    <row r="11" spans="1:60" ht="15" customHeight="1" x14ac:dyDescent="0.2">
      <c r="A11" s="321">
        <v>9</v>
      </c>
      <c r="B11" s="331">
        <v>46043</v>
      </c>
      <c r="C11" s="328">
        <v>46044</v>
      </c>
      <c r="D11" s="325">
        <v>1</v>
      </c>
      <c r="E11" s="347">
        <f t="shared" ref="E11:J11" si="34">AG47</f>
        <v>244</v>
      </c>
      <c r="F11" s="340">
        <f t="shared" si="34"/>
        <v>239</v>
      </c>
      <c r="G11" s="197">
        <f t="shared" si="34"/>
        <v>238</v>
      </c>
      <c r="H11" s="197">
        <f t="shared" si="34"/>
        <v>0</v>
      </c>
      <c r="I11" s="197">
        <f t="shared" si="34"/>
        <v>0</v>
      </c>
      <c r="J11" s="341">
        <f t="shared" si="34"/>
        <v>1</v>
      </c>
      <c r="K11" s="315">
        <f>BA47</f>
        <v>0</v>
      </c>
      <c r="L11" s="184">
        <f t="shared" si="6"/>
        <v>1</v>
      </c>
      <c r="M11" s="193">
        <f t="shared" si="20"/>
        <v>4.0983606557377051E-3</v>
      </c>
      <c r="N11" s="184">
        <f>AN47+AO47</f>
        <v>23</v>
      </c>
      <c r="O11" s="194">
        <f t="shared" si="1"/>
        <v>9.6638655462184878E-2</v>
      </c>
      <c r="P11" s="184">
        <f>SUM(AQ47:AR47)</f>
        <v>0</v>
      </c>
      <c r="Q11" s="194">
        <f t="shared" si="7"/>
        <v>0</v>
      </c>
      <c r="R11" s="184">
        <f>SUM(AT47:AU47)</f>
        <v>1</v>
      </c>
      <c r="S11" s="194">
        <f t="shared" si="2"/>
        <v>4.2016806722689074E-3</v>
      </c>
      <c r="T11" s="184">
        <f>SUM(AW47:AX47)</f>
        <v>0</v>
      </c>
      <c r="U11" s="194">
        <f t="shared" si="3"/>
        <v>0</v>
      </c>
      <c r="V11" s="184">
        <f>AZ47</f>
        <v>24</v>
      </c>
      <c r="W11" s="184">
        <f>BB47</f>
        <v>24</v>
      </c>
      <c r="X11" s="194">
        <f t="shared" si="4"/>
        <v>0.10460251046025104</v>
      </c>
      <c r="Y11" s="195" t="s">
        <v>274</v>
      </c>
      <c r="Z11" s="195" t="s">
        <v>268</v>
      </c>
      <c r="AA11" s="195" t="s">
        <v>342</v>
      </c>
      <c r="AB11" s="207"/>
      <c r="AC11" s="232" t="s">
        <v>275</v>
      </c>
      <c r="AD11" s="233"/>
      <c r="AE11" s="233"/>
      <c r="AF11" s="234"/>
      <c r="AG11" s="234"/>
      <c r="AH11" s="235"/>
      <c r="AI11" s="234"/>
      <c r="AJ11" s="234"/>
      <c r="AK11" s="234"/>
      <c r="AL11" s="234"/>
      <c r="AM11" s="236" t="e">
        <f t="shared" si="26"/>
        <v>#DIV/0!</v>
      </c>
      <c r="AN11" s="234"/>
      <c r="AO11" s="234"/>
      <c r="AP11" s="237" t="e">
        <f t="shared" si="27"/>
        <v>#DIV/0!</v>
      </c>
      <c r="AQ11" s="234"/>
      <c r="AR11" s="234"/>
      <c r="AS11" s="237" t="e">
        <f t="shared" si="28"/>
        <v>#DIV/0!</v>
      </c>
      <c r="AT11" s="234"/>
      <c r="AU11" s="234"/>
      <c r="AV11" s="237" t="e">
        <f t="shared" si="29"/>
        <v>#DIV/0!</v>
      </c>
      <c r="AW11" s="234"/>
      <c r="AX11" s="234"/>
      <c r="AY11" s="237" t="e">
        <f t="shared" si="30"/>
        <v>#DIV/0!</v>
      </c>
      <c r="AZ11" s="238">
        <f t="shared" si="31"/>
        <v>0</v>
      </c>
      <c r="BA11" s="238">
        <f t="shared" si="31"/>
        <v>0</v>
      </c>
      <c r="BB11" s="238">
        <f t="shared" si="32"/>
        <v>0</v>
      </c>
      <c r="BC11" s="237">
        <f t="shared" si="33"/>
        <v>1</v>
      </c>
      <c r="BD11" s="239"/>
      <c r="BE11" s="239"/>
      <c r="BH11" s="17"/>
    </row>
    <row r="12" spans="1:60" ht="15" customHeight="1" x14ac:dyDescent="0.2">
      <c r="A12" s="321">
        <v>10</v>
      </c>
      <c r="B12" s="331">
        <v>46047</v>
      </c>
      <c r="C12" s="328">
        <v>46048</v>
      </c>
      <c r="D12" s="325">
        <v>5</v>
      </c>
      <c r="E12" s="347">
        <f t="shared" ref="E12:J12" si="35">AG52</f>
        <v>259</v>
      </c>
      <c r="F12" s="340">
        <f t="shared" si="35"/>
        <v>259</v>
      </c>
      <c r="G12" s="197">
        <f t="shared" si="35"/>
        <v>259</v>
      </c>
      <c r="H12" s="197">
        <f t="shared" si="35"/>
        <v>0</v>
      </c>
      <c r="I12" s="197">
        <f t="shared" si="35"/>
        <v>0</v>
      </c>
      <c r="J12" s="341">
        <f t="shared" si="35"/>
        <v>0</v>
      </c>
      <c r="K12" s="315">
        <f>BA52</f>
        <v>0</v>
      </c>
      <c r="L12" s="184">
        <f t="shared" si="6"/>
        <v>0</v>
      </c>
      <c r="M12" s="193">
        <f t="shared" si="20"/>
        <v>0</v>
      </c>
      <c r="N12" s="184">
        <f>AN52+AO52</f>
        <v>19</v>
      </c>
      <c r="O12" s="194">
        <f t="shared" si="1"/>
        <v>7.3359073359073365E-2</v>
      </c>
      <c r="P12" s="184">
        <f>SUM(AQ52:AR52)</f>
        <v>2</v>
      </c>
      <c r="Q12" s="194">
        <f t="shared" si="7"/>
        <v>7.7220077220077222E-3</v>
      </c>
      <c r="R12" s="184">
        <f>SUM(AT52:AU52)</f>
        <v>0</v>
      </c>
      <c r="S12" s="194">
        <f t="shared" si="2"/>
        <v>0</v>
      </c>
      <c r="T12" s="184">
        <f>SUM(AW52:AX52)</f>
        <v>0</v>
      </c>
      <c r="U12" s="194">
        <f t="shared" si="3"/>
        <v>0</v>
      </c>
      <c r="V12" s="184">
        <f>AZ52</f>
        <v>21</v>
      </c>
      <c r="W12" s="184">
        <f>BB52</f>
        <v>21</v>
      </c>
      <c r="X12" s="194">
        <f t="shared" si="4"/>
        <v>8.461538461538462E-2</v>
      </c>
      <c r="Y12" s="195" t="s">
        <v>274</v>
      </c>
      <c r="Z12" s="195" t="s">
        <v>268</v>
      </c>
      <c r="AA12" s="195" t="s">
        <v>342</v>
      </c>
      <c r="AB12" s="207"/>
      <c r="AC12" s="7"/>
      <c r="AG12" s="240">
        <f>SUM(AG9:AG11)</f>
        <v>252</v>
      </c>
      <c r="AH12" s="240">
        <f>SUM(AH9:AH11)</f>
        <v>256</v>
      </c>
      <c r="AI12" s="240">
        <f t="shared" ref="AI12:AL12" si="36">SUM(AI9:AI11)</f>
        <v>256</v>
      </c>
      <c r="AJ12" s="240">
        <f t="shared" si="36"/>
        <v>0</v>
      </c>
      <c r="AK12" s="240">
        <f t="shared" si="36"/>
        <v>0</v>
      </c>
      <c r="AL12" s="240">
        <f t="shared" si="36"/>
        <v>0</v>
      </c>
      <c r="AM12" s="135"/>
      <c r="AN12" s="240">
        <f>SUM(AN9:AN11)</f>
        <v>1</v>
      </c>
      <c r="AO12" s="240">
        <f>SUM(AO9:AO11)</f>
        <v>0</v>
      </c>
      <c r="AP12" s="241"/>
      <c r="AQ12" s="240">
        <f>SUM(AQ9:AQ11)</f>
        <v>0</v>
      </c>
      <c r="AR12" s="240">
        <f>SUM(AR9:AR11)</f>
        <v>0</v>
      </c>
      <c r="AS12" s="241"/>
      <c r="AT12" s="240">
        <f>SUM(AT9:AT11)</f>
        <v>0</v>
      </c>
      <c r="AU12" s="240">
        <f>SUM(AU9:AU11)</f>
        <v>0</v>
      </c>
      <c r="AV12" s="241"/>
      <c r="AW12" s="240">
        <f>SUM(AW9:AW11)</f>
        <v>0</v>
      </c>
      <c r="AX12" s="240">
        <f>SUM(AX9:AX11)</f>
        <v>0</v>
      </c>
      <c r="AY12" s="241"/>
      <c r="AZ12" s="240">
        <f>SUM(AZ9:AZ11)</f>
        <v>1</v>
      </c>
      <c r="BA12" s="240">
        <f>SUM(BA9:BA11)</f>
        <v>0</v>
      </c>
      <c r="BB12" s="240">
        <f>SUM(AZ12:BA12)</f>
        <v>1</v>
      </c>
      <c r="BC12" s="242">
        <f>(BB12+1)/(AI12+1)</f>
        <v>7.7821011673151752E-3</v>
      </c>
      <c r="BD12" s="98"/>
      <c r="BE12" s="98"/>
      <c r="BH12" s="17"/>
    </row>
    <row r="13" spans="1:60" ht="15" customHeight="1" x14ac:dyDescent="0.2">
      <c r="A13" s="321">
        <v>11</v>
      </c>
      <c r="B13" s="331">
        <v>46047</v>
      </c>
      <c r="C13" s="328">
        <v>46048</v>
      </c>
      <c r="D13" s="325">
        <v>5</v>
      </c>
      <c r="E13" s="347">
        <f t="shared" ref="E13:J13" si="37">AG57</f>
        <v>243</v>
      </c>
      <c r="F13" s="340">
        <f t="shared" si="37"/>
        <v>237</v>
      </c>
      <c r="G13" s="197">
        <f t="shared" si="37"/>
        <v>238</v>
      </c>
      <c r="H13" s="197">
        <f t="shared" si="37"/>
        <v>1</v>
      </c>
      <c r="I13" s="197">
        <f t="shared" si="37"/>
        <v>0</v>
      </c>
      <c r="J13" s="341">
        <f t="shared" si="37"/>
        <v>0</v>
      </c>
      <c r="K13" s="315">
        <f>BA57</f>
        <v>0</v>
      </c>
      <c r="L13" s="184">
        <f t="shared" si="6"/>
        <v>1</v>
      </c>
      <c r="M13" s="193">
        <f t="shared" si="20"/>
        <v>4.11522633744856E-3</v>
      </c>
      <c r="N13" s="184">
        <f>AN57+AO57</f>
        <v>16</v>
      </c>
      <c r="O13" s="194">
        <f t="shared" si="1"/>
        <v>6.7226890756302518E-2</v>
      </c>
      <c r="P13" s="184">
        <f>SUM(AQ57:AR57)</f>
        <v>2</v>
      </c>
      <c r="Q13" s="194">
        <f t="shared" si="7"/>
        <v>8.4033613445378148E-3</v>
      </c>
      <c r="R13" s="184">
        <f>SUM(AT57:AU57)</f>
        <v>0</v>
      </c>
      <c r="S13" s="194">
        <f t="shared" si="2"/>
        <v>0</v>
      </c>
      <c r="T13" s="184">
        <f>SUM(AW57:AX57)</f>
        <v>0</v>
      </c>
      <c r="U13" s="194">
        <f t="shared" si="3"/>
        <v>0</v>
      </c>
      <c r="V13" s="184">
        <f>AZ57</f>
        <v>18</v>
      </c>
      <c r="W13" s="184">
        <f>BB57</f>
        <v>18</v>
      </c>
      <c r="X13" s="194">
        <f t="shared" si="4"/>
        <v>7.9497907949790794E-2</v>
      </c>
      <c r="Y13" s="195" t="s">
        <v>274</v>
      </c>
      <c r="Z13" s="195" t="s">
        <v>268</v>
      </c>
      <c r="AA13" s="195" t="s">
        <v>342</v>
      </c>
      <c r="AB13" s="207"/>
      <c r="AC13" s="212" t="s">
        <v>277</v>
      </c>
      <c r="AD13" s="15"/>
      <c r="AE13" s="23"/>
      <c r="AF13" s="16"/>
      <c r="AG13" s="15"/>
      <c r="AH13" s="15"/>
      <c r="AI13" s="15"/>
      <c r="AJ13" s="15"/>
      <c r="AK13" s="15"/>
      <c r="AL13" s="22"/>
      <c r="AM13" s="213"/>
      <c r="AN13" s="23"/>
      <c r="AO13" s="23"/>
      <c r="AP13" s="7"/>
      <c r="AQ13" s="15"/>
      <c r="AR13" s="15"/>
      <c r="AS13" s="7"/>
      <c r="AT13" s="15"/>
      <c r="AU13" s="15"/>
      <c r="AV13" s="7"/>
      <c r="AW13" s="15"/>
      <c r="AX13" s="15"/>
      <c r="AY13" s="214"/>
      <c r="AZ13" s="215"/>
      <c r="BA13" s="10"/>
      <c r="BB13" s="7"/>
      <c r="BC13" s="7"/>
      <c r="BD13" s="7"/>
      <c r="BE13" s="7"/>
      <c r="BH13" s="17"/>
    </row>
    <row r="14" spans="1:60" ht="15" customHeight="1" x14ac:dyDescent="0.2">
      <c r="A14" s="321">
        <v>12</v>
      </c>
      <c r="B14" s="331">
        <v>46050</v>
      </c>
      <c r="C14" s="328">
        <v>46051</v>
      </c>
      <c r="D14" s="325">
        <v>1</v>
      </c>
      <c r="E14" s="347">
        <f t="shared" ref="E14:J14" si="38">AG62</f>
        <v>274</v>
      </c>
      <c r="F14" s="340">
        <f t="shared" si="38"/>
        <v>274</v>
      </c>
      <c r="G14" s="197">
        <f t="shared" si="38"/>
        <v>270</v>
      </c>
      <c r="H14" s="197">
        <f t="shared" si="38"/>
        <v>0</v>
      </c>
      <c r="I14" s="197">
        <f t="shared" si="38"/>
        <v>0</v>
      </c>
      <c r="J14" s="341">
        <f t="shared" si="38"/>
        <v>3</v>
      </c>
      <c r="K14" s="315">
        <f>BA62</f>
        <v>0</v>
      </c>
      <c r="L14" s="184">
        <f t="shared" si="6"/>
        <v>3</v>
      </c>
      <c r="M14" s="193">
        <f t="shared" si="20"/>
        <v>1.0948905109489052E-2</v>
      </c>
      <c r="N14" s="184">
        <f>AN62+AO62</f>
        <v>18</v>
      </c>
      <c r="O14" s="194">
        <f t="shared" si="1"/>
        <v>6.6666666666666666E-2</v>
      </c>
      <c r="P14" s="184">
        <f>SUM(AQ62:AR62)</f>
        <v>4</v>
      </c>
      <c r="Q14" s="194">
        <f t="shared" si="7"/>
        <v>1.4814814814814815E-2</v>
      </c>
      <c r="R14" s="184">
        <f>SUM(AT62:AU62)</f>
        <v>0</v>
      </c>
      <c r="S14" s="194">
        <f t="shared" si="2"/>
        <v>0</v>
      </c>
      <c r="T14" s="184">
        <f>SUM(AW62:AX62)</f>
        <v>0</v>
      </c>
      <c r="U14" s="194">
        <f t="shared" si="3"/>
        <v>0</v>
      </c>
      <c r="V14" s="184">
        <f>AZ62</f>
        <v>22</v>
      </c>
      <c r="W14" s="184">
        <f>BB62</f>
        <v>22</v>
      </c>
      <c r="X14" s="194">
        <f t="shared" si="4"/>
        <v>8.4870848708487087E-2</v>
      </c>
      <c r="Y14" s="195" t="s">
        <v>274</v>
      </c>
      <c r="Z14" s="195" t="s">
        <v>268</v>
      </c>
      <c r="AA14" s="195" t="s">
        <v>342</v>
      </c>
      <c r="AB14" s="207"/>
      <c r="AC14" s="216" t="s">
        <v>271</v>
      </c>
      <c r="AD14" s="217">
        <v>46001</v>
      </c>
      <c r="AE14" s="217">
        <v>46001</v>
      </c>
      <c r="AF14" s="218">
        <v>0</v>
      </c>
      <c r="AG14" s="218">
        <v>254</v>
      </c>
      <c r="AH14" s="219">
        <v>254</v>
      </c>
      <c r="AI14" s="218">
        <v>254</v>
      </c>
      <c r="AJ14" s="218">
        <v>0</v>
      </c>
      <c r="AK14" s="218">
        <v>0</v>
      </c>
      <c r="AL14" s="218">
        <v>0</v>
      </c>
      <c r="AM14" s="220">
        <f>SUM(AJ14:AL14)/AH14</f>
        <v>0</v>
      </c>
      <c r="AN14" s="218">
        <v>0</v>
      </c>
      <c r="AO14" s="218">
        <v>0</v>
      </c>
      <c r="AP14" s="221">
        <f>SUM(AN14:AO14)/AI14</f>
        <v>0</v>
      </c>
      <c r="AQ14" s="218">
        <v>4</v>
      </c>
      <c r="AR14" s="218">
        <v>0</v>
      </c>
      <c r="AS14" s="221">
        <f>(AQ14+AR14)/$AG14</f>
        <v>1.5748031496062992E-2</v>
      </c>
      <c r="AT14" s="218">
        <v>0</v>
      </c>
      <c r="AU14" s="218">
        <v>0</v>
      </c>
      <c r="AV14" s="221">
        <f>(AT14+AU14)/$AG14</f>
        <v>0</v>
      </c>
      <c r="AW14" s="218">
        <v>0</v>
      </c>
      <c r="AX14" s="218">
        <v>0</v>
      </c>
      <c r="AY14" s="221">
        <f>(AW14+AX14)/$AG14</f>
        <v>0</v>
      </c>
      <c r="AZ14" s="222">
        <f>SUM(AN14,AQ14,AT14,AW14)</f>
        <v>4</v>
      </c>
      <c r="BA14" s="222">
        <f>SUM(AO14,AR14,AU14,AX14)</f>
        <v>0</v>
      </c>
      <c r="BB14" s="222">
        <f>SUM(AZ14:BA14)</f>
        <v>4</v>
      </c>
      <c r="BC14" s="221">
        <f>(BB14+1)/(AI14+1)</f>
        <v>1.9607843137254902E-2</v>
      </c>
      <c r="BD14" s="223" t="s">
        <v>343</v>
      </c>
      <c r="BE14" s="223" t="s">
        <v>272</v>
      </c>
      <c r="BH14" s="17"/>
    </row>
    <row r="15" spans="1:60" ht="15" customHeight="1" x14ac:dyDescent="0.2">
      <c r="A15" s="321">
        <v>13</v>
      </c>
      <c r="B15" s="331">
        <v>46050</v>
      </c>
      <c r="C15" s="328">
        <v>46051</v>
      </c>
      <c r="D15" s="325">
        <v>1</v>
      </c>
      <c r="E15" s="347">
        <f t="shared" ref="E15:J15" si="39">AG67</f>
        <v>292</v>
      </c>
      <c r="F15" s="340">
        <f t="shared" si="39"/>
        <v>292</v>
      </c>
      <c r="G15" s="197">
        <f t="shared" si="39"/>
        <v>293</v>
      </c>
      <c r="H15" s="197">
        <f t="shared" si="39"/>
        <v>0</v>
      </c>
      <c r="I15" s="197">
        <f t="shared" si="39"/>
        <v>0</v>
      </c>
      <c r="J15" s="341">
        <f t="shared" si="39"/>
        <v>0</v>
      </c>
      <c r="K15" s="315">
        <f>BA67</f>
        <v>0</v>
      </c>
      <c r="L15" s="184">
        <f t="shared" si="6"/>
        <v>0</v>
      </c>
      <c r="M15" s="193">
        <f t="shared" si="20"/>
        <v>0</v>
      </c>
      <c r="N15" s="184">
        <f>AN67+AO67</f>
        <v>14</v>
      </c>
      <c r="O15" s="194">
        <f t="shared" si="1"/>
        <v>4.778156996587031E-2</v>
      </c>
      <c r="P15" s="184">
        <f>SUM(AQ67:AR67)</f>
        <v>4</v>
      </c>
      <c r="Q15" s="194">
        <f t="shared" si="7"/>
        <v>1.3651877133105802E-2</v>
      </c>
      <c r="R15" s="184">
        <f>SUM(AT67:AU67)</f>
        <v>0</v>
      </c>
      <c r="S15" s="194">
        <f t="shared" si="2"/>
        <v>0</v>
      </c>
      <c r="T15" s="184">
        <f>SUM(AW67:AX67)</f>
        <v>0</v>
      </c>
      <c r="U15" s="194">
        <f t="shared" si="3"/>
        <v>0</v>
      </c>
      <c r="V15" s="184">
        <f>AZ67</f>
        <v>18</v>
      </c>
      <c r="W15" s="184">
        <f>BB67</f>
        <v>18</v>
      </c>
      <c r="X15" s="194">
        <f t="shared" si="4"/>
        <v>6.4625850340136057E-2</v>
      </c>
      <c r="Y15" s="195" t="s">
        <v>274</v>
      </c>
      <c r="Z15" s="195" t="s">
        <v>268</v>
      </c>
      <c r="AA15" s="195" t="s">
        <v>342</v>
      </c>
      <c r="AB15" s="207"/>
      <c r="AC15" s="224" t="s">
        <v>273</v>
      </c>
      <c r="AD15" s="225"/>
      <c r="AE15" s="225"/>
      <c r="AF15" s="226"/>
      <c r="AG15" s="226"/>
      <c r="AH15" s="227"/>
      <c r="AI15" s="226"/>
      <c r="AJ15" s="226"/>
      <c r="AK15" s="226"/>
      <c r="AL15" s="226"/>
      <c r="AM15" s="228" t="e">
        <f t="shared" ref="AM15:AM16" si="40">SUM(AJ15:AL15)/AH15</f>
        <v>#DIV/0!</v>
      </c>
      <c r="AN15" s="226"/>
      <c r="AO15" s="226"/>
      <c r="AP15" s="229" t="e">
        <f t="shared" ref="AP15:AP16" si="41">SUM(AN15:AO15)/AI15</f>
        <v>#DIV/0!</v>
      </c>
      <c r="AQ15" s="226"/>
      <c r="AR15" s="226"/>
      <c r="AS15" s="229" t="e">
        <f t="shared" ref="AS15:AS16" si="42">(AQ15+AR15)/$AG15</f>
        <v>#DIV/0!</v>
      </c>
      <c r="AT15" s="226"/>
      <c r="AU15" s="226"/>
      <c r="AV15" s="229" t="e">
        <f t="shared" ref="AV15:AV16" si="43">(AT15+AU15)/$AG15</f>
        <v>#DIV/0!</v>
      </c>
      <c r="AW15" s="226"/>
      <c r="AX15" s="226"/>
      <c r="AY15" s="229" t="e">
        <f t="shared" ref="AY15:AY16" si="44">(AW15+AX15)/$AG15</f>
        <v>#DIV/0!</v>
      </c>
      <c r="AZ15" s="230">
        <f t="shared" ref="AZ15:BA16" si="45">SUM(AN15,AQ15,AT15,AW15)</f>
        <v>0</v>
      </c>
      <c r="BA15" s="230">
        <f t="shared" si="45"/>
        <v>0</v>
      </c>
      <c r="BB15" s="230">
        <f t="shared" ref="BB15:BB16" si="46">SUM(AZ15:BA15)</f>
        <v>0</v>
      </c>
      <c r="BC15" s="229">
        <f t="shared" ref="BC15:BC16" si="47">(BB15+1)/(AI15+1)</f>
        <v>1</v>
      </c>
      <c r="BD15" s="231"/>
      <c r="BE15" s="231"/>
      <c r="BH15" s="17"/>
    </row>
    <row r="16" spans="1:60" ht="15" customHeight="1" x14ac:dyDescent="0.2">
      <c r="A16" s="321">
        <v>14</v>
      </c>
      <c r="B16" s="331">
        <v>46054</v>
      </c>
      <c r="C16" s="328">
        <v>46055</v>
      </c>
      <c r="D16" s="325">
        <v>4</v>
      </c>
      <c r="E16" s="347">
        <f t="shared" ref="E16:J16" si="48">AG72</f>
        <v>245</v>
      </c>
      <c r="F16" s="340">
        <f t="shared" si="48"/>
        <v>245</v>
      </c>
      <c r="G16" s="197">
        <f t="shared" si="48"/>
        <v>244</v>
      </c>
      <c r="H16" s="197">
        <f t="shared" si="48"/>
        <v>0</v>
      </c>
      <c r="I16" s="197">
        <f t="shared" si="48"/>
        <v>0</v>
      </c>
      <c r="J16" s="341">
        <f t="shared" si="48"/>
        <v>1</v>
      </c>
      <c r="K16" s="315">
        <f>BA72</f>
        <v>0</v>
      </c>
      <c r="L16" s="184">
        <f t="shared" si="6"/>
        <v>1</v>
      </c>
      <c r="M16" s="193">
        <f t="shared" si="20"/>
        <v>4.0816326530612249E-3</v>
      </c>
      <c r="N16" s="184">
        <f>AN72+AO72</f>
        <v>19</v>
      </c>
      <c r="O16" s="194">
        <f t="shared" si="1"/>
        <v>7.7868852459016397E-2</v>
      </c>
      <c r="P16" s="184">
        <f>SUM(AQ72:AR72)</f>
        <v>4</v>
      </c>
      <c r="Q16" s="194">
        <f t="shared" si="7"/>
        <v>1.6393442622950821E-2</v>
      </c>
      <c r="R16" s="184">
        <f>SUM(AT72:AU72)</f>
        <v>2</v>
      </c>
      <c r="S16" s="194">
        <f t="shared" si="2"/>
        <v>8.1967213114754103E-3</v>
      </c>
      <c r="T16" s="184">
        <f>SUM(AW72:AX72)</f>
        <v>0</v>
      </c>
      <c r="U16" s="194">
        <f t="shared" si="3"/>
        <v>0</v>
      </c>
      <c r="V16" s="184">
        <f>AZ72</f>
        <v>25</v>
      </c>
      <c r="W16" s="184">
        <f>BB72</f>
        <v>25</v>
      </c>
      <c r="X16" s="194">
        <f t="shared" si="4"/>
        <v>0.10612244897959183</v>
      </c>
      <c r="Y16" s="195" t="s">
        <v>274</v>
      </c>
      <c r="Z16" s="195" t="s">
        <v>268</v>
      </c>
      <c r="AA16" s="195" t="s">
        <v>342</v>
      </c>
      <c r="AB16" s="207"/>
      <c r="AC16" s="232" t="s">
        <v>275</v>
      </c>
      <c r="AD16" s="233"/>
      <c r="AE16" s="233"/>
      <c r="AF16" s="234"/>
      <c r="AG16" s="234"/>
      <c r="AH16" s="235"/>
      <c r="AI16" s="234"/>
      <c r="AJ16" s="234"/>
      <c r="AK16" s="234"/>
      <c r="AL16" s="234"/>
      <c r="AM16" s="236" t="e">
        <f t="shared" si="40"/>
        <v>#DIV/0!</v>
      </c>
      <c r="AN16" s="234"/>
      <c r="AO16" s="234"/>
      <c r="AP16" s="237" t="e">
        <f t="shared" si="41"/>
        <v>#DIV/0!</v>
      </c>
      <c r="AQ16" s="234"/>
      <c r="AR16" s="234"/>
      <c r="AS16" s="237" t="e">
        <f t="shared" si="42"/>
        <v>#DIV/0!</v>
      </c>
      <c r="AT16" s="234"/>
      <c r="AU16" s="234"/>
      <c r="AV16" s="237" t="e">
        <f t="shared" si="43"/>
        <v>#DIV/0!</v>
      </c>
      <c r="AW16" s="234"/>
      <c r="AX16" s="234"/>
      <c r="AY16" s="237" t="e">
        <f t="shared" si="44"/>
        <v>#DIV/0!</v>
      </c>
      <c r="AZ16" s="238">
        <f t="shared" si="45"/>
        <v>0</v>
      </c>
      <c r="BA16" s="238">
        <f t="shared" si="45"/>
        <v>0</v>
      </c>
      <c r="BB16" s="238">
        <f t="shared" si="46"/>
        <v>0</v>
      </c>
      <c r="BC16" s="237">
        <f t="shared" si="47"/>
        <v>1</v>
      </c>
      <c r="BD16" s="239"/>
      <c r="BE16" s="239"/>
      <c r="BH16" s="17"/>
    </row>
    <row r="17" spans="1:60" ht="15" customHeight="1" x14ac:dyDescent="0.2">
      <c r="A17" s="321">
        <v>15</v>
      </c>
      <c r="B17" s="331">
        <v>46054</v>
      </c>
      <c r="C17" s="328">
        <v>46055</v>
      </c>
      <c r="D17" s="325">
        <v>4</v>
      </c>
      <c r="E17" s="347">
        <f t="shared" ref="E17:J17" si="49">AG77</f>
        <v>256</v>
      </c>
      <c r="F17" s="340">
        <f t="shared" si="49"/>
        <v>254</v>
      </c>
      <c r="G17" s="197">
        <f t="shared" si="49"/>
        <v>254</v>
      </c>
      <c r="H17" s="197">
        <f t="shared" si="49"/>
        <v>2</v>
      </c>
      <c r="I17" s="197">
        <f t="shared" si="49"/>
        <v>0</v>
      </c>
      <c r="J17" s="341">
        <f t="shared" si="49"/>
        <v>0</v>
      </c>
      <c r="K17" s="315">
        <f>BA77</f>
        <v>0</v>
      </c>
      <c r="L17" s="184">
        <f t="shared" si="6"/>
        <v>2</v>
      </c>
      <c r="M17" s="193">
        <f t="shared" si="20"/>
        <v>7.8125E-3</v>
      </c>
      <c r="N17" s="184">
        <f>AN77+AO77</f>
        <v>20</v>
      </c>
      <c r="O17" s="194">
        <f t="shared" si="1"/>
        <v>7.874015748031496E-2</v>
      </c>
      <c r="P17" s="184">
        <f>SUM(AQ77:AR77)</f>
        <v>3</v>
      </c>
      <c r="Q17" s="194">
        <f t="shared" si="7"/>
        <v>1.1811023622047244E-2</v>
      </c>
      <c r="R17" s="184">
        <f>SUM(AT77:AU77)</f>
        <v>0</v>
      </c>
      <c r="S17" s="194">
        <f t="shared" si="2"/>
        <v>0</v>
      </c>
      <c r="T17" s="184">
        <f>SUM(AW77:AX77)</f>
        <v>0</v>
      </c>
      <c r="U17" s="194">
        <f t="shared" si="3"/>
        <v>0</v>
      </c>
      <c r="V17" s="184">
        <f>AZ77</f>
        <v>23</v>
      </c>
      <c r="W17" s="184">
        <f>BB77</f>
        <v>23</v>
      </c>
      <c r="X17" s="194">
        <f t="shared" si="4"/>
        <v>9.4117647058823528E-2</v>
      </c>
      <c r="Y17" s="195" t="s">
        <v>274</v>
      </c>
      <c r="Z17" s="195" t="s">
        <v>268</v>
      </c>
      <c r="AA17" s="195" t="s">
        <v>342</v>
      </c>
      <c r="AB17" s="207"/>
      <c r="AC17" s="7"/>
      <c r="AG17" s="240">
        <f>SUM(AG14:AG16)</f>
        <v>254</v>
      </c>
      <c r="AH17" s="240">
        <f>SUM(AH14:AH16)</f>
        <v>254</v>
      </c>
      <c r="AI17" s="240">
        <f t="shared" ref="AI17:AL17" si="50">SUM(AI14:AI16)</f>
        <v>254</v>
      </c>
      <c r="AJ17" s="240">
        <f t="shared" si="50"/>
        <v>0</v>
      </c>
      <c r="AK17" s="240">
        <f t="shared" si="50"/>
        <v>0</v>
      </c>
      <c r="AL17" s="240">
        <f t="shared" si="50"/>
        <v>0</v>
      </c>
      <c r="AM17" s="135"/>
      <c r="AN17" s="240">
        <f>SUM(AN14:AN16)</f>
        <v>0</v>
      </c>
      <c r="AO17" s="240">
        <f>SUM(AO14:AO16)</f>
        <v>0</v>
      </c>
      <c r="AP17" s="241"/>
      <c r="AQ17" s="240">
        <f>SUM(AQ14:AQ16)</f>
        <v>4</v>
      </c>
      <c r="AR17" s="240">
        <f>SUM(AR14:AR16)</f>
        <v>0</v>
      </c>
      <c r="AS17" s="241"/>
      <c r="AT17" s="240">
        <f>SUM(AT14:AT16)</f>
        <v>0</v>
      </c>
      <c r="AU17" s="240">
        <f>SUM(AU14:AU16)</f>
        <v>0</v>
      </c>
      <c r="AV17" s="241"/>
      <c r="AW17" s="240">
        <f>SUM(AW14:AW16)</f>
        <v>0</v>
      </c>
      <c r="AX17" s="240">
        <f>SUM(AX14:AX16)</f>
        <v>0</v>
      </c>
      <c r="AY17" s="241"/>
      <c r="AZ17" s="240">
        <f>SUM(AZ14:AZ16)</f>
        <v>4</v>
      </c>
      <c r="BA17" s="240">
        <f>SUM(BA14:BA16)</f>
        <v>0</v>
      </c>
      <c r="BB17" s="240">
        <f>SUM(AZ17:BA17)</f>
        <v>4</v>
      </c>
      <c r="BC17" s="242">
        <f>(BB17+1)/(AI17+1)</f>
        <v>1.9607843137254902E-2</v>
      </c>
      <c r="BD17" s="98"/>
      <c r="BE17" s="98"/>
      <c r="BH17" s="17"/>
    </row>
    <row r="18" spans="1:60" ht="15" customHeight="1" x14ac:dyDescent="0.2">
      <c r="A18" s="321">
        <v>16</v>
      </c>
      <c r="B18" s="331">
        <v>46057</v>
      </c>
      <c r="C18" s="328">
        <v>46058</v>
      </c>
      <c r="D18" s="325">
        <v>1</v>
      </c>
      <c r="E18" s="197">
        <f>AG82</f>
        <v>269</v>
      </c>
      <c r="F18" s="197">
        <f>AH82</f>
        <v>269</v>
      </c>
      <c r="G18" s="197">
        <f t="shared" ref="G18:J18" si="51">AI82</f>
        <v>278</v>
      </c>
      <c r="H18" s="197">
        <f t="shared" si="51"/>
        <v>0</v>
      </c>
      <c r="I18" s="197">
        <f t="shared" si="51"/>
        <v>0</v>
      </c>
      <c r="J18" s="341">
        <f t="shared" si="51"/>
        <v>1</v>
      </c>
      <c r="K18" s="315">
        <f>BA82</f>
        <v>0</v>
      </c>
      <c r="L18" s="184">
        <f t="shared" si="6"/>
        <v>1</v>
      </c>
      <c r="M18" s="193">
        <f t="shared" si="20"/>
        <v>3.7174721189591076E-3</v>
      </c>
      <c r="N18" s="184">
        <f>AN82+AO82</f>
        <v>6</v>
      </c>
      <c r="O18" s="194">
        <f t="shared" si="1"/>
        <v>2.1582733812949641E-2</v>
      </c>
      <c r="P18" s="184">
        <f>SUM(AQ82:AR82)</f>
        <v>2</v>
      </c>
      <c r="Q18" s="194">
        <f t="shared" si="7"/>
        <v>7.1942446043165471E-3</v>
      </c>
      <c r="R18" s="184">
        <f>SUM(AT82:AU82)</f>
        <v>0</v>
      </c>
      <c r="S18" s="194">
        <f t="shared" si="2"/>
        <v>0</v>
      </c>
      <c r="T18" s="184">
        <f>SUM(AW82:AX82)</f>
        <v>0</v>
      </c>
      <c r="U18" s="194">
        <f t="shared" si="3"/>
        <v>0</v>
      </c>
      <c r="V18" s="184">
        <f>AZ82</f>
        <v>8</v>
      </c>
      <c r="W18" s="184">
        <f>BB82</f>
        <v>8</v>
      </c>
      <c r="X18" s="194">
        <f t="shared" si="4"/>
        <v>3.2258064516129031E-2</v>
      </c>
      <c r="Y18" s="195" t="s">
        <v>274</v>
      </c>
      <c r="Z18" s="195" t="s">
        <v>268</v>
      </c>
      <c r="AA18" s="195" t="s">
        <v>342</v>
      </c>
      <c r="AB18" s="207"/>
      <c r="AC18" s="212" t="s">
        <v>278</v>
      </c>
      <c r="AD18" s="15"/>
      <c r="AE18" s="23"/>
      <c r="AF18" s="16"/>
      <c r="AG18" s="15"/>
      <c r="AH18" s="15"/>
      <c r="AI18" s="15"/>
      <c r="AJ18" s="15"/>
      <c r="AK18" s="15"/>
      <c r="AL18" s="22"/>
      <c r="AM18" s="213"/>
      <c r="AN18" s="23"/>
      <c r="AO18" s="23"/>
      <c r="AP18" s="7"/>
      <c r="AQ18" s="15"/>
      <c r="AR18" s="15"/>
      <c r="AS18" s="7"/>
      <c r="AT18" s="15"/>
      <c r="AU18" s="15"/>
      <c r="AV18" s="7"/>
      <c r="AW18" s="15"/>
      <c r="AX18" s="15"/>
      <c r="AY18" s="214"/>
      <c r="AZ18" s="215"/>
      <c r="BA18" s="10"/>
      <c r="BB18" s="7"/>
      <c r="BC18" s="7"/>
      <c r="BD18" s="7"/>
      <c r="BE18" s="7"/>
    </row>
    <row r="19" spans="1:60" ht="15" customHeight="1" x14ac:dyDescent="0.2">
      <c r="A19" s="321">
        <v>17</v>
      </c>
      <c r="B19" s="331">
        <v>46057</v>
      </c>
      <c r="C19" s="328">
        <v>46058</v>
      </c>
      <c r="D19" s="325">
        <v>1</v>
      </c>
      <c r="E19" s="197">
        <f>AG87</f>
        <v>266</v>
      </c>
      <c r="F19" s="197">
        <f>AH87</f>
        <v>266</v>
      </c>
      <c r="G19" s="197">
        <f>AI87</f>
        <v>267</v>
      </c>
      <c r="H19" s="197">
        <f>AJ87</f>
        <v>0</v>
      </c>
      <c r="I19" s="197">
        <f>AK87</f>
        <v>0</v>
      </c>
      <c r="J19" s="341">
        <f>AL878</f>
        <v>0</v>
      </c>
      <c r="K19" s="315">
        <f>BA87</f>
        <v>0</v>
      </c>
      <c r="L19" s="184">
        <f t="shared" si="6"/>
        <v>0</v>
      </c>
      <c r="M19" s="193">
        <f t="shared" si="20"/>
        <v>0</v>
      </c>
      <c r="N19" s="184">
        <f>AN87+AO87</f>
        <v>3</v>
      </c>
      <c r="O19" s="194">
        <f t="shared" si="1"/>
        <v>1.1235955056179775E-2</v>
      </c>
      <c r="P19" s="184">
        <f>SUM(AQ87:AR87)</f>
        <v>4</v>
      </c>
      <c r="Q19" s="194">
        <f t="shared" si="7"/>
        <v>1.4981273408239701E-2</v>
      </c>
      <c r="R19" s="184">
        <f>SUM(AT87:AU87)</f>
        <v>0</v>
      </c>
      <c r="S19" s="194">
        <f t="shared" si="2"/>
        <v>0</v>
      </c>
      <c r="T19" s="184">
        <f>SUM(AW87:AX87)</f>
        <v>0</v>
      </c>
      <c r="U19" s="194">
        <f t="shared" si="3"/>
        <v>0</v>
      </c>
      <c r="V19" s="184">
        <f>AZ87</f>
        <v>7</v>
      </c>
      <c r="W19" s="184">
        <f>BB87</f>
        <v>7</v>
      </c>
      <c r="X19" s="194">
        <f t="shared" si="4"/>
        <v>2.9850746268656716E-2</v>
      </c>
      <c r="Y19" s="195" t="s">
        <v>274</v>
      </c>
      <c r="Z19" s="195" t="s">
        <v>268</v>
      </c>
      <c r="AA19" s="195" t="s">
        <v>342</v>
      </c>
      <c r="AB19" s="207"/>
      <c r="AC19" s="216" t="s">
        <v>271</v>
      </c>
      <c r="AD19" s="217"/>
      <c r="AE19" s="217"/>
      <c r="AF19" s="218"/>
      <c r="AG19" s="218"/>
      <c r="AH19" s="219"/>
      <c r="AI19" s="218"/>
      <c r="AJ19" s="218"/>
      <c r="AK19" s="218"/>
      <c r="AL19" s="218"/>
      <c r="AM19" s="220" t="e">
        <f>SUM(AJ19:AL19)/AH19</f>
        <v>#DIV/0!</v>
      </c>
      <c r="AN19" s="218"/>
      <c r="AO19" s="218"/>
      <c r="AP19" s="221" t="e">
        <f>SUM(AN19:AO19)/AI19</f>
        <v>#DIV/0!</v>
      </c>
      <c r="AQ19" s="218"/>
      <c r="AR19" s="218"/>
      <c r="AS19" s="221" t="e">
        <f>(AQ19+AR19)/$AG19</f>
        <v>#DIV/0!</v>
      </c>
      <c r="AT19" s="218"/>
      <c r="AU19" s="218"/>
      <c r="AV19" s="221" t="e">
        <f>(AT19+AU19)/$AG19</f>
        <v>#DIV/0!</v>
      </c>
      <c r="AW19" s="218"/>
      <c r="AX19" s="218"/>
      <c r="AY19" s="221" t="e">
        <f>(AW19+AX19)/$AG19</f>
        <v>#DIV/0!</v>
      </c>
      <c r="AZ19" s="222">
        <f>SUM(AN19,AQ19,AT19,AW19)</f>
        <v>0</v>
      </c>
      <c r="BA19" s="222">
        <f>SUM(AO19,AR19,AU19,AX19)</f>
        <v>0</v>
      </c>
      <c r="BB19" s="222">
        <f>SUM(AZ19:BA19)</f>
        <v>0</v>
      </c>
      <c r="BC19" s="221">
        <f>(BB19+1)/(AI19+1)</f>
        <v>1</v>
      </c>
      <c r="BD19" s="223"/>
      <c r="BE19" s="223"/>
    </row>
    <row r="20" spans="1:60" ht="15" customHeight="1" x14ac:dyDescent="0.2">
      <c r="A20" s="321">
        <v>18</v>
      </c>
      <c r="B20" s="331">
        <v>46061</v>
      </c>
      <c r="C20" s="328">
        <v>46062</v>
      </c>
      <c r="D20" s="325">
        <v>2</v>
      </c>
      <c r="E20" s="347">
        <f t="shared" ref="E20:J20" si="52">AG92</f>
        <v>253</v>
      </c>
      <c r="F20" s="340">
        <f t="shared" si="52"/>
        <v>252</v>
      </c>
      <c r="G20" s="197">
        <f t="shared" si="52"/>
        <v>252</v>
      </c>
      <c r="H20" s="197">
        <f t="shared" si="52"/>
        <v>0</v>
      </c>
      <c r="I20" s="197">
        <f t="shared" si="52"/>
        <v>0</v>
      </c>
      <c r="J20" s="341">
        <f t="shared" si="52"/>
        <v>0</v>
      </c>
      <c r="K20" s="315">
        <f>BA92</f>
        <v>0</v>
      </c>
      <c r="L20" s="184">
        <f t="shared" si="6"/>
        <v>0</v>
      </c>
      <c r="M20" s="193">
        <f t="shared" si="20"/>
        <v>0</v>
      </c>
      <c r="N20" s="184">
        <f>AN92+AO92</f>
        <v>8</v>
      </c>
      <c r="O20" s="194">
        <f t="shared" si="1"/>
        <v>3.1746031746031744E-2</v>
      </c>
      <c r="P20" s="184">
        <f>SUM(AQ92:AR92)</f>
        <v>5</v>
      </c>
      <c r="Q20" s="194">
        <f t="shared" si="7"/>
        <v>1.984126984126984E-2</v>
      </c>
      <c r="R20" s="184">
        <f>SUM(AT92:AU92)</f>
        <v>2</v>
      </c>
      <c r="S20" s="194">
        <f t="shared" si="2"/>
        <v>7.9365079365079361E-3</v>
      </c>
      <c r="T20" s="184">
        <f>SUM(AW92:AX92)</f>
        <v>0</v>
      </c>
      <c r="U20" s="194">
        <f t="shared" si="3"/>
        <v>0</v>
      </c>
      <c r="V20" s="184">
        <f>AZ92</f>
        <v>15</v>
      </c>
      <c r="W20" s="184">
        <f>BB92</f>
        <v>15</v>
      </c>
      <c r="X20" s="194">
        <f t="shared" si="4"/>
        <v>6.3241106719367585E-2</v>
      </c>
      <c r="Y20" s="195" t="s">
        <v>274</v>
      </c>
      <c r="Z20" s="195" t="s">
        <v>268</v>
      </c>
      <c r="AA20" s="195" t="s">
        <v>342</v>
      </c>
      <c r="AB20" s="207"/>
      <c r="AC20" s="224" t="s">
        <v>273</v>
      </c>
      <c r="AD20" s="225"/>
      <c r="AE20" s="225"/>
      <c r="AF20" s="226"/>
      <c r="AG20" s="226"/>
      <c r="AH20" s="227"/>
      <c r="AI20" s="226"/>
      <c r="AJ20" s="226"/>
      <c r="AK20" s="226"/>
      <c r="AL20" s="226"/>
      <c r="AM20" s="228" t="e">
        <f t="shared" ref="AM20:AM21" si="53">SUM(AJ20:AL20)/AH20</f>
        <v>#DIV/0!</v>
      </c>
      <c r="AN20" s="226"/>
      <c r="AO20" s="226"/>
      <c r="AP20" s="229" t="e">
        <f t="shared" ref="AP20:AP21" si="54">SUM(AN20:AO20)/AI20</f>
        <v>#DIV/0!</v>
      </c>
      <c r="AQ20" s="226"/>
      <c r="AR20" s="226"/>
      <c r="AS20" s="229" t="e">
        <f t="shared" ref="AS20:AS21" si="55">(AQ20+AR20)/$AG20</f>
        <v>#DIV/0!</v>
      </c>
      <c r="AT20" s="226"/>
      <c r="AU20" s="226"/>
      <c r="AV20" s="229" t="e">
        <f t="shared" ref="AV20:AV21" si="56">(AT20+AU20)/$AG20</f>
        <v>#DIV/0!</v>
      </c>
      <c r="AW20" s="226"/>
      <c r="AX20" s="226"/>
      <c r="AY20" s="229" t="e">
        <f t="shared" ref="AY20:AY21" si="57">(AW20+AX20)/$AG20</f>
        <v>#DIV/0!</v>
      </c>
      <c r="AZ20" s="230">
        <f t="shared" ref="AZ20:BA21" si="58">SUM(AN20,AQ20,AT20,AW20)</f>
        <v>0</v>
      </c>
      <c r="BA20" s="230">
        <f t="shared" si="58"/>
        <v>0</v>
      </c>
      <c r="BB20" s="230">
        <f t="shared" ref="BB20:BB21" si="59">SUM(AZ20:BA20)</f>
        <v>0</v>
      </c>
      <c r="BC20" s="229">
        <f t="shared" ref="BC20:BC21" si="60">(BB20+1)/(AI20+1)</f>
        <v>1</v>
      </c>
      <c r="BD20" s="231"/>
      <c r="BE20" s="231"/>
    </row>
    <row r="21" spans="1:60" ht="15" customHeight="1" x14ac:dyDescent="0.2">
      <c r="A21" s="321">
        <v>19</v>
      </c>
      <c r="B21" s="331">
        <v>46061</v>
      </c>
      <c r="C21" s="328">
        <v>46062</v>
      </c>
      <c r="D21" s="325">
        <v>2</v>
      </c>
      <c r="E21" s="347">
        <f t="shared" ref="E21:J21" si="61">AG97</f>
        <v>253</v>
      </c>
      <c r="F21" s="340">
        <f t="shared" si="61"/>
        <v>250</v>
      </c>
      <c r="G21" s="197">
        <f t="shared" si="61"/>
        <v>250</v>
      </c>
      <c r="H21" s="197">
        <f t="shared" si="61"/>
        <v>1</v>
      </c>
      <c r="I21" s="197">
        <f t="shared" si="61"/>
        <v>0</v>
      </c>
      <c r="J21" s="341">
        <f t="shared" si="61"/>
        <v>0</v>
      </c>
      <c r="K21" s="315">
        <f>BA97</f>
        <v>0</v>
      </c>
      <c r="L21" s="184">
        <f t="shared" si="6"/>
        <v>1</v>
      </c>
      <c r="M21" s="193">
        <f t="shared" si="20"/>
        <v>3.952569169960474E-3</v>
      </c>
      <c r="N21" s="184">
        <f>AN97+AO97</f>
        <v>6</v>
      </c>
      <c r="O21" s="194">
        <f t="shared" si="1"/>
        <v>2.4E-2</v>
      </c>
      <c r="P21" s="184">
        <f>SUM(AQ97:AR97)</f>
        <v>7</v>
      </c>
      <c r="Q21" s="194">
        <f t="shared" si="7"/>
        <v>2.8000000000000001E-2</v>
      </c>
      <c r="R21" s="184">
        <f>SUM(AT97:AU97)</f>
        <v>0</v>
      </c>
      <c r="S21" s="194">
        <f t="shared" si="2"/>
        <v>0</v>
      </c>
      <c r="T21" s="184">
        <f>SUM(AW97:AX97)</f>
        <v>0</v>
      </c>
      <c r="U21" s="194">
        <f t="shared" si="3"/>
        <v>0</v>
      </c>
      <c r="V21" s="184">
        <f>AZ97</f>
        <v>13</v>
      </c>
      <c r="W21" s="184">
        <f>BB97</f>
        <v>13</v>
      </c>
      <c r="X21" s="194">
        <f t="shared" si="4"/>
        <v>5.5776892430278883E-2</v>
      </c>
      <c r="Y21" s="195" t="s">
        <v>274</v>
      </c>
      <c r="Z21" s="195" t="s">
        <v>268</v>
      </c>
      <c r="AA21" s="195" t="s">
        <v>342</v>
      </c>
      <c r="AB21" s="207"/>
      <c r="AC21" s="232" t="s">
        <v>275</v>
      </c>
      <c r="AD21" s="233">
        <v>46036</v>
      </c>
      <c r="AE21" s="233">
        <v>46037</v>
      </c>
      <c r="AF21" s="234">
        <v>1</v>
      </c>
      <c r="AG21" s="234">
        <v>263</v>
      </c>
      <c r="AH21" s="235">
        <v>263</v>
      </c>
      <c r="AI21" s="234">
        <v>263</v>
      </c>
      <c r="AJ21" s="234">
        <v>0</v>
      </c>
      <c r="AK21" s="234"/>
      <c r="AL21" s="234">
        <v>0</v>
      </c>
      <c r="AM21" s="236">
        <f t="shared" si="53"/>
        <v>0</v>
      </c>
      <c r="AN21" s="234">
        <v>6</v>
      </c>
      <c r="AO21" s="234">
        <v>0</v>
      </c>
      <c r="AP21" s="237">
        <f t="shared" si="54"/>
        <v>2.2813688212927757E-2</v>
      </c>
      <c r="AQ21" s="234">
        <v>4</v>
      </c>
      <c r="AR21" s="234">
        <v>0</v>
      </c>
      <c r="AS21" s="237">
        <f t="shared" si="55"/>
        <v>1.5209125475285171E-2</v>
      </c>
      <c r="AT21" s="234">
        <v>0</v>
      </c>
      <c r="AU21" s="234">
        <v>0</v>
      </c>
      <c r="AV21" s="237">
        <f t="shared" si="56"/>
        <v>0</v>
      </c>
      <c r="AW21" s="234">
        <v>0</v>
      </c>
      <c r="AX21" s="234">
        <v>0</v>
      </c>
      <c r="AY21" s="237">
        <f t="shared" si="57"/>
        <v>0</v>
      </c>
      <c r="AZ21" s="238">
        <f t="shared" si="58"/>
        <v>10</v>
      </c>
      <c r="BA21" s="238">
        <f t="shared" si="58"/>
        <v>0</v>
      </c>
      <c r="BB21" s="238">
        <f t="shared" si="59"/>
        <v>10</v>
      </c>
      <c r="BC21" s="237">
        <f t="shared" si="60"/>
        <v>4.1666666666666664E-2</v>
      </c>
      <c r="BD21" s="239" t="s">
        <v>274</v>
      </c>
      <c r="BE21" s="239" t="s">
        <v>268</v>
      </c>
    </row>
    <row r="22" spans="1:60" ht="15" customHeight="1" x14ac:dyDescent="0.2">
      <c r="A22" s="322">
        <v>20</v>
      </c>
      <c r="B22" s="332">
        <v>46064</v>
      </c>
      <c r="C22" s="329">
        <v>46065</v>
      </c>
      <c r="D22" s="326">
        <v>1</v>
      </c>
      <c r="E22" s="348">
        <f t="shared" ref="E22:J22" si="62">AG102</f>
        <v>502</v>
      </c>
      <c r="F22" s="342">
        <f t="shared" si="62"/>
        <v>502</v>
      </c>
      <c r="G22" s="343">
        <v>495</v>
      </c>
      <c r="H22" s="343">
        <f t="shared" si="62"/>
        <v>0</v>
      </c>
      <c r="I22" s="343">
        <f t="shared" si="62"/>
        <v>0</v>
      </c>
      <c r="J22" s="344">
        <f t="shared" si="62"/>
        <v>7</v>
      </c>
      <c r="K22" s="316">
        <f>BA102</f>
        <v>0</v>
      </c>
      <c r="L22" s="202">
        <f>SUM(K23:K23)</f>
        <v>0</v>
      </c>
      <c r="M22" s="203">
        <f t="shared" si="20"/>
        <v>0</v>
      </c>
      <c r="N22" s="202">
        <f>AN102+AO102</f>
        <v>16</v>
      </c>
      <c r="O22" s="204">
        <f t="shared" si="1"/>
        <v>3.2323232323232323E-2</v>
      </c>
      <c r="P22" s="202">
        <f>SUM(AQ102:AR102)</f>
        <v>2</v>
      </c>
      <c r="Q22" s="204">
        <f t="shared" si="7"/>
        <v>4.0404040404040404E-3</v>
      </c>
      <c r="R22" s="202">
        <f>SUM(AT102:AU102)</f>
        <v>2</v>
      </c>
      <c r="S22" s="204">
        <f t="shared" si="2"/>
        <v>4.0404040404040404E-3</v>
      </c>
      <c r="T22" s="202">
        <f>SUM(AW102:AX102)</f>
        <v>0</v>
      </c>
      <c r="U22" s="204">
        <f t="shared" si="3"/>
        <v>0</v>
      </c>
      <c r="V22" s="202">
        <f>AZ102</f>
        <v>20</v>
      </c>
      <c r="W22" s="202">
        <f>BB102</f>
        <v>20</v>
      </c>
      <c r="X22" s="307">
        <f t="shared" si="4"/>
        <v>4.2338709677419352E-2</v>
      </c>
      <c r="Y22" s="205" t="s">
        <v>274</v>
      </c>
      <c r="Z22" s="205" t="s">
        <v>268</v>
      </c>
      <c r="AA22" s="205" t="s">
        <v>342</v>
      </c>
      <c r="AB22" s="207"/>
      <c r="AC22" s="7"/>
      <c r="AG22" s="240">
        <f>SUM(AG19:AG21)</f>
        <v>263</v>
      </c>
      <c r="AH22" s="240">
        <f>SUM(AH19:AH21)</f>
        <v>263</v>
      </c>
      <c r="AI22" s="240">
        <f t="shared" ref="AI22:AL22" si="63">SUM(AI19:AI21)</f>
        <v>263</v>
      </c>
      <c r="AJ22" s="240">
        <f t="shared" si="63"/>
        <v>0</v>
      </c>
      <c r="AK22" s="240">
        <f t="shared" si="63"/>
        <v>0</v>
      </c>
      <c r="AL22" s="240">
        <f t="shared" si="63"/>
        <v>0</v>
      </c>
      <c r="AM22" s="135"/>
      <c r="AN22" s="240">
        <f>SUM(AN19:AN21)</f>
        <v>6</v>
      </c>
      <c r="AO22" s="240">
        <f>SUM(AO19:AO21)</f>
        <v>0</v>
      </c>
      <c r="AP22" s="241"/>
      <c r="AQ22" s="240">
        <f>SUM(AQ19:AQ21)</f>
        <v>4</v>
      </c>
      <c r="AR22" s="240">
        <f>SUM(AR19:AR21)</f>
        <v>0</v>
      </c>
      <c r="AS22" s="241"/>
      <c r="AT22" s="240">
        <f>SUM(AT19:AT21)</f>
        <v>0</v>
      </c>
      <c r="AU22" s="240">
        <f>SUM(AU19:AU21)</f>
        <v>0</v>
      </c>
      <c r="AV22" s="241"/>
      <c r="AW22" s="240">
        <f>SUM(AW19:AW21)</f>
        <v>0</v>
      </c>
      <c r="AX22" s="240">
        <f>SUM(AX19:AX21)</f>
        <v>0</v>
      </c>
      <c r="AY22" s="241"/>
      <c r="AZ22" s="240">
        <f>SUM(AZ19:AZ21)</f>
        <v>10</v>
      </c>
      <c r="BA22" s="240">
        <f>SUM(BA19:BA21)</f>
        <v>0</v>
      </c>
      <c r="BB22" s="240">
        <f>SUM(AZ22:BA22)</f>
        <v>10</v>
      </c>
      <c r="BC22" s="242">
        <f>(BB22+1)/(AI22+1)</f>
        <v>4.1666666666666664E-2</v>
      </c>
      <c r="BD22" s="98"/>
      <c r="BE22" s="98"/>
    </row>
    <row r="23" spans="1:60" ht="15" customHeight="1" x14ac:dyDescent="0.2">
      <c r="A23" s="311"/>
      <c r="D23" s="24"/>
      <c r="E23" s="99">
        <f t="shared" ref="E23:K23" si="64">SUM(E3:E22)</f>
        <v>5438</v>
      </c>
      <c r="F23" s="99">
        <f t="shared" si="64"/>
        <v>5425</v>
      </c>
      <c r="G23" s="99">
        <f t="shared" si="64"/>
        <v>5419</v>
      </c>
      <c r="H23" s="99">
        <f t="shared" si="64"/>
        <v>4</v>
      </c>
      <c r="I23" s="99">
        <f t="shared" si="64"/>
        <v>0</v>
      </c>
      <c r="J23" s="99">
        <f t="shared" si="64"/>
        <v>16</v>
      </c>
      <c r="K23" s="99">
        <f t="shared" si="64"/>
        <v>0</v>
      </c>
      <c r="L23" s="99">
        <f>SUM(H24:K24)</f>
        <v>0</v>
      </c>
      <c r="M23" s="101">
        <f>L23/E23</f>
        <v>0</v>
      </c>
      <c r="N23" s="99">
        <f>SUM(N3:N22)</f>
        <v>234</v>
      </c>
      <c r="O23" s="100">
        <f>N23/G23</f>
        <v>4.3181398782063111E-2</v>
      </c>
      <c r="P23" s="99">
        <f>SUM(P3:P22)</f>
        <v>58</v>
      </c>
      <c r="Q23" s="100">
        <f>P23/G23</f>
        <v>1.0703081749400259E-2</v>
      </c>
      <c r="R23" s="99">
        <f>SUM(R3:R22)</f>
        <v>10</v>
      </c>
      <c r="S23" s="100">
        <f>R23/G23</f>
        <v>1.8453589223103894E-3</v>
      </c>
      <c r="T23" s="99">
        <f>SUM(T3:T6)</f>
        <v>0</v>
      </c>
      <c r="U23" s="100">
        <f>T23/G23</f>
        <v>0</v>
      </c>
      <c r="V23" s="99">
        <f>SUM(V3:V22)</f>
        <v>302</v>
      </c>
      <c r="W23" s="99">
        <f>SUM(W3:W22)</f>
        <v>302</v>
      </c>
      <c r="X23" s="99">
        <f>SUM(X3:X22)</f>
        <v>1.2091589780490206</v>
      </c>
      <c r="Y23" s="100"/>
      <c r="Z23" s="101"/>
      <c r="AA23" s="101"/>
      <c r="AB23" s="101"/>
      <c r="AC23" s="212" t="s">
        <v>279</v>
      </c>
      <c r="AD23" s="15"/>
      <c r="AE23" s="23"/>
      <c r="AF23" s="16"/>
      <c r="AG23" s="15"/>
      <c r="AH23" s="15"/>
      <c r="AI23" s="15"/>
      <c r="AJ23" s="15"/>
      <c r="AK23" s="15"/>
      <c r="AL23" s="22"/>
      <c r="AM23" s="213"/>
      <c r="AN23" s="23"/>
      <c r="AO23" s="23"/>
      <c r="AP23" s="7"/>
      <c r="AQ23" s="15"/>
      <c r="AR23" s="15"/>
      <c r="AS23" s="7"/>
      <c r="AT23" s="15"/>
      <c r="AU23" s="15"/>
      <c r="AV23" s="7"/>
      <c r="AW23" s="15"/>
      <c r="AX23" s="15"/>
      <c r="AY23" s="214"/>
      <c r="AZ23" s="215"/>
      <c r="BA23" s="10"/>
      <c r="BB23" s="7"/>
      <c r="BC23" s="7"/>
      <c r="BD23" s="7"/>
      <c r="BE23" s="7"/>
    </row>
    <row r="24" spans="1:60" ht="15" customHeight="1" x14ac:dyDescent="0.2">
      <c r="A24" s="311"/>
      <c r="O24" s="18"/>
      <c r="Q24" s="18"/>
      <c r="S24" s="18"/>
      <c r="U24" s="18"/>
      <c r="Y24" s="23"/>
      <c r="Z24" s="18"/>
      <c r="AA24" s="18"/>
      <c r="AB24" s="18"/>
      <c r="AC24" s="216" t="s">
        <v>271</v>
      </c>
      <c r="AD24" s="217"/>
      <c r="AE24" s="217"/>
      <c r="AF24" s="218"/>
      <c r="AG24" s="218"/>
      <c r="AH24" s="219"/>
      <c r="AI24" s="218"/>
      <c r="AJ24" s="218"/>
      <c r="AK24" s="218"/>
      <c r="AL24" s="218"/>
      <c r="AM24" s="220" t="e">
        <f>SUM(AJ24:AL24)/AH24</f>
        <v>#DIV/0!</v>
      </c>
      <c r="AN24" s="218"/>
      <c r="AO24" s="218"/>
      <c r="AP24" s="221" t="e">
        <f>SUM(AN24:AO24)/AI24</f>
        <v>#DIV/0!</v>
      </c>
      <c r="AQ24" s="218"/>
      <c r="AR24" s="218"/>
      <c r="AS24" s="221" t="e">
        <f>(AQ24+AR24)/$AG24</f>
        <v>#DIV/0!</v>
      </c>
      <c r="AT24" s="218"/>
      <c r="AU24" s="218"/>
      <c r="AV24" s="221" t="e">
        <f>(AT24+AU24)/$AG24</f>
        <v>#DIV/0!</v>
      </c>
      <c r="AW24" s="218"/>
      <c r="AX24" s="218"/>
      <c r="AY24" s="221" t="e">
        <f>(AW24+AX24)/$AG24</f>
        <v>#DIV/0!</v>
      </c>
      <c r="AZ24" s="222">
        <f>SUM(AN24,AQ24,AT24,AW24)</f>
        <v>0</v>
      </c>
      <c r="BA24" s="222">
        <f>SUM(AO24,AR24,AU24,AX24)</f>
        <v>0</v>
      </c>
      <c r="BB24" s="222">
        <f>SUM(AZ24:BA24)</f>
        <v>0</v>
      </c>
      <c r="BC24" s="221">
        <f>(BB24+1)/(AI24+1)</f>
        <v>1</v>
      </c>
      <c r="BD24" s="223"/>
      <c r="BE24" s="223"/>
    </row>
    <row r="25" spans="1:60" ht="15" customHeight="1" x14ac:dyDescent="0.3">
      <c r="A25" s="311"/>
      <c r="F25" s="107" t="s">
        <v>289</v>
      </c>
      <c r="G25" s="122"/>
      <c r="H25" s="123"/>
      <c r="I25" s="124"/>
      <c r="J25" s="124"/>
      <c r="K25" s="124"/>
      <c r="L25" s="124"/>
      <c r="M25" s="125"/>
      <c r="N25" s="125"/>
      <c r="O25" s="12"/>
      <c r="P25" s="123"/>
      <c r="Q25" s="13"/>
      <c r="R25" s="123"/>
      <c r="S25" s="13"/>
      <c r="T25" s="123"/>
      <c r="U25" s="14"/>
      <c r="V25" s="131"/>
      <c r="Y25" s="23"/>
      <c r="Z25" s="18"/>
      <c r="AA25" s="18"/>
      <c r="AB25" s="18"/>
      <c r="AC25" s="224" t="s">
        <v>273</v>
      </c>
      <c r="AD25" s="225">
        <v>46036</v>
      </c>
      <c r="AE25" s="225">
        <v>46037</v>
      </c>
      <c r="AF25" s="226">
        <v>1</v>
      </c>
      <c r="AG25" s="226">
        <v>254</v>
      </c>
      <c r="AH25" s="227">
        <v>254</v>
      </c>
      <c r="AI25" s="226">
        <v>254</v>
      </c>
      <c r="AJ25" s="226">
        <v>0</v>
      </c>
      <c r="AK25" s="226"/>
      <c r="AL25" s="226">
        <v>0</v>
      </c>
      <c r="AM25" s="228">
        <f t="shared" ref="AM25:AM26" si="65">SUM(AJ25:AL25)/AH25</f>
        <v>0</v>
      </c>
      <c r="AN25" s="226">
        <v>8</v>
      </c>
      <c r="AO25" s="226">
        <v>0</v>
      </c>
      <c r="AP25" s="229">
        <f t="shared" ref="AP25:AP26" si="66">SUM(AN25:AO25)/AI25</f>
        <v>3.1496062992125984E-2</v>
      </c>
      <c r="AQ25" s="226">
        <v>2</v>
      </c>
      <c r="AR25" s="226">
        <v>0</v>
      </c>
      <c r="AS25" s="229">
        <f t="shared" ref="AS25:AS26" si="67">(AQ25+AR25)/$AG25</f>
        <v>7.874015748031496E-3</v>
      </c>
      <c r="AT25" s="226">
        <v>0</v>
      </c>
      <c r="AU25" s="226">
        <v>0</v>
      </c>
      <c r="AV25" s="229">
        <f t="shared" ref="AV25:AV26" si="68">(AT25+AU25)/$AG25</f>
        <v>0</v>
      </c>
      <c r="AW25" s="226">
        <v>0</v>
      </c>
      <c r="AX25" s="226">
        <v>0</v>
      </c>
      <c r="AY25" s="229">
        <f t="shared" ref="AY25:AY26" si="69">(AW25+AX25)/$AG25</f>
        <v>0</v>
      </c>
      <c r="AZ25" s="230">
        <f t="shared" ref="AZ25:BA26" si="70">SUM(AN25,AQ25,AT25,AW25)</f>
        <v>10</v>
      </c>
      <c r="BA25" s="230">
        <f t="shared" si="70"/>
        <v>0</v>
      </c>
      <c r="BB25" s="230">
        <f t="shared" ref="BB25:BB26" si="71">SUM(AZ25:BA25)</f>
        <v>10</v>
      </c>
      <c r="BC25" s="229">
        <f t="shared" ref="BC25:BC26" si="72">(BB25+1)/(AI25+1)</f>
        <v>4.3137254901960784E-2</v>
      </c>
      <c r="BD25" s="231" t="s">
        <v>274</v>
      </c>
      <c r="BE25" s="231" t="s">
        <v>268</v>
      </c>
    </row>
    <row r="26" spans="1:60" ht="15" customHeight="1" x14ac:dyDescent="0.3">
      <c r="A26" s="311"/>
      <c r="F26" s="137" t="s">
        <v>228</v>
      </c>
      <c r="G26" s="138"/>
      <c r="H26" s="139"/>
      <c r="I26" s="140"/>
      <c r="J26" s="141"/>
      <c r="K26" s="141"/>
      <c r="L26" s="141"/>
      <c r="M26" s="142"/>
      <c r="N26" s="139"/>
      <c r="O26" s="143"/>
      <c r="P26" s="139"/>
      <c r="Q26" s="143"/>
      <c r="R26" s="139"/>
      <c r="S26" s="144"/>
      <c r="T26" s="145"/>
      <c r="U26" s="18"/>
      <c r="Y26" s="23"/>
      <c r="Z26" s="18"/>
      <c r="AA26" s="18"/>
      <c r="AB26" s="18"/>
      <c r="AC26" s="232" t="s">
        <v>275</v>
      </c>
      <c r="AD26" s="233"/>
      <c r="AE26" s="233"/>
      <c r="AF26" s="234"/>
      <c r="AG26" s="234"/>
      <c r="AH26" s="235"/>
      <c r="AI26" s="234"/>
      <c r="AJ26" s="234"/>
      <c r="AK26" s="234"/>
      <c r="AL26" s="234"/>
      <c r="AM26" s="236" t="e">
        <f t="shared" si="65"/>
        <v>#DIV/0!</v>
      </c>
      <c r="AN26" s="234"/>
      <c r="AO26" s="234"/>
      <c r="AP26" s="237" t="e">
        <f t="shared" si="66"/>
        <v>#DIV/0!</v>
      </c>
      <c r="AQ26" s="234"/>
      <c r="AR26" s="234"/>
      <c r="AS26" s="237" t="e">
        <f t="shared" si="67"/>
        <v>#DIV/0!</v>
      </c>
      <c r="AT26" s="234"/>
      <c r="AU26" s="234"/>
      <c r="AV26" s="237" t="e">
        <f t="shared" si="68"/>
        <v>#DIV/0!</v>
      </c>
      <c r="AW26" s="234"/>
      <c r="AX26" s="234"/>
      <c r="AY26" s="237" t="e">
        <f t="shared" si="69"/>
        <v>#DIV/0!</v>
      </c>
      <c r="AZ26" s="238">
        <f t="shared" si="70"/>
        <v>0</v>
      </c>
      <c r="BA26" s="238">
        <f t="shared" si="70"/>
        <v>0</v>
      </c>
      <c r="BB26" s="238">
        <f t="shared" si="71"/>
        <v>0</v>
      </c>
      <c r="BC26" s="237">
        <f t="shared" si="72"/>
        <v>1</v>
      </c>
      <c r="BD26" s="239"/>
      <c r="BE26" s="239"/>
    </row>
    <row r="27" spans="1:60" ht="12.75" x14ac:dyDescent="0.2">
      <c r="A27" s="311"/>
      <c r="O27" s="18"/>
      <c r="Q27" s="18"/>
      <c r="S27" s="18"/>
      <c r="U27" s="18"/>
      <c r="Y27" s="23"/>
      <c r="Z27" s="18"/>
      <c r="AA27" s="18"/>
      <c r="AB27" s="18"/>
      <c r="AC27" s="7"/>
      <c r="AG27" s="240">
        <f>SUM(AG24:AG26)</f>
        <v>254</v>
      </c>
      <c r="AH27" s="240">
        <f>SUM(AH24:AH26)</f>
        <v>254</v>
      </c>
      <c r="AI27" s="240">
        <f t="shared" ref="AI27:AL27" si="73">SUM(AI24:AI26)</f>
        <v>254</v>
      </c>
      <c r="AJ27" s="240">
        <f t="shared" si="73"/>
        <v>0</v>
      </c>
      <c r="AK27" s="240">
        <f t="shared" si="73"/>
        <v>0</v>
      </c>
      <c r="AL27" s="240">
        <f t="shared" si="73"/>
        <v>0</v>
      </c>
      <c r="AM27" s="135"/>
      <c r="AN27" s="240">
        <f>SUM(AN24:AN26)</f>
        <v>8</v>
      </c>
      <c r="AO27" s="240">
        <f>SUM(AO24:AO26)</f>
        <v>0</v>
      </c>
      <c r="AP27" s="241"/>
      <c r="AQ27" s="240">
        <f>SUM(AQ24:AQ26)</f>
        <v>2</v>
      </c>
      <c r="AR27" s="240">
        <f>SUM(AR24:AR26)</f>
        <v>0</v>
      </c>
      <c r="AS27" s="241"/>
      <c r="AT27" s="240">
        <f>SUM(AT24:AT26)</f>
        <v>0</v>
      </c>
      <c r="AU27" s="240">
        <f>SUM(AU24:AU26)</f>
        <v>0</v>
      </c>
      <c r="AV27" s="241"/>
      <c r="AW27" s="240">
        <f>SUM(AW24:AW26)</f>
        <v>0</v>
      </c>
      <c r="AX27" s="240">
        <f>SUM(AX24:AX26)</f>
        <v>0</v>
      </c>
      <c r="AY27" s="241"/>
      <c r="AZ27" s="240">
        <f>SUM(AZ24:AZ26)</f>
        <v>10</v>
      </c>
      <c r="BA27" s="240">
        <f>SUM(BA24:BA26)</f>
        <v>0</v>
      </c>
      <c r="BB27" s="240">
        <f>SUM(AZ27:BA27)</f>
        <v>10</v>
      </c>
      <c r="BC27" s="242">
        <f>(BB27+1)/(AI27+1)</f>
        <v>4.3137254901960784E-2</v>
      </c>
      <c r="BD27" s="98"/>
      <c r="BE27" s="98"/>
    </row>
    <row r="28" spans="1:60" ht="12.75" x14ac:dyDescent="0.2">
      <c r="A28" s="311"/>
      <c r="I28" s="116" t="s">
        <v>291</v>
      </c>
      <c r="J28" s="3" t="s">
        <v>292</v>
      </c>
      <c r="K28" s="116" t="s">
        <v>293</v>
      </c>
      <c r="L28" s="115"/>
      <c r="M28" s="115"/>
      <c r="N28" s="115"/>
      <c r="O28" s="115"/>
      <c r="P28" s="115"/>
      <c r="Q28" s="115"/>
      <c r="U28" s="31"/>
      <c r="V28" s="133"/>
      <c r="W28" s="133"/>
      <c r="X28" s="133"/>
      <c r="Z28" s="18"/>
      <c r="AA28" s="18"/>
      <c r="AB28" s="18"/>
      <c r="AC28" s="212" t="s">
        <v>280</v>
      </c>
      <c r="AD28" s="15"/>
      <c r="AE28" s="23"/>
      <c r="AF28" s="16"/>
      <c r="AG28" s="15"/>
      <c r="AH28" s="15"/>
      <c r="AI28" s="15"/>
      <c r="AJ28" s="15"/>
      <c r="AK28" s="15"/>
      <c r="AL28" s="22"/>
      <c r="AM28" s="213"/>
      <c r="AN28" s="23"/>
      <c r="AO28" s="23"/>
      <c r="AP28" s="7"/>
      <c r="AQ28" s="15"/>
      <c r="AR28" s="15"/>
      <c r="AS28" s="7"/>
      <c r="AT28" s="15"/>
      <c r="AU28" s="15"/>
      <c r="AV28" s="7"/>
      <c r="AW28" s="15"/>
      <c r="AX28" s="15"/>
      <c r="AY28" s="214"/>
      <c r="AZ28" s="215"/>
      <c r="BA28" s="10"/>
      <c r="BB28" s="7"/>
      <c r="BC28" s="7"/>
      <c r="BD28" s="7"/>
      <c r="BE28" s="7"/>
    </row>
    <row r="29" spans="1:60" ht="12.75" x14ac:dyDescent="0.2">
      <c r="A29" s="311"/>
      <c r="D29" s="117"/>
      <c r="E29" s="117"/>
      <c r="F29" s="118"/>
      <c r="I29" s="119">
        <f>ROUND(AVERAGE(G3),0)</f>
        <v>280</v>
      </c>
      <c r="J29" s="5">
        <f>AVERAGE(W3)</f>
        <v>7</v>
      </c>
      <c r="K29" s="148">
        <f>(J29+1)/(I29+1)</f>
        <v>2.8469750889679714E-2</v>
      </c>
      <c r="L29" s="115"/>
      <c r="M29" s="115"/>
      <c r="N29" s="115"/>
      <c r="O29" s="115"/>
      <c r="P29" s="115"/>
      <c r="Q29" s="115"/>
      <c r="Y29" s="17"/>
      <c r="Z29" s="18"/>
      <c r="AA29" s="18"/>
      <c r="AB29" s="18"/>
      <c r="AC29" s="216" t="s">
        <v>271</v>
      </c>
      <c r="AD29" s="217"/>
      <c r="AE29" s="217"/>
      <c r="AF29" s="218"/>
      <c r="AG29" s="218"/>
      <c r="AH29" s="219"/>
      <c r="AI29" s="218"/>
      <c r="AJ29" s="218"/>
      <c r="AK29" s="218"/>
      <c r="AL29" s="218"/>
      <c r="AM29" s="220" t="e">
        <f>SUM(AJ29:AL29)/AH29</f>
        <v>#DIV/0!</v>
      </c>
      <c r="AN29" s="218"/>
      <c r="AO29" s="218"/>
      <c r="AP29" s="221" t="e">
        <f>SUM(AN29:AO29)/AI29</f>
        <v>#DIV/0!</v>
      </c>
      <c r="AQ29" s="218"/>
      <c r="AR29" s="218"/>
      <c r="AS29" s="221" t="e">
        <f>(AQ29+AR29)/$AG29</f>
        <v>#DIV/0!</v>
      </c>
      <c r="AT29" s="218"/>
      <c r="AU29" s="218"/>
      <c r="AV29" s="221" t="e">
        <f>(AT29+AU29)/$AG29</f>
        <v>#DIV/0!</v>
      </c>
      <c r="AW29" s="218"/>
      <c r="AX29" s="218"/>
      <c r="AY29" s="221" t="e">
        <f>(AW29+AX29)/$AG29</f>
        <v>#DIV/0!</v>
      </c>
      <c r="AZ29" s="222">
        <f>SUM(AN29,AQ29,AT29,AW29)</f>
        <v>0</v>
      </c>
      <c r="BA29" s="222">
        <f>SUM(AO29,AR29,AU29,AX29)</f>
        <v>0</v>
      </c>
      <c r="BB29" s="222">
        <f>SUM(AZ29:BA29)</f>
        <v>0</v>
      </c>
      <c r="BC29" s="221">
        <f>(BB29+1)/(AI29+1)</f>
        <v>1</v>
      </c>
      <c r="BD29" s="223"/>
      <c r="BE29" s="223"/>
    </row>
    <row r="30" spans="1:60" ht="15" customHeight="1" x14ac:dyDescent="0.2">
      <c r="A30" s="311"/>
      <c r="I30" s="120" t="s">
        <v>294</v>
      </c>
      <c r="J30" s="115"/>
      <c r="K30" s="120"/>
      <c r="L30" s="115"/>
      <c r="M30" s="115"/>
      <c r="N30" s="115"/>
      <c r="O30" s="115"/>
      <c r="P30" s="115"/>
      <c r="Q30" s="115"/>
      <c r="Y30" s="17"/>
      <c r="Z30" s="18"/>
      <c r="AA30" s="18"/>
      <c r="AB30" s="18"/>
      <c r="AC30" s="224" t="s">
        <v>273</v>
      </c>
      <c r="AD30" s="225"/>
      <c r="AE30" s="225"/>
      <c r="AF30" s="226"/>
      <c r="AG30" s="226"/>
      <c r="AH30" s="227"/>
      <c r="AI30" s="226"/>
      <c r="AJ30" s="226"/>
      <c r="AK30" s="226"/>
      <c r="AL30" s="226"/>
      <c r="AM30" s="228" t="e">
        <f t="shared" ref="AM30:AM31" si="74">SUM(AJ30:AL30)/AH30</f>
        <v>#DIV/0!</v>
      </c>
      <c r="AN30" s="226"/>
      <c r="AO30" s="226"/>
      <c r="AP30" s="229" t="e">
        <f t="shared" ref="AP30:AP31" si="75">SUM(AN30:AO30)/AI30</f>
        <v>#DIV/0!</v>
      </c>
      <c r="AQ30" s="226"/>
      <c r="AR30" s="226"/>
      <c r="AS30" s="229" t="e">
        <f t="shared" ref="AS30:AS31" si="76">(AQ30+AR30)/$AG30</f>
        <v>#DIV/0!</v>
      </c>
      <c r="AT30" s="226"/>
      <c r="AU30" s="226"/>
      <c r="AV30" s="229" t="e">
        <f t="shared" ref="AV30:AV31" si="77">(AT30+AU30)/$AG30</f>
        <v>#DIV/0!</v>
      </c>
      <c r="AW30" s="226"/>
      <c r="AX30" s="226"/>
      <c r="AY30" s="229" t="e">
        <f t="shared" ref="AY30:AY31" si="78">(AW30+AX30)/$AG30</f>
        <v>#DIV/0!</v>
      </c>
      <c r="AZ30" s="230">
        <f t="shared" ref="AZ30:BA31" si="79">SUM(AN30,AQ30,AT30,AW30)</f>
        <v>0</v>
      </c>
      <c r="BA30" s="230">
        <f t="shared" si="79"/>
        <v>0</v>
      </c>
      <c r="BB30" s="230">
        <f t="shared" ref="BB30:BB31" si="80">SUM(AZ30:BA30)</f>
        <v>0</v>
      </c>
      <c r="BC30" s="229">
        <f t="shared" ref="BC30:BC31" si="81">(BB30+1)/(AI30+1)</f>
        <v>1</v>
      </c>
      <c r="BD30" s="231"/>
      <c r="BE30" s="231"/>
    </row>
    <row r="31" spans="1:60" ht="15" customHeight="1" x14ac:dyDescent="0.2">
      <c r="A31" s="311"/>
      <c r="J31" s="121"/>
      <c r="K31" s="121"/>
      <c r="L31" s="121"/>
      <c r="M31" s="38"/>
      <c r="Y31" s="17"/>
      <c r="Z31" s="18"/>
      <c r="AA31" s="18"/>
      <c r="AB31" s="18"/>
      <c r="AC31" s="232" t="s">
        <v>275</v>
      </c>
      <c r="AD31" s="233">
        <v>46040</v>
      </c>
      <c r="AE31" s="233">
        <v>46041</v>
      </c>
      <c r="AF31" s="234">
        <v>4</v>
      </c>
      <c r="AG31" s="234">
        <v>253</v>
      </c>
      <c r="AH31" s="235">
        <v>252</v>
      </c>
      <c r="AI31" s="234">
        <v>251</v>
      </c>
      <c r="AJ31" s="234">
        <v>1</v>
      </c>
      <c r="AK31" s="234">
        <v>0</v>
      </c>
      <c r="AL31" s="234"/>
      <c r="AM31" s="236">
        <f t="shared" si="74"/>
        <v>3.968253968253968E-3</v>
      </c>
      <c r="AN31" s="234">
        <v>10</v>
      </c>
      <c r="AO31" s="234">
        <v>0</v>
      </c>
      <c r="AP31" s="237">
        <f t="shared" si="75"/>
        <v>3.9840637450199202E-2</v>
      </c>
      <c r="AQ31" s="234">
        <v>2</v>
      </c>
      <c r="AR31" s="234">
        <v>0</v>
      </c>
      <c r="AS31" s="237">
        <f t="shared" si="76"/>
        <v>7.9051383399209481E-3</v>
      </c>
      <c r="AT31" s="234">
        <v>1</v>
      </c>
      <c r="AU31" s="234">
        <v>0</v>
      </c>
      <c r="AV31" s="237">
        <f t="shared" si="77"/>
        <v>3.952569169960474E-3</v>
      </c>
      <c r="AW31" s="234">
        <v>0</v>
      </c>
      <c r="AX31" s="234">
        <v>0</v>
      </c>
      <c r="AY31" s="237">
        <f t="shared" si="78"/>
        <v>0</v>
      </c>
      <c r="AZ31" s="238">
        <f t="shared" si="79"/>
        <v>13</v>
      </c>
      <c r="BA31" s="238">
        <f t="shared" si="79"/>
        <v>0</v>
      </c>
      <c r="BB31" s="238">
        <f t="shared" si="80"/>
        <v>13</v>
      </c>
      <c r="BC31" s="237">
        <f t="shared" si="81"/>
        <v>5.5555555555555552E-2</v>
      </c>
      <c r="BD31" s="239" t="s">
        <v>274</v>
      </c>
      <c r="BE31" s="239" t="s">
        <v>268</v>
      </c>
    </row>
    <row r="32" spans="1:60" ht="15" customHeight="1" x14ac:dyDescent="0.2">
      <c r="A32" s="311"/>
      <c r="J32" s="121"/>
      <c r="K32" s="121"/>
      <c r="L32" s="121"/>
      <c r="M32" s="38"/>
      <c r="O32" s="18"/>
      <c r="Q32" s="18"/>
      <c r="S32" s="18"/>
      <c r="Y32" s="17"/>
      <c r="AC32" s="7"/>
      <c r="AG32" s="240">
        <f>SUM(AG29:AG31)</f>
        <v>253</v>
      </c>
      <c r="AH32" s="240">
        <f>SUM(AH29:AH31)</f>
        <v>252</v>
      </c>
      <c r="AI32" s="240">
        <f t="shared" ref="AI32:AL32" si="82">SUM(AI29:AI31)</f>
        <v>251</v>
      </c>
      <c r="AJ32" s="240">
        <f t="shared" si="82"/>
        <v>1</v>
      </c>
      <c r="AK32" s="240">
        <f t="shared" si="82"/>
        <v>0</v>
      </c>
      <c r="AL32" s="240">
        <f t="shared" si="82"/>
        <v>0</v>
      </c>
      <c r="AM32" s="135"/>
      <c r="AN32" s="240">
        <f>SUM(AN29:AN31)</f>
        <v>10</v>
      </c>
      <c r="AO32" s="240">
        <f>SUM(AO29:AO31)</f>
        <v>0</v>
      </c>
      <c r="AP32" s="241"/>
      <c r="AQ32" s="240">
        <f>SUM(AQ29:AQ31)</f>
        <v>2</v>
      </c>
      <c r="AR32" s="240">
        <f>SUM(AR29:AR31)</f>
        <v>0</v>
      </c>
      <c r="AS32" s="241"/>
      <c r="AT32" s="240">
        <f>SUM(AT29:AT31)</f>
        <v>1</v>
      </c>
      <c r="AU32" s="240">
        <f>SUM(AU29:AU31)</f>
        <v>0</v>
      </c>
      <c r="AV32" s="241"/>
      <c r="AW32" s="240">
        <f>SUM(AW29:AW31)</f>
        <v>0</v>
      </c>
      <c r="AX32" s="240">
        <f>SUM(AX29:AX31)</f>
        <v>0</v>
      </c>
      <c r="AY32" s="241"/>
      <c r="AZ32" s="240">
        <f>SUM(AZ29:AZ31)</f>
        <v>13</v>
      </c>
      <c r="BA32" s="240">
        <f>SUM(BA29:BA31)</f>
        <v>0</v>
      </c>
      <c r="BB32" s="240">
        <f>SUM(AZ32:BA32)</f>
        <v>13</v>
      </c>
      <c r="BC32" s="242">
        <f>(BB32+1)/(AI32+1)</f>
        <v>5.5555555555555552E-2</v>
      </c>
      <c r="BD32" s="98"/>
      <c r="BE32" s="98"/>
    </row>
    <row r="33" spans="1:59" ht="15" customHeight="1" x14ac:dyDescent="0.2">
      <c r="A33" s="311"/>
      <c r="D33" s="105"/>
      <c r="E33" s="105"/>
      <c r="F33" s="105"/>
      <c r="G33" s="105"/>
      <c r="H33" s="105"/>
      <c r="I33" s="105"/>
      <c r="J33" s="105"/>
      <c r="K33" s="105"/>
      <c r="L33" s="105"/>
      <c r="M33" s="105"/>
      <c r="N33" s="105"/>
      <c r="O33" s="105"/>
      <c r="P33" s="105"/>
      <c r="Q33" s="105"/>
      <c r="R33" s="105"/>
      <c r="S33" s="105"/>
      <c r="T33" s="105"/>
      <c r="U33" s="18"/>
      <c r="Y33" s="18"/>
      <c r="AC33" s="212" t="s">
        <v>281</v>
      </c>
      <c r="AD33" s="15"/>
      <c r="AE33" s="23"/>
      <c r="AF33" s="16"/>
      <c r="AG33" s="15"/>
      <c r="AH33" s="15"/>
      <c r="AI33" s="15"/>
      <c r="AJ33" s="15"/>
      <c r="AK33" s="15"/>
      <c r="AL33" s="22"/>
      <c r="AM33" s="213"/>
      <c r="AN33" s="23"/>
      <c r="AO33" s="23"/>
      <c r="AP33" s="7"/>
      <c r="AQ33" s="15"/>
      <c r="AR33" s="15"/>
      <c r="AS33" s="7"/>
      <c r="AT33" s="15"/>
      <c r="AU33" s="15"/>
      <c r="AV33" s="7"/>
      <c r="AW33" s="15"/>
      <c r="AX33" s="15"/>
      <c r="AY33" s="214"/>
      <c r="AZ33" s="215"/>
      <c r="BA33" s="10"/>
      <c r="BB33" s="7"/>
      <c r="BC33" s="7"/>
      <c r="BD33" s="7"/>
      <c r="BE33" s="7"/>
    </row>
    <row r="34" spans="1:59" ht="15" customHeight="1" x14ac:dyDescent="0.25">
      <c r="A34" s="311"/>
      <c r="C34" s="108"/>
      <c r="D34" s="126"/>
      <c r="E34" s="126"/>
      <c r="F34" s="127"/>
      <c r="G34" s="128"/>
      <c r="H34" s="128"/>
      <c r="I34" s="128"/>
      <c r="J34" s="121"/>
      <c r="K34" s="121"/>
      <c r="L34" s="121"/>
      <c r="M34" s="38"/>
      <c r="S34" s="18"/>
      <c r="U34" s="43"/>
      <c r="V34" s="134"/>
      <c r="W34" s="134"/>
      <c r="X34" s="134"/>
      <c r="AC34" s="216" t="s">
        <v>271</v>
      </c>
      <c r="AD34" s="217"/>
      <c r="AE34" s="217"/>
      <c r="AF34" s="218"/>
      <c r="AG34" s="218"/>
      <c r="AH34" s="219"/>
      <c r="AI34" s="218"/>
      <c r="AJ34" s="218"/>
      <c r="AK34" s="218"/>
      <c r="AL34" s="218"/>
      <c r="AM34" s="220" t="e">
        <f>SUM(AJ34:AL34)/AH34</f>
        <v>#DIV/0!</v>
      </c>
      <c r="AN34" s="218"/>
      <c r="AO34" s="218"/>
      <c r="AP34" s="221" t="e">
        <f>SUM(AN34:AO34)/AI34</f>
        <v>#DIV/0!</v>
      </c>
      <c r="AQ34" s="218"/>
      <c r="AR34" s="218"/>
      <c r="AS34" s="221" t="e">
        <f>(AQ34+AR34)/$AG34</f>
        <v>#DIV/0!</v>
      </c>
      <c r="AT34" s="218"/>
      <c r="AU34" s="218"/>
      <c r="AV34" s="221" t="e">
        <f>(AT34+AU34)/$AG34</f>
        <v>#DIV/0!</v>
      </c>
      <c r="AW34" s="218"/>
      <c r="AX34" s="218"/>
      <c r="AY34" s="221" t="e">
        <f>(AW34+AX34)/$AG34</f>
        <v>#DIV/0!</v>
      </c>
      <c r="AZ34" s="222">
        <f>SUM(AN34,AQ34,AT34,AW34)</f>
        <v>0</v>
      </c>
      <c r="BA34" s="222">
        <f>SUM(AO34,AR34,AU34,AX34)</f>
        <v>0</v>
      </c>
      <c r="BB34" s="222">
        <f>SUM(AZ34:BA34)</f>
        <v>0</v>
      </c>
      <c r="BC34" s="221">
        <f>(BB34+1)/(AI34+1)</f>
        <v>1</v>
      </c>
      <c r="BD34" s="223"/>
      <c r="BE34" s="223"/>
    </row>
    <row r="35" spans="1:59" ht="15" customHeight="1" x14ac:dyDescent="0.2">
      <c r="A35" s="311"/>
      <c r="S35" s="18"/>
      <c r="U35" s="43"/>
      <c r="V35" s="134"/>
      <c r="W35" s="134"/>
      <c r="X35" s="134"/>
      <c r="AC35" s="224" t="s">
        <v>273</v>
      </c>
      <c r="AD35" s="225">
        <v>46040</v>
      </c>
      <c r="AE35" s="225">
        <v>46041</v>
      </c>
      <c r="AF35" s="226">
        <v>4</v>
      </c>
      <c r="AG35" s="226">
        <v>257</v>
      </c>
      <c r="AH35" s="227">
        <v>257</v>
      </c>
      <c r="AI35" s="226">
        <v>257</v>
      </c>
      <c r="AJ35" s="226">
        <v>0</v>
      </c>
      <c r="AK35" s="226">
        <v>0</v>
      </c>
      <c r="AL35" s="226"/>
      <c r="AM35" s="228">
        <f t="shared" ref="AM35:AM36" si="83">SUM(AJ35:AL35)/AH35</f>
        <v>0</v>
      </c>
      <c r="AN35" s="226">
        <v>13</v>
      </c>
      <c r="AO35" s="226">
        <v>0</v>
      </c>
      <c r="AP35" s="229">
        <f t="shared" ref="AP35:AP36" si="84">SUM(AN35:AO35)/AI35</f>
        <v>5.0583657587548639E-2</v>
      </c>
      <c r="AQ35" s="226">
        <v>3</v>
      </c>
      <c r="AR35" s="226">
        <v>0</v>
      </c>
      <c r="AS35" s="229">
        <f t="shared" ref="AS35:AS36" si="85">(AQ35+AR35)/$AG35</f>
        <v>1.1673151750972763E-2</v>
      </c>
      <c r="AT35" s="226">
        <v>2</v>
      </c>
      <c r="AU35" s="226">
        <v>0</v>
      </c>
      <c r="AV35" s="229">
        <f t="shared" ref="AV35:AV36" si="86">(AT35+AU35)/$AG35</f>
        <v>7.7821011673151752E-3</v>
      </c>
      <c r="AW35" s="226">
        <v>0</v>
      </c>
      <c r="AX35" s="226">
        <v>0</v>
      </c>
      <c r="AY35" s="229">
        <f t="shared" ref="AY35:AY36" si="87">(AW35+AX35)/$AG35</f>
        <v>0</v>
      </c>
      <c r="AZ35" s="230">
        <f t="shared" ref="AZ35:BA36" si="88">SUM(AN35,AQ35,AT35,AW35)</f>
        <v>18</v>
      </c>
      <c r="BA35" s="230">
        <f t="shared" si="88"/>
        <v>0</v>
      </c>
      <c r="BB35" s="230">
        <f t="shared" ref="BB35:BB36" si="89">SUM(AZ35:BA35)</f>
        <v>18</v>
      </c>
      <c r="BC35" s="229">
        <f t="shared" ref="BC35:BC36" si="90">(BB35+1)/(AI35+1)</f>
        <v>7.3643410852713184E-2</v>
      </c>
      <c r="BD35" s="231" t="s">
        <v>274</v>
      </c>
      <c r="BE35" s="231" t="s">
        <v>268</v>
      </c>
    </row>
    <row r="36" spans="1:59" ht="15" customHeight="1" x14ac:dyDescent="0.2">
      <c r="A36" s="311"/>
      <c r="S36" s="18"/>
      <c r="U36" s="43"/>
      <c r="V36" s="134"/>
      <c r="W36" s="134"/>
      <c r="X36" s="134"/>
      <c r="AC36" s="232" t="s">
        <v>275</v>
      </c>
      <c r="AD36" s="233"/>
      <c r="AE36" s="233"/>
      <c r="AF36" s="234"/>
      <c r="AG36" s="234"/>
      <c r="AH36" s="235"/>
      <c r="AI36" s="234"/>
      <c r="AJ36" s="234"/>
      <c r="AK36" s="234"/>
      <c r="AL36" s="234"/>
      <c r="AM36" s="236" t="e">
        <f t="shared" si="83"/>
        <v>#DIV/0!</v>
      </c>
      <c r="AN36" s="234"/>
      <c r="AO36" s="234"/>
      <c r="AP36" s="237" t="e">
        <f t="shared" si="84"/>
        <v>#DIV/0!</v>
      </c>
      <c r="AQ36" s="234"/>
      <c r="AR36" s="234"/>
      <c r="AS36" s="237" t="e">
        <f t="shared" si="85"/>
        <v>#DIV/0!</v>
      </c>
      <c r="AT36" s="234"/>
      <c r="AU36" s="234"/>
      <c r="AV36" s="237" t="e">
        <f t="shared" si="86"/>
        <v>#DIV/0!</v>
      </c>
      <c r="AW36" s="234"/>
      <c r="AX36" s="234"/>
      <c r="AY36" s="237" t="e">
        <f t="shared" si="87"/>
        <v>#DIV/0!</v>
      </c>
      <c r="AZ36" s="238">
        <f t="shared" si="88"/>
        <v>0</v>
      </c>
      <c r="BA36" s="238">
        <f t="shared" si="88"/>
        <v>0</v>
      </c>
      <c r="BB36" s="238">
        <f t="shared" si="89"/>
        <v>0</v>
      </c>
      <c r="BC36" s="237">
        <f t="shared" si="90"/>
        <v>1</v>
      </c>
      <c r="BD36" s="239"/>
      <c r="BE36" s="239"/>
    </row>
    <row r="37" spans="1:59" ht="15" customHeight="1" x14ac:dyDescent="0.2">
      <c r="A37" s="311"/>
      <c r="S37" s="18"/>
      <c r="U37" s="43"/>
      <c r="V37" s="134"/>
      <c r="W37" s="134"/>
      <c r="X37" s="134"/>
      <c r="Z37" s="18"/>
      <c r="AA37" s="18"/>
      <c r="AB37" s="18"/>
      <c r="AC37" s="7"/>
      <c r="AG37" s="240">
        <f>SUM(AG34:AG36)</f>
        <v>257</v>
      </c>
      <c r="AH37" s="240">
        <f>SUM(AH34:AH36)</f>
        <v>257</v>
      </c>
      <c r="AI37" s="240">
        <f t="shared" ref="AI37:AL37" si="91">SUM(AI34:AI36)</f>
        <v>257</v>
      </c>
      <c r="AJ37" s="240">
        <f t="shared" si="91"/>
        <v>0</v>
      </c>
      <c r="AK37" s="240">
        <f t="shared" si="91"/>
        <v>0</v>
      </c>
      <c r="AL37" s="240">
        <f t="shared" si="91"/>
        <v>0</v>
      </c>
      <c r="AM37" s="135"/>
      <c r="AN37" s="240">
        <f>SUM(AN34:AN36)</f>
        <v>13</v>
      </c>
      <c r="AO37" s="240">
        <f>SUM(AO34:AO36)</f>
        <v>0</v>
      </c>
      <c r="AP37" s="241"/>
      <c r="AQ37" s="240">
        <f>SUM(AQ34:AQ36)</f>
        <v>3</v>
      </c>
      <c r="AR37" s="240">
        <f>SUM(AR34:AR36)</f>
        <v>0</v>
      </c>
      <c r="AS37" s="241"/>
      <c r="AT37" s="240">
        <f>SUM(AT34:AT36)</f>
        <v>2</v>
      </c>
      <c r="AU37" s="240">
        <f>SUM(AU34:AU36)</f>
        <v>0</v>
      </c>
      <c r="AV37" s="241"/>
      <c r="AW37" s="240">
        <f>SUM(AW34:AW36)</f>
        <v>0</v>
      </c>
      <c r="AX37" s="240">
        <f>SUM(AX34:AX36)</f>
        <v>0</v>
      </c>
      <c r="AY37" s="241"/>
      <c r="AZ37" s="240">
        <f>SUM(AZ34:AZ36)</f>
        <v>18</v>
      </c>
      <c r="BA37" s="240">
        <f>SUM(BA34:BA36)</f>
        <v>0</v>
      </c>
      <c r="BB37" s="240">
        <f>SUM(AZ37:BA37)</f>
        <v>18</v>
      </c>
      <c r="BC37" s="242">
        <f>(BB37+1)/(AI37+1)</f>
        <v>7.3643410852713184E-2</v>
      </c>
      <c r="BD37" s="98"/>
      <c r="BE37" s="98"/>
    </row>
    <row r="38" spans="1:59" ht="15" customHeight="1" x14ac:dyDescent="0.2">
      <c r="A38" s="311"/>
      <c r="AC38" s="212" t="s">
        <v>282</v>
      </c>
      <c r="AD38" s="15"/>
      <c r="AE38" s="23"/>
      <c r="AF38" s="16"/>
      <c r="AG38" s="15"/>
      <c r="AH38" s="15"/>
      <c r="AI38" s="15"/>
      <c r="AJ38" s="15"/>
      <c r="AK38" s="15"/>
      <c r="AL38" s="22"/>
      <c r="AM38" s="213"/>
      <c r="AN38" s="23"/>
      <c r="AO38" s="23"/>
      <c r="AP38" s="7"/>
      <c r="AQ38" s="15"/>
      <c r="AR38" s="15"/>
      <c r="AS38" s="7"/>
      <c r="AT38" s="15"/>
      <c r="AU38" s="15"/>
      <c r="AV38" s="7"/>
      <c r="AW38" s="15"/>
      <c r="AX38" s="15"/>
      <c r="AY38" s="214"/>
      <c r="AZ38" s="215"/>
      <c r="BA38" s="10"/>
      <c r="BB38" s="7"/>
      <c r="BC38" s="7"/>
      <c r="BD38" s="7"/>
      <c r="BE38" s="7"/>
    </row>
    <row r="39" spans="1:59" ht="15" customHeight="1" x14ac:dyDescent="0.2">
      <c r="A39" s="311"/>
      <c r="AC39" s="216" t="s">
        <v>271</v>
      </c>
      <c r="AD39" s="217"/>
      <c r="AE39" s="217"/>
      <c r="AF39" s="218"/>
      <c r="AG39" s="218"/>
      <c r="AH39" s="219"/>
      <c r="AI39" s="218"/>
      <c r="AJ39" s="218"/>
      <c r="AK39" s="218"/>
      <c r="AL39" s="218"/>
      <c r="AM39" s="220" t="e">
        <f>SUM(AJ39:AL39)/AH39</f>
        <v>#DIV/0!</v>
      </c>
      <c r="AN39" s="218"/>
      <c r="AO39" s="218"/>
      <c r="AP39" s="221" t="e">
        <f>SUM(AN39:AO39)/AI39</f>
        <v>#DIV/0!</v>
      </c>
      <c r="AQ39" s="218"/>
      <c r="AR39" s="218"/>
      <c r="AS39" s="221" t="e">
        <f>(AQ39+AR39)/$AG39</f>
        <v>#DIV/0!</v>
      </c>
      <c r="AT39" s="218"/>
      <c r="AU39" s="218"/>
      <c r="AV39" s="221" t="e">
        <f>(AT39+AU39)/$AG39</f>
        <v>#DIV/0!</v>
      </c>
      <c r="AW39" s="218"/>
      <c r="AX39" s="218"/>
      <c r="AY39" s="221" t="e">
        <f>(AW39+AX39)/$AG39</f>
        <v>#DIV/0!</v>
      </c>
      <c r="AZ39" s="222">
        <f>SUM(AN39,AQ39,AT39,AW39)</f>
        <v>0</v>
      </c>
      <c r="BA39" s="222">
        <f>SUM(AO39,AR39,AU39,AX39)</f>
        <v>0</v>
      </c>
      <c r="BB39" s="222">
        <f>SUM(AZ39:BA39)</f>
        <v>0</v>
      </c>
      <c r="BC39" s="221">
        <f>(BB39+1)/(AI39+1)</f>
        <v>1</v>
      </c>
      <c r="BD39" s="223"/>
      <c r="BE39" s="223"/>
    </row>
    <row r="40" spans="1:59" ht="15" customHeight="1" x14ac:dyDescent="0.2">
      <c r="A40" s="311"/>
      <c r="AC40" s="224" t="s">
        <v>273</v>
      </c>
      <c r="AD40" s="225"/>
      <c r="AE40" s="225"/>
      <c r="AF40" s="226"/>
      <c r="AG40" s="226"/>
      <c r="AH40" s="227"/>
      <c r="AI40" s="226"/>
      <c r="AJ40" s="226"/>
      <c r="AK40" s="226"/>
      <c r="AL40" s="226"/>
      <c r="AM40" s="228" t="e">
        <f t="shared" ref="AM40:AM41" si="92">SUM(AJ40:AL40)/AH40</f>
        <v>#DIV/0!</v>
      </c>
      <c r="AN40" s="226"/>
      <c r="AO40" s="226"/>
      <c r="AP40" s="229" t="e">
        <f t="shared" ref="AP40:AP41" si="93">SUM(AN40:AO40)/AI40</f>
        <v>#DIV/0!</v>
      </c>
      <c r="AQ40" s="226"/>
      <c r="AR40" s="226"/>
      <c r="AS40" s="229" t="e">
        <f t="shared" ref="AS40:AS41" si="94">(AQ40+AR40)/$AG40</f>
        <v>#DIV/0!</v>
      </c>
      <c r="AT40" s="226"/>
      <c r="AU40" s="226"/>
      <c r="AV40" s="229" t="e">
        <f t="shared" ref="AV40:AV41" si="95">(AT40+AU40)/$AG40</f>
        <v>#DIV/0!</v>
      </c>
      <c r="AW40" s="226"/>
      <c r="AX40" s="226"/>
      <c r="AY40" s="229" t="e">
        <f t="shared" ref="AY40:AY41" si="96">(AW40+AX40)/$AG40</f>
        <v>#DIV/0!</v>
      </c>
      <c r="AZ40" s="230">
        <f t="shared" ref="AZ40:BA41" si="97">SUM(AN40,AQ40,AT40,AW40)</f>
        <v>0</v>
      </c>
      <c r="BA40" s="230">
        <f t="shared" si="97"/>
        <v>0</v>
      </c>
      <c r="BB40" s="230">
        <f t="shared" ref="BB40:BB41" si="98">SUM(AZ40:BA40)</f>
        <v>0</v>
      </c>
      <c r="BC40" s="229">
        <f t="shared" ref="BC40:BC41" si="99">(BB40+1)/(AI40+1)</f>
        <v>1</v>
      </c>
      <c r="BD40" s="231"/>
      <c r="BE40" s="231"/>
    </row>
    <row r="41" spans="1:59" ht="15" customHeight="1" x14ac:dyDescent="0.2">
      <c r="A41" s="311"/>
      <c r="Z41" s="18"/>
      <c r="AA41" s="18"/>
      <c r="AB41" s="18"/>
      <c r="AC41" s="232" t="s">
        <v>275</v>
      </c>
      <c r="AD41" s="233">
        <v>46043</v>
      </c>
      <c r="AE41" s="233">
        <v>46044</v>
      </c>
      <c r="AF41" s="234">
        <v>1</v>
      </c>
      <c r="AG41" s="234">
        <v>269</v>
      </c>
      <c r="AH41" s="235">
        <v>269</v>
      </c>
      <c r="AI41" s="234">
        <v>266</v>
      </c>
      <c r="AJ41" s="234">
        <v>0</v>
      </c>
      <c r="AK41" s="234">
        <v>0</v>
      </c>
      <c r="AL41" s="234">
        <v>2</v>
      </c>
      <c r="AM41" s="236">
        <f t="shared" si="92"/>
        <v>7.4349442379182153E-3</v>
      </c>
      <c r="AN41" s="234">
        <v>25</v>
      </c>
      <c r="AO41" s="234">
        <v>0</v>
      </c>
      <c r="AP41" s="237">
        <f t="shared" si="93"/>
        <v>9.3984962406015032E-2</v>
      </c>
      <c r="AQ41" s="234">
        <v>0</v>
      </c>
      <c r="AR41" s="234">
        <v>0</v>
      </c>
      <c r="AS41" s="237">
        <f t="shared" si="94"/>
        <v>0</v>
      </c>
      <c r="AT41" s="234">
        <v>0</v>
      </c>
      <c r="AU41" s="234">
        <v>0</v>
      </c>
      <c r="AV41" s="237">
        <f t="shared" si="95"/>
        <v>0</v>
      </c>
      <c r="AW41" s="234">
        <v>0</v>
      </c>
      <c r="AX41" s="234">
        <v>0</v>
      </c>
      <c r="AY41" s="237">
        <f t="shared" si="96"/>
        <v>0</v>
      </c>
      <c r="AZ41" s="238">
        <f t="shared" si="97"/>
        <v>25</v>
      </c>
      <c r="BA41" s="238">
        <f t="shared" si="97"/>
        <v>0</v>
      </c>
      <c r="BB41" s="238">
        <f t="shared" si="98"/>
        <v>25</v>
      </c>
      <c r="BC41" s="237">
        <f t="shared" si="99"/>
        <v>9.7378277153558054E-2</v>
      </c>
      <c r="BD41" s="239" t="s">
        <v>274</v>
      </c>
      <c r="BE41" s="239" t="s">
        <v>268</v>
      </c>
    </row>
    <row r="42" spans="1:59" ht="15" customHeight="1" x14ac:dyDescent="0.2">
      <c r="A42" s="311"/>
      <c r="AC42" s="7"/>
      <c r="AG42" s="240">
        <f>SUM(AG39:AG41)</f>
        <v>269</v>
      </c>
      <c r="AH42" s="240">
        <f>SUM(AH39:AH41)</f>
        <v>269</v>
      </c>
      <c r="AI42" s="240">
        <f t="shared" ref="AI42:AL42" si="100">SUM(AI39:AI41)</f>
        <v>266</v>
      </c>
      <c r="AJ42" s="240">
        <f t="shared" si="100"/>
        <v>0</v>
      </c>
      <c r="AK42" s="240">
        <f t="shared" si="100"/>
        <v>0</v>
      </c>
      <c r="AL42" s="240">
        <f t="shared" si="100"/>
        <v>2</v>
      </c>
      <c r="AM42" s="135"/>
      <c r="AN42" s="240">
        <f>SUM(AN39:AN41)</f>
        <v>25</v>
      </c>
      <c r="AO42" s="240">
        <f>SUM(AO39:AO41)</f>
        <v>0</v>
      </c>
      <c r="AP42" s="241"/>
      <c r="AQ42" s="240">
        <f>SUM(AQ39:AQ41)</f>
        <v>0</v>
      </c>
      <c r="AR42" s="240">
        <f>SUM(AR39:AR41)</f>
        <v>0</v>
      </c>
      <c r="AS42" s="241"/>
      <c r="AT42" s="240">
        <f>SUM(AT39:AT41)</f>
        <v>0</v>
      </c>
      <c r="AU42" s="240">
        <f>SUM(AU39:AU41)</f>
        <v>0</v>
      </c>
      <c r="AV42" s="241"/>
      <c r="AW42" s="240">
        <f>SUM(AW39:AW41)</f>
        <v>0</v>
      </c>
      <c r="AX42" s="240">
        <f>SUM(AX39:AX41)</f>
        <v>0</v>
      </c>
      <c r="AY42" s="241"/>
      <c r="AZ42" s="240">
        <f>SUM(AZ39:AZ41)</f>
        <v>25</v>
      </c>
      <c r="BA42" s="240">
        <f>SUM(BA39:BA41)</f>
        <v>0</v>
      </c>
      <c r="BB42" s="240">
        <f>SUM(AZ42:BA42)</f>
        <v>25</v>
      </c>
      <c r="BC42" s="242">
        <f>(BB42+1)/(AI42+1)</f>
        <v>9.7378277153558054E-2</v>
      </c>
      <c r="BD42" s="98"/>
      <c r="BE42" s="98"/>
    </row>
    <row r="43" spans="1:59" ht="15" customHeight="1" x14ac:dyDescent="0.2">
      <c r="A43" s="311"/>
      <c r="AC43" s="212" t="s">
        <v>284</v>
      </c>
      <c r="AD43" s="15"/>
      <c r="AE43" s="23"/>
      <c r="AF43" s="16"/>
      <c r="AG43" s="15"/>
      <c r="AH43" s="15"/>
      <c r="AI43" s="15"/>
      <c r="AJ43" s="15"/>
      <c r="AK43" s="15"/>
      <c r="AL43" s="22"/>
      <c r="AM43" s="213"/>
      <c r="AN43" s="23"/>
      <c r="AO43" s="23"/>
      <c r="AP43" s="7"/>
      <c r="AQ43" s="15"/>
      <c r="AR43" s="15"/>
      <c r="AS43" s="7"/>
      <c r="AT43" s="15"/>
      <c r="AU43" s="15"/>
      <c r="AV43" s="7"/>
      <c r="AW43" s="15"/>
      <c r="AX43" s="15"/>
      <c r="AY43" s="214"/>
      <c r="AZ43" s="215"/>
      <c r="BA43" s="10"/>
      <c r="BB43" s="7"/>
      <c r="BC43" s="7"/>
      <c r="BD43" s="7"/>
      <c r="BE43" s="7"/>
    </row>
    <row r="44" spans="1:59" ht="15" customHeight="1" x14ac:dyDescent="0.2">
      <c r="A44" s="311"/>
      <c r="AC44" s="216" t="s">
        <v>271</v>
      </c>
      <c r="AD44" s="217"/>
      <c r="AE44" s="217"/>
      <c r="AF44" s="218"/>
      <c r="AG44" s="218"/>
      <c r="AH44" s="219"/>
      <c r="AI44" s="218"/>
      <c r="AJ44" s="218"/>
      <c r="AK44" s="218"/>
      <c r="AL44" s="218"/>
      <c r="AM44" s="220" t="e">
        <f>SUM(AJ44:AL44)/AH44</f>
        <v>#DIV/0!</v>
      </c>
      <c r="AN44" s="218"/>
      <c r="AO44" s="218"/>
      <c r="AP44" s="221" t="e">
        <f>SUM(AN44:AO44)/AI44</f>
        <v>#DIV/0!</v>
      </c>
      <c r="AQ44" s="218"/>
      <c r="AR44" s="218"/>
      <c r="AS44" s="221" t="e">
        <f>(AQ44+AR44)/$AG44</f>
        <v>#DIV/0!</v>
      </c>
      <c r="AT44" s="218"/>
      <c r="AU44" s="218"/>
      <c r="AV44" s="221" t="e">
        <f>(AT44+AU44)/$AG44</f>
        <v>#DIV/0!</v>
      </c>
      <c r="AW44" s="218"/>
      <c r="AX44" s="218"/>
      <c r="AY44" s="221" t="e">
        <f>(AW44+AX44)/$AG44</f>
        <v>#DIV/0!</v>
      </c>
      <c r="AZ44" s="222">
        <f>SUM(AN44,AQ44,AT44,AW44)</f>
        <v>0</v>
      </c>
      <c r="BA44" s="222">
        <f>SUM(AO44,AR44,AU44,AX44)</f>
        <v>0</v>
      </c>
      <c r="BB44" s="222">
        <f>SUM(AZ44:BA44)</f>
        <v>0</v>
      </c>
      <c r="BC44" s="221">
        <f>(BB44+1)/(AI44+1)</f>
        <v>1</v>
      </c>
      <c r="BD44" s="223"/>
      <c r="BE44" s="223"/>
    </row>
    <row r="45" spans="1:59" ht="15" customHeight="1" x14ac:dyDescent="0.2">
      <c r="A45" s="311"/>
      <c r="AC45" s="224" t="s">
        <v>273</v>
      </c>
      <c r="AD45" s="225">
        <v>46043</v>
      </c>
      <c r="AE45" s="225">
        <v>46044</v>
      </c>
      <c r="AF45" s="226">
        <v>1</v>
      </c>
      <c r="AG45" s="226">
        <v>244</v>
      </c>
      <c r="AH45" s="227">
        <v>239</v>
      </c>
      <c r="AI45" s="226">
        <v>238</v>
      </c>
      <c r="AJ45" s="226">
        <v>0</v>
      </c>
      <c r="AK45" s="226">
        <v>0</v>
      </c>
      <c r="AL45" s="226">
        <v>1</v>
      </c>
      <c r="AM45" s="228">
        <f t="shared" ref="AM45:AM46" si="101">SUM(AJ45:AL45)/AH45</f>
        <v>4.1841004184100415E-3</v>
      </c>
      <c r="AN45" s="226">
        <v>23</v>
      </c>
      <c r="AO45" s="226">
        <v>0</v>
      </c>
      <c r="AP45" s="229">
        <f t="shared" ref="AP45:AP46" si="102">SUM(AN45:AO45)/AI45</f>
        <v>9.6638655462184878E-2</v>
      </c>
      <c r="AQ45" s="226">
        <v>0</v>
      </c>
      <c r="AR45" s="226">
        <v>0</v>
      </c>
      <c r="AS45" s="229">
        <f t="shared" ref="AS45:AS46" si="103">(AQ45+AR45)/$AG45</f>
        <v>0</v>
      </c>
      <c r="AT45" s="226">
        <v>1</v>
      </c>
      <c r="AU45" s="226">
        <v>0</v>
      </c>
      <c r="AV45" s="229">
        <f t="shared" ref="AV45:AV46" si="104">(AT45+AU45)/$AG45</f>
        <v>4.0983606557377051E-3</v>
      </c>
      <c r="AW45" s="226">
        <v>0</v>
      </c>
      <c r="AX45" s="226">
        <v>0</v>
      </c>
      <c r="AY45" s="229">
        <f t="shared" ref="AY45:AY46" si="105">(AW45+AX45)/$AG45</f>
        <v>0</v>
      </c>
      <c r="AZ45" s="230">
        <f t="shared" ref="AZ45:BA46" si="106">SUM(AN45,AQ45,AT45,AW45)</f>
        <v>24</v>
      </c>
      <c r="BA45" s="230">
        <f t="shared" si="106"/>
        <v>0</v>
      </c>
      <c r="BB45" s="230">
        <f t="shared" ref="BB45:BB46" si="107">SUM(AZ45:BA45)</f>
        <v>24</v>
      </c>
      <c r="BC45" s="229">
        <f t="shared" ref="BC45:BC46" si="108">(BB45+1)/(AI45+1)</f>
        <v>0.10460251046025104</v>
      </c>
      <c r="BD45" s="231" t="s">
        <v>274</v>
      </c>
      <c r="BE45" s="231" t="s">
        <v>268</v>
      </c>
    </row>
    <row r="46" spans="1:59" ht="15" customHeight="1" x14ac:dyDescent="0.2">
      <c r="A46" s="311"/>
      <c r="AC46" s="232" t="s">
        <v>275</v>
      </c>
      <c r="AD46" s="233"/>
      <c r="AE46" s="233"/>
      <c r="AF46" s="234"/>
      <c r="AG46" s="234"/>
      <c r="AH46" s="235"/>
      <c r="AI46" s="234"/>
      <c r="AJ46" s="234"/>
      <c r="AK46" s="234"/>
      <c r="AL46" s="234"/>
      <c r="AM46" s="236" t="e">
        <f t="shared" si="101"/>
        <v>#DIV/0!</v>
      </c>
      <c r="AN46" s="234"/>
      <c r="AO46" s="234"/>
      <c r="AP46" s="237" t="e">
        <f t="shared" si="102"/>
        <v>#DIV/0!</v>
      </c>
      <c r="AQ46" s="234"/>
      <c r="AR46" s="234"/>
      <c r="AS46" s="237" t="e">
        <f t="shared" si="103"/>
        <v>#DIV/0!</v>
      </c>
      <c r="AT46" s="234"/>
      <c r="AU46" s="234"/>
      <c r="AV46" s="237" t="e">
        <f t="shared" si="104"/>
        <v>#DIV/0!</v>
      </c>
      <c r="AW46" s="234"/>
      <c r="AX46" s="234"/>
      <c r="AY46" s="237" t="e">
        <f t="shared" si="105"/>
        <v>#DIV/0!</v>
      </c>
      <c r="AZ46" s="238">
        <f t="shared" si="106"/>
        <v>0</v>
      </c>
      <c r="BA46" s="238">
        <f t="shared" si="106"/>
        <v>0</v>
      </c>
      <c r="BB46" s="238">
        <f t="shared" si="107"/>
        <v>0</v>
      </c>
      <c r="BC46" s="237">
        <f t="shared" si="108"/>
        <v>1</v>
      </c>
      <c r="BD46" s="239"/>
      <c r="BE46" s="239"/>
    </row>
    <row r="47" spans="1:59" ht="12.75" x14ac:dyDescent="0.2">
      <c r="A47" s="311"/>
      <c r="AC47" s="7"/>
      <c r="AG47" s="240">
        <f>SUM(AG44:AG46)</f>
        <v>244</v>
      </c>
      <c r="AH47" s="240">
        <f>SUM(AH44:AH46)</f>
        <v>239</v>
      </c>
      <c r="AI47" s="240">
        <f t="shared" ref="AI47:AL47" si="109">SUM(AI44:AI46)</f>
        <v>238</v>
      </c>
      <c r="AJ47" s="240">
        <f t="shared" si="109"/>
        <v>0</v>
      </c>
      <c r="AK47" s="240">
        <f t="shared" si="109"/>
        <v>0</v>
      </c>
      <c r="AL47" s="240">
        <f t="shared" si="109"/>
        <v>1</v>
      </c>
      <c r="AM47" s="135"/>
      <c r="AN47" s="240">
        <f>SUM(AN44:AN46)</f>
        <v>23</v>
      </c>
      <c r="AO47" s="240">
        <f>SUM(AO44:AO46)</f>
        <v>0</v>
      </c>
      <c r="AP47" s="241"/>
      <c r="AQ47" s="240">
        <f>SUM(AQ44:AQ46)</f>
        <v>0</v>
      </c>
      <c r="AR47" s="240">
        <f>SUM(AR44:AR46)</f>
        <v>0</v>
      </c>
      <c r="AS47" s="241"/>
      <c r="AT47" s="240">
        <f>SUM(AT44:AT46)</f>
        <v>1</v>
      </c>
      <c r="AU47" s="240">
        <f>SUM(AU44:AU46)</f>
        <v>0</v>
      </c>
      <c r="AV47" s="241"/>
      <c r="AW47" s="240">
        <f>SUM(AW44:AW46)</f>
        <v>0</v>
      </c>
      <c r="AX47" s="240">
        <f>SUM(AX44:AX46)</f>
        <v>0</v>
      </c>
      <c r="AY47" s="241"/>
      <c r="AZ47" s="240">
        <f>SUM(AZ44:AZ46)</f>
        <v>24</v>
      </c>
      <c r="BA47" s="240">
        <f>SUM(BA44:BA46)</f>
        <v>0</v>
      </c>
      <c r="BB47" s="240">
        <f>SUM(AZ47:BA47)</f>
        <v>24</v>
      </c>
      <c r="BC47" s="242">
        <f>(BB47+1)/(AI47+1)</f>
        <v>0.10460251046025104</v>
      </c>
      <c r="BD47" s="98"/>
      <c r="BE47" s="98"/>
      <c r="BG47" s="17"/>
    </row>
    <row r="48" spans="1:59" ht="15" customHeight="1" x14ac:dyDescent="0.2">
      <c r="AC48" s="212" t="s">
        <v>285</v>
      </c>
      <c r="AD48" s="15"/>
      <c r="AE48" s="23"/>
      <c r="AF48" s="16"/>
      <c r="AG48" s="15"/>
      <c r="AH48" s="15"/>
      <c r="AI48" s="15"/>
      <c r="AJ48" s="15"/>
      <c r="AK48" s="15"/>
      <c r="AL48" s="22"/>
      <c r="AM48" s="213"/>
      <c r="AN48" s="23"/>
      <c r="AO48" s="23"/>
      <c r="AP48" s="7"/>
      <c r="AQ48" s="15"/>
      <c r="AR48" s="15"/>
      <c r="AS48" s="7"/>
      <c r="AT48" s="15"/>
      <c r="AU48" s="15"/>
      <c r="AV48" s="7"/>
      <c r="AW48" s="15"/>
      <c r="AX48" s="15"/>
      <c r="AY48" s="214"/>
      <c r="AZ48" s="215"/>
      <c r="BA48" s="10"/>
      <c r="BB48" s="7"/>
      <c r="BC48" s="7"/>
      <c r="BD48" s="7"/>
      <c r="BE48" s="7"/>
      <c r="BG48" s="17"/>
    </row>
    <row r="49" spans="19:60" ht="15" customHeight="1" x14ac:dyDescent="0.2">
      <c r="AC49" s="216" t="s">
        <v>271</v>
      </c>
      <c r="AD49" s="217"/>
      <c r="AE49" s="217"/>
      <c r="AF49" s="218"/>
      <c r="AG49" s="218"/>
      <c r="AH49" s="219"/>
      <c r="AI49" s="218"/>
      <c r="AJ49" s="218"/>
      <c r="AK49" s="218"/>
      <c r="AL49" s="218"/>
      <c r="AM49" s="220" t="e">
        <f>SUM(AJ49:AL49)/AH49</f>
        <v>#DIV/0!</v>
      </c>
      <c r="AN49" s="218"/>
      <c r="AO49" s="218"/>
      <c r="AP49" s="221" t="e">
        <f>SUM(AN49:AO49)/AI49</f>
        <v>#DIV/0!</v>
      </c>
      <c r="AQ49" s="218"/>
      <c r="AR49" s="218"/>
      <c r="AS49" s="221" t="e">
        <f>(AQ49+AR49)/$AG49</f>
        <v>#DIV/0!</v>
      </c>
      <c r="AT49" s="218"/>
      <c r="AU49" s="218"/>
      <c r="AV49" s="221" t="e">
        <f>(AT49+AU49)/$AG49</f>
        <v>#DIV/0!</v>
      </c>
      <c r="AW49" s="218"/>
      <c r="AX49" s="218"/>
      <c r="AY49" s="221" t="e">
        <f>(AW49+AX49)/$AG49</f>
        <v>#DIV/0!</v>
      </c>
      <c r="AZ49" s="222">
        <f>SUM(AN49,AQ49,AT49,AW49)</f>
        <v>0</v>
      </c>
      <c r="BA49" s="222">
        <f>SUM(AO49,AR49,AU49,AX49)</f>
        <v>0</v>
      </c>
      <c r="BB49" s="222">
        <f>SUM(AZ49:BA49)</f>
        <v>0</v>
      </c>
      <c r="BC49" s="221">
        <f>(BB49+1)/(AI49+1)</f>
        <v>1</v>
      </c>
      <c r="BD49" s="223"/>
      <c r="BE49" s="223"/>
      <c r="BG49" s="17"/>
    </row>
    <row r="50" spans="19:60" ht="15" customHeight="1" x14ac:dyDescent="0.2">
      <c r="AC50" s="224" t="s">
        <v>273</v>
      </c>
      <c r="AD50" s="225"/>
      <c r="AE50" s="225"/>
      <c r="AF50" s="226"/>
      <c r="AG50" s="226"/>
      <c r="AH50" s="227"/>
      <c r="AI50" s="226"/>
      <c r="AJ50" s="226"/>
      <c r="AK50" s="226"/>
      <c r="AL50" s="226"/>
      <c r="AM50" s="228" t="e">
        <f t="shared" ref="AM50:AM51" si="110">SUM(AJ50:AL50)/AH50</f>
        <v>#DIV/0!</v>
      </c>
      <c r="AN50" s="226"/>
      <c r="AO50" s="226"/>
      <c r="AP50" s="229" t="e">
        <f t="shared" ref="AP50:AP51" si="111">SUM(AN50:AO50)/AI50</f>
        <v>#DIV/0!</v>
      </c>
      <c r="AQ50" s="226"/>
      <c r="AR50" s="226"/>
      <c r="AS50" s="229" t="e">
        <f t="shared" ref="AS50:AS51" si="112">(AQ50+AR50)/$AG50</f>
        <v>#DIV/0!</v>
      </c>
      <c r="AT50" s="226"/>
      <c r="AU50" s="226"/>
      <c r="AV50" s="229" t="e">
        <f t="shared" ref="AV50:AV51" si="113">(AT50+AU50)/$AG50</f>
        <v>#DIV/0!</v>
      </c>
      <c r="AW50" s="226"/>
      <c r="AX50" s="226"/>
      <c r="AY50" s="229" t="e">
        <f t="shared" ref="AY50:AY51" si="114">(AW50+AX50)/$AG50</f>
        <v>#DIV/0!</v>
      </c>
      <c r="AZ50" s="230">
        <f t="shared" ref="AZ50:BA51" si="115">SUM(AN50,AQ50,AT50,AW50)</f>
        <v>0</v>
      </c>
      <c r="BA50" s="230">
        <f t="shared" si="115"/>
        <v>0</v>
      </c>
      <c r="BB50" s="230">
        <f t="shared" ref="BB50:BB51" si="116">SUM(AZ50:BA50)</f>
        <v>0</v>
      </c>
      <c r="BC50" s="229">
        <f t="shared" ref="BC50:BC51" si="117">(BB50+1)/(AI50+1)</f>
        <v>1</v>
      </c>
      <c r="BD50" s="231"/>
      <c r="BE50" s="231"/>
      <c r="BG50" s="17"/>
    </row>
    <row r="51" spans="19:60" ht="15" customHeight="1" x14ac:dyDescent="0.2">
      <c r="U51" s="18"/>
      <c r="AC51" s="232" t="s">
        <v>275</v>
      </c>
      <c r="AD51" s="233">
        <v>46047</v>
      </c>
      <c r="AE51" s="233">
        <v>46048</v>
      </c>
      <c r="AF51" s="234">
        <v>5</v>
      </c>
      <c r="AG51" s="234">
        <v>259</v>
      </c>
      <c r="AH51" s="235">
        <v>259</v>
      </c>
      <c r="AI51" s="234">
        <v>259</v>
      </c>
      <c r="AJ51" s="234">
        <v>0</v>
      </c>
      <c r="AK51" s="234">
        <v>0</v>
      </c>
      <c r="AL51" s="234">
        <v>0</v>
      </c>
      <c r="AM51" s="236">
        <f t="shared" si="110"/>
        <v>0</v>
      </c>
      <c r="AN51" s="234">
        <v>19</v>
      </c>
      <c r="AO51" s="234">
        <v>0</v>
      </c>
      <c r="AP51" s="237">
        <f t="shared" si="111"/>
        <v>7.3359073359073365E-2</v>
      </c>
      <c r="AQ51" s="234">
        <v>2</v>
      </c>
      <c r="AR51" s="234">
        <v>0</v>
      </c>
      <c r="AS51" s="237">
        <f t="shared" si="112"/>
        <v>7.7220077220077222E-3</v>
      </c>
      <c r="AT51" s="234">
        <v>0</v>
      </c>
      <c r="AU51" s="234">
        <v>0</v>
      </c>
      <c r="AV51" s="237">
        <f t="shared" si="113"/>
        <v>0</v>
      </c>
      <c r="AW51" s="234">
        <v>0</v>
      </c>
      <c r="AX51" s="234">
        <v>0</v>
      </c>
      <c r="AY51" s="237">
        <f t="shared" si="114"/>
        <v>0</v>
      </c>
      <c r="AZ51" s="238">
        <f t="shared" si="115"/>
        <v>21</v>
      </c>
      <c r="BA51" s="238">
        <f t="shared" si="115"/>
        <v>0</v>
      </c>
      <c r="BB51" s="238">
        <f t="shared" si="116"/>
        <v>21</v>
      </c>
      <c r="BC51" s="237">
        <f t="shared" si="117"/>
        <v>8.461538461538462E-2</v>
      </c>
      <c r="BD51" s="239" t="s">
        <v>274</v>
      </c>
      <c r="BE51" s="239" t="s">
        <v>268</v>
      </c>
      <c r="BG51" s="17"/>
    </row>
    <row r="52" spans="19:60" ht="15" customHeight="1" x14ac:dyDescent="0.2">
      <c r="AC52" s="7"/>
      <c r="AG52" s="240">
        <f>SUM(AG49:AG51)</f>
        <v>259</v>
      </c>
      <c r="AH52" s="240">
        <f>SUM(AH49:AH51)</f>
        <v>259</v>
      </c>
      <c r="AI52" s="240">
        <f t="shared" ref="AI52:AL52" si="118">SUM(AI49:AI51)</f>
        <v>259</v>
      </c>
      <c r="AJ52" s="240">
        <f t="shared" si="118"/>
        <v>0</v>
      </c>
      <c r="AK52" s="240">
        <f t="shared" si="118"/>
        <v>0</v>
      </c>
      <c r="AL52" s="240">
        <f t="shared" si="118"/>
        <v>0</v>
      </c>
      <c r="AM52" s="135"/>
      <c r="AN52" s="240">
        <f>SUM(AN49:AN51)</f>
        <v>19</v>
      </c>
      <c r="AO52" s="240">
        <f>SUM(AO49:AO51)</f>
        <v>0</v>
      </c>
      <c r="AP52" s="241"/>
      <c r="AQ52" s="240">
        <f>SUM(AQ49:AQ51)</f>
        <v>2</v>
      </c>
      <c r="AR52" s="240">
        <f>SUM(AR49:AR51)</f>
        <v>0</v>
      </c>
      <c r="AS52" s="241"/>
      <c r="AT52" s="240">
        <f>SUM(AT49:AT51)</f>
        <v>0</v>
      </c>
      <c r="AU52" s="240">
        <f>SUM(AU49:AU51)</f>
        <v>0</v>
      </c>
      <c r="AV52" s="241"/>
      <c r="AW52" s="240">
        <f>SUM(AW49:AW51)</f>
        <v>0</v>
      </c>
      <c r="AX52" s="240">
        <f>SUM(AX49:AX51)</f>
        <v>0</v>
      </c>
      <c r="AY52" s="241"/>
      <c r="AZ52" s="240">
        <f>SUM(AZ49:AZ51)</f>
        <v>21</v>
      </c>
      <c r="BA52" s="240">
        <f>SUM(BA49:BA51)</f>
        <v>0</v>
      </c>
      <c r="BB52" s="240">
        <f>SUM(AZ52:BA52)</f>
        <v>21</v>
      </c>
      <c r="BC52" s="242">
        <f>(BB52+1)/(AI52+1)</f>
        <v>8.461538461538462E-2</v>
      </c>
      <c r="BD52" s="98"/>
      <c r="BE52" s="98"/>
      <c r="BG52" s="17"/>
    </row>
    <row r="53" spans="19:60" ht="15" customHeight="1" x14ac:dyDescent="0.2">
      <c r="AC53" s="212" t="s">
        <v>286</v>
      </c>
      <c r="AD53" s="15"/>
      <c r="AE53" s="23"/>
      <c r="AF53" s="16"/>
      <c r="AG53" s="15"/>
      <c r="AH53" s="15"/>
      <c r="AI53" s="15"/>
      <c r="AJ53" s="15"/>
      <c r="AK53" s="15"/>
      <c r="AL53" s="22"/>
      <c r="AM53" s="213"/>
      <c r="AN53" s="23"/>
      <c r="AO53" s="23"/>
      <c r="AP53" s="7"/>
      <c r="AQ53" s="15"/>
      <c r="AR53" s="15"/>
      <c r="AS53" s="7"/>
      <c r="AT53" s="15"/>
      <c r="AU53" s="15"/>
      <c r="AV53" s="7"/>
      <c r="AW53" s="15"/>
      <c r="AX53" s="15"/>
      <c r="AY53" s="214"/>
      <c r="AZ53" s="215"/>
      <c r="BA53" s="10"/>
      <c r="BB53" s="7"/>
      <c r="BC53" s="7"/>
      <c r="BD53" s="7"/>
      <c r="BE53" s="7"/>
      <c r="BF53" s="17"/>
    </row>
    <row r="54" spans="19:60" ht="15" customHeight="1" x14ac:dyDescent="0.2">
      <c r="AC54" s="216" t="s">
        <v>271</v>
      </c>
      <c r="AD54" s="217"/>
      <c r="AE54" s="217"/>
      <c r="AF54" s="218"/>
      <c r="AG54" s="218"/>
      <c r="AH54" s="219"/>
      <c r="AI54" s="218"/>
      <c r="AJ54" s="218"/>
      <c r="AK54" s="218"/>
      <c r="AL54" s="218"/>
      <c r="AM54" s="220" t="e">
        <f>SUM(AJ54:AL54)/AH54</f>
        <v>#DIV/0!</v>
      </c>
      <c r="AN54" s="218"/>
      <c r="AO54" s="218"/>
      <c r="AP54" s="221" t="e">
        <f>SUM(AN54:AO54)/AI54</f>
        <v>#DIV/0!</v>
      </c>
      <c r="AQ54" s="218"/>
      <c r="AR54" s="218"/>
      <c r="AS54" s="221" t="e">
        <f>(AQ54+AR54)/$AG54</f>
        <v>#DIV/0!</v>
      </c>
      <c r="AT54" s="218"/>
      <c r="AU54" s="218"/>
      <c r="AV54" s="221" t="e">
        <f>(AT54+AU54)/$AG54</f>
        <v>#DIV/0!</v>
      </c>
      <c r="AW54" s="218"/>
      <c r="AX54" s="218"/>
      <c r="AY54" s="221" t="e">
        <f>(AW54+AX54)/$AG54</f>
        <v>#DIV/0!</v>
      </c>
      <c r="AZ54" s="222">
        <f>SUM(AN54,AQ54,AT54,AW54)</f>
        <v>0</v>
      </c>
      <c r="BA54" s="222">
        <f>SUM(AO54,AR54,AU54,AX54)</f>
        <v>0</v>
      </c>
      <c r="BB54" s="222">
        <f>SUM(AZ54:BA54)</f>
        <v>0</v>
      </c>
      <c r="BC54" s="221">
        <f>(BB54+1)/(AI54+1)</f>
        <v>1</v>
      </c>
      <c r="BD54" s="223"/>
      <c r="BE54" s="223"/>
      <c r="BH54" s="17"/>
    </row>
    <row r="55" spans="19:60" ht="15" customHeight="1" x14ac:dyDescent="0.2">
      <c r="AC55" s="224" t="s">
        <v>273</v>
      </c>
      <c r="AD55" s="225">
        <v>46047</v>
      </c>
      <c r="AE55" s="225">
        <v>46048</v>
      </c>
      <c r="AF55" s="226">
        <v>5</v>
      </c>
      <c r="AG55" s="226">
        <v>243</v>
      </c>
      <c r="AH55" s="227">
        <v>237</v>
      </c>
      <c r="AI55" s="226">
        <v>238</v>
      </c>
      <c r="AJ55" s="226">
        <v>1</v>
      </c>
      <c r="AK55" s="226">
        <v>0</v>
      </c>
      <c r="AL55" s="226">
        <v>0</v>
      </c>
      <c r="AM55" s="228">
        <f t="shared" ref="AM55:AM56" si="119">SUM(AJ55:AL55)/AH55</f>
        <v>4.2194092827004216E-3</v>
      </c>
      <c r="AN55" s="226">
        <v>16</v>
      </c>
      <c r="AO55" s="226">
        <v>0</v>
      </c>
      <c r="AP55" s="229">
        <f t="shared" ref="AP55:AP56" si="120">SUM(AN55:AO55)/AI55</f>
        <v>6.7226890756302518E-2</v>
      </c>
      <c r="AQ55" s="226">
        <v>2</v>
      </c>
      <c r="AR55" s="226">
        <v>0</v>
      </c>
      <c r="AS55" s="229">
        <f t="shared" ref="AS55:AS56" si="121">(AQ55+AR55)/$AG55</f>
        <v>8.23045267489712E-3</v>
      </c>
      <c r="AT55" s="226">
        <v>0</v>
      </c>
      <c r="AU55" s="226">
        <v>0</v>
      </c>
      <c r="AV55" s="229">
        <f t="shared" ref="AV55:AV56" si="122">(AT55+AU55)/$AG55</f>
        <v>0</v>
      </c>
      <c r="AW55" s="226">
        <v>0</v>
      </c>
      <c r="AX55" s="226">
        <v>0</v>
      </c>
      <c r="AY55" s="229">
        <f t="shared" ref="AY55:AY56" si="123">(AW55+AX55)/$AG55</f>
        <v>0</v>
      </c>
      <c r="AZ55" s="230">
        <f t="shared" ref="AZ55:BA56" si="124">SUM(AN55,AQ55,AT55,AW55)</f>
        <v>18</v>
      </c>
      <c r="BA55" s="230">
        <f t="shared" si="124"/>
        <v>0</v>
      </c>
      <c r="BB55" s="230">
        <f t="shared" ref="BB55:BB56" si="125">SUM(AZ55:BA55)</f>
        <v>18</v>
      </c>
      <c r="BC55" s="229">
        <f t="shared" ref="BC55:BC56" si="126">(BB55+1)/(AI55+1)</f>
        <v>7.9497907949790794E-2</v>
      </c>
      <c r="BD55" s="231"/>
      <c r="BE55" s="231"/>
      <c r="BH55" s="17"/>
    </row>
    <row r="56" spans="19:60" ht="15" customHeight="1" x14ac:dyDescent="0.2">
      <c r="AC56" s="232" t="s">
        <v>275</v>
      </c>
      <c r="AD56" s="233"/>
      <c r="AE56" s="233"/>
      <c r="AF56" s="234"/>
      <c r="AG56" s="234"/>
      <c r="AH56" s="235"/>
      <c r="AI56" s="234"/>
      <c r="AJ56" s="234"/>
      <c r="AK56" s="234"/>
      <c r="AL56" s="234"/>
      <c r="AM56" s="236" t="e">
        <f t="shared" si="119"/>
        <v>#DIV/0!</v>
      </c>
      <c r="AN56" s="234"/>
      <c r="AO56" s="234"/>
      <c r="AP56" s="237" t="e">
        <f t="shared" si="120"/>
        <v>#DIV/0!</v>
      </c>
      <c r="AQ56" s="234"/>
      <c r="AR56" s="234"/>
      <c r="AS56" s="237" t="e">
        <f t="shared" si="121"/>
        <v>#DIV/0!</v>
      </c>
      <c r="AT56" s="234"/>
      <c r="AU56" s="234"/>
      <c r="AV56" s="237" t="e">
        <f t="shared" si="122"/>
        <v>#DIV/0!</v>
      </c>
      <c r="AW56" s="234"/>
      <c r="AX56" s="234"/>
      <c r="AY56" s="237" t="e">
        <f t="shared" si="123"/>
        <v>#DIV/0!</v>
      </c>
      <c r="AZ56" s="238">
        <f t="shared" si="124"/>
        <v>0</v>
      </c>
      <c r="BA56" s="238">
        <f t="shared" si="124"/>
        <v>0</v>
      </c>
      <c r="BB56" s="238">
        <f t="shared" si="125"/>
        <v>0</v>
      </c>
      <c r="BC56" s="237">
        <f t="shared" si="126"/>
        <v>1</v>
      </c>
      <c r="BD56" s="239" t="s">
        <v>274</v>
      </c>
      <c r="BE56" s="239" t="s">
        <v>268</v>
      </c>
      <c r="BH56" s="17"/>
    </row>
    <row r="57" spans="19:60" ht="15" customHeight="1" x14ac:dyDescent="0.2">
      <c r="AC57" s="7"/>
      <c r="AG57" s="240">
        <f>SUM(AG54:AG56)</f>
        <v>243</v>
      </c>
      <c r="AH57" s="240">
        <f>SUM(AH54:AH56)</f>
        <v>237</v>
      </c>
      <c r="AI57" s="240">
        <f t="shared" ref="AI57:AL57" si="127">SUM(AI54:AI56)</f>
        <v>238</v>
      </c>
      <c r="AJ57" s="240">
        <f t="shared" si="127"/>
        <v>1</v>
      </c>
      <c r="AK57" s="240">
        <f t="shared" si="127"/>
        <v>0</v>
      </c>
      <c r="AL57" s="240">
        <f t="shared" si="127"/>
        <v>0</v>
      </c>
      <c r="AM57" s="135"/>
      <c r="AN57" s="240">
        <f>SUM(AN54:AN56)</f>
        <v>16</v>
      </c>
      <c r="AO57" s="240">
        <f>SUM(AO54:AO56)</f>
        <v>0</v>
      </c>
      <c r="AP57" s="241"/>
      <c r="AQ57" s="240">
        <f>SUM(AQ54:AQ56)</f>
        <v>2</v>
      </c>
      <c r="AR57" s="240">
        <f>SUM(AR54:AR56)</f>
        <v>0</v>
      </c>
      <c r="AS57" s="241"/>
      <c r="AT57" s="240">
        <f>SUM(AT54:AT56)</f>
        <v>0</v>
      </c>
      <c r="AU57" s="240">
        <f>SUM(AU54:AU56)</f>
        <v>0</v>
      </c>
      <c r="AV57" s="241"/>
      <c r="AW57" s="240">
        <f>SUM(AW54:AW56)</f>
        <v>0</v>
      </c>
      <c r="AX57" s="240">
        <f>SUM(AX54:AX56)</f>
        <v>0</v>
      </c>
      <c r="AY57" s="241"/>
      <c r="AZ57" s="240">
        <f>SUM(AZ54:AZ56)</f>
        <v>18</v>
      </c>
      <c r="BA57" s="240">
        <f>SUM(BA54:BA56)</f>
        <v>0</v>
      </c>
      <c r="BB57" s="240">
        <f>SUM(AZ57:BA57)</f>
        <v>18</v>
      </c>
      <c r="BC57" s="242">
        <f>(BB57+1)/(AI57+1)</f>
        <v>7.9497907949790794E-2</v>
      </c>
      <c r="BD57" s="98"/>
      <c r="BE57" s="98"/>
      <c r="BH57" s="17"/>
    </row>
    <row r="58" spans="19:60" ht="15" customHeight="1" x14ac:dyDescent="0.2">
      <c r="AC58" s="212" t="s">
        <v>287</v>
      </c>
      <c r="AD58" s="15"/>
      <c r="AE58" s="23"/>
      <c r="AF58" s="16"/>
      <c r="AG58" s="15"/>
      <c r="AH58" s="15"/>
      <c r="AI58" s="15"/>
      <c r="AJ58" s="15"/>
      <c r="AK58" s="15"/>
      <c r="AL58" s="22"/>
      <c r="AM58" s="213"/>
      <c r="AN58" s="23"/>
      <c r="AO58" s="23"/>
      <c r="AP58" s="7"/>
      <c r="AQ58" s="15"/>
      <c r="AR58" s="15"/>
      <c r="AS58" s="7"/>
      <c r="AT58" s="15"/>
      <c r="AU58" s="15"/>
      <c r="AV58" s="7"/>
      <c r="AW58" s="15"/>
      <c r="AX58" s="15"/>
      <c r="AY58" s="214"/>
      <c r="AZ58" s="215"/>
      <c r="BA58" s="10"/>
      <c r="BB58" s="7"/>
      <c r="BC58" s="7"/>
      <c r="BD58" s="7"/>
      <c r="BE58" s="7"/>
      <c r="BH58" s="17"/>
    </row>
    <row r="59" spans="19:60" ht="15" customHeight="1" x14ac:dyDescent="0.2">
      <c r="AC59" s="216" t="s">
        <v>271</v>
      </c>
      <c r="AD59" s="217"/>
      <c r="AE59" s="217"/>
      <c r="AF59" s="218"/>
      <c r="AG59" s="218"/>
      <c r="AH59" s="219"/>
      <c r="AI59" s="218"/>
      <c r="AJ59" s="218"/>
      <c r="AK59" s="218"/>
      <c r="AL59" s="218"/>
      <c r="AM59" s="220" t="e">
        <f>SUM(AJ59:AL59)/AH59</f>
        <v>#DIV/0!</v>
      </c>
      <c r="AN59" s="218"/>
      <c r="AO59" s="218"/>
      <c r="AP59" s="221" t="e">
        <f>SUM(AN59:AO59)/AI59</f>
        <v>#DIV/0!</v>
      </c>
      <c r="AQ59" s="218"/>
      <c r="AR59" s="218"/>
      <c r="AS59" s="221" t="e">
        <f>(AQ59+AR59)/$AG59</f>
        <v>#DIV/0!</v>
      </c>
      <c r="AT59" s="218"/>
      <c r="AU59" s="218"/>
      <c r="AV59" s="221" t="e">
        <f>(AT59+AU59)/$AG59</f>
        <v>#DIV/0!</v>
      </c>
      <c r="AW59" s="218"/>
      <c r="AX59" s="218"/>
      <c r="AY59" s="221" t="e">
        <f>(AW59+AX59)/$AG59</f>
        <v>#DIV/0!</v>
      </c>
      <c r="AZ59" s="222">
        <f>SUM(AN59,AQ59,AT59,AW59)</f>
        <v>0</v>
      </c>
      <c r="BA59" s="222">
        <f>SUM(AO59,AR59,AU59,AX59)</f>
        <v>0</v>
      </c>
      <c r="BB59" s="222">
        <f>SUM(AZ59:BA59)</f>
        <v>0</v>
      </c>
      <c r="BC59" s="221">
        <f>(BB59+1)/(AI59+1)</f>
        <v>1</v>
      </c>
      <c r="BD59" s="223"/>
      <c r="BE59" s="223"/>
      <c r="BH59" s="17"/>
    </row>
    <row r="60" spans="19:60" ht="15" customHeight="1" x14ac:dyDescent="0.2">
      <c r="AC60" s="224" t="s">
        <v>273</v>
      </c>
      <c r="AD60" s="225"/>
      <c r="AE60" s="225"/>
      <c r="AF60" s="226"/>
      <c r="AG60" s="226"/>
      <c r="AH60" s="227"/>
      <c r="AI60" s="226"/>
      <c r="AJ60" s="226"/>
      <c r="AK60" s="226"/>
      <c r="AL60" s="226"/>
      <c r="AM60" s="228" t="e">
        <f t="shared" ref="AM60:AM61" si="128">SUM(AJ60:AL60)/AH60</f>
        <v>#DIV/0!</v>
      </c>
      <c r="AN60" s="226"/>
      <c r="AO60" s="226"/>
      <c r="AP60" s="229" t="e">
        <f t="shared" ref="AP60:AP61" si="129">SUM(AN60:AO60)/AI60</f>
        <v>#DIV/0!</v>
      </c>
      <c r="AQ60" s="226"/>
      <c r="AR60" s="226"/>
      <c r="AS60" s="229" t="e">
        <f t="shared" ref="AS60:AS61" si="130">(AQ60+AR60)/$AG60</f>
        <v>#DIV/0!</v>
      </c>
      <c r="AT60" s="226"/>
      <c r="AU60" s="226"/>
      <c r="AV60" s="229" t="e">
        <f t="shared" ref="AV60:AV61" si="131">(AT60+AU60)/$AG60</f>
        <v>#DIV/0!</v>
      </c>
      <c r="AW60" s="226"/>
      <c r="AX60" s="226"/>
      <c r="AY60" s="229" t="e">
        <f t="shared" ref="AY60:AY61" si="132">(AW60+AX60)/$AG60</f>
        <v>#DIV/0!</v>
      </c>
      <c r="AZ60" s="230">
        <f t="shared" ref="AZ60:BA61" si="133">SUM(AN60,AQ60,AT60,AW60)</f>
        <v>0</v>
      </c>
      <c r="BA60" s="230">
        <f t="shared" si="133"/>
        <v>0</v>
      </c>
      <c r="BB60" s="230">
        <f t="shared" ref="BB60:BB61" si="134">SUM(AZ60:BA60)</f>
        <v>0</v>
      </c>
      <c r="BC60" s="229">
        <f t="shared" ref="BC60:BC61" si="135">(BB60+1)/(AI60+1)</f>
        <v>1</v>
      </c>
      <c r="BD60" s="231"/>
      <c r="BE60" s="231"/>
    </row>
    <row r="61" spans="19:60" ht="15" customHeight="1" x14ac:dyDescent="0.2">
      <c r="AC61" s="232" t="s">
        <v>275</v>
      </c>
      <c r="AD61" s="233">
        <v>46050</v>
      </c>
      <c r="AE61" s="233">
        <v>46051</v>
      </c>
      <c r="AF61" s="234">
        <v>1</v>
      </c>
      <c r="AG61" s="234">
        <v>274</v>
      </c>
      <c r="AH61" s="235">
        <v>274</v>
      </c>
      <c r="AI61" s="234">
        <v>270</v>
      </c>
      <c r="AJ61" s="234"/>
      <c r="AK61" s="234"/>
      <c r="AL61" s="234">
        <v>3</v>
      </c>
      <c r="AM61" s="236">
        <f t="shared" si="128"/>
        <v>1.0948905109489052E-2</v>
      </c>
      <c r="AN61" s="234">
        <v>18</v>
      </c>
      <c r="AO61" s="234">
        <v>0</v>
      </c>
      <c r="AP61" s="237">
        <f t="shared" si="129"/>
        <v>6.6666666666666666E-2</v>
      </c>
      <c r="AQ61" s="234">
        <v>4</v>
      </c>
      <c r="AR61" s="234">
        <v>0</v>
      </c>
      <c r="AS61" s="237">
        <f t="shared" si="130"/>
        <v>1.4598540145985401E-2</v>
      </c>
      <c r="AT61" s="234">
        <v>0</v>
      </c>
      <c r="AU61" s="234">
        <v>0</v>
      </c>
      <c r="AV61" s="237">
        <f t="shared" si="131"/>
        <v>0</v>
      </c>
      <c r="AW61" s="234">
        <v>0</v>
      </c>
      <c r="AX61" s="234">
        <v>0</v>
      </c>
      <c r="AY61" s="237">
        <f t="shared" si="132"/>
        <v>0</v>
      </c>
      <c r="AZ61" s="238">
        <f t="shared" si="133"/>
        <v>22</v>
      </c>
      <c r="BA61" s="238">
        <f t="shared" si="133"/>
        <v>0</v>
      </c>
      <c r="BB61" s="238">
        <f t="shared" si="134"/>
        <v>22</v>
      </c>
      <c r="BC61" s="237">
        <f t="shared" si="135"/>
        <v>8.4870848708487087E-2</v>
      </c>
      <c r="BD61" s="239" t="s">
        <v>274</v>
      </c>
      <c r="BE61" s="239" t="s">
        <v>268</v>
      </c>
    </row>
    <row r="62" spans="19:60" ht="18" customHeight="1" x14ac:dyDescent="0.2">
      <c r="AC62" s="7"/>
      <c r="AG62" s="240">
        <f>SUM(AG59:AG61)</f>
        <v>274</v>
      </c>
      <c r="AH62" s="240">
        <f>SUM(AH59:AH61)</f>
        <v>274</v>
      </c>
      <c r="AI62" s="240">
        <f t="shared" ref="AI62:AL62" si="136">SUM(AI59:AI61)</f>
        <v>270</v>
      </c>
      <c r="AJ62" s="240">
        <f t="shared" si="136"/>
        <v>0</v>
      </c>
      <c r="AK62" s="240">
        <f t="shared" si="136"/>
        <v>0</v>
      </c>
      <c r="AL62" s="240">
        <f t="shared" si="136"/>
        <v>3</v>
      </c>
      <c r="AM62" s="135"/>
      <c r="AN62" s="240">
        <f>SUM(AN59:AN61)</f>
        <v>18</v>
      </c>
      <c r="AO62" s="240">
        <f>SUM(AO59:AO61)</f>
        <v>0</v>
      </c>
      <c r="AP62" s="241"/>
      <c r="AQ62" s="240">
        <f>SUM(AQ59:AQ61)</f>
        <v>4</v>
      </c>
      <c r="AR62" s="240">
        <f>SUM(AR59:AR61)</f>
        <v>0</v>
      </c>
      <c r="AS62" s="241"/>
      <c r="AT62" s="240">
        <f>SUM(AT59:AT61)</f>
        <v>0</v>
      </c>
      <c r="AU62" s="240">
        <f>SUM(AU59:AU61)</f>
        <v>0</v>
      </c>
      <c r="AV62" s="241"/>
      <c r="AW62" s="240">
        <f>SUM(AW59:AW61)</f>
        <v>0</v>
      </c>
      <c r="AX62" s="240">
        <f>SUM(AX59:AX61)</f>
        <v>0</v>
      </c>
      <c r="AY62" s="241"/>
      <c r="AZ62" s="240">
        <f>SUM(AZ59:AZ61)</f>
        <v>22</v>
      </c>
      <c r="BA62" s="240">
        <f>SUM(BA59:BA61)</f>
        <v>0</v>
      </c>
      <c r="BB62" s="240">
        <f>SUM(AZ62:BA62)</f>
        <v>22</v>
      </c>
      <c r="BC62" s="242">
        <f>(BB62+1)/(AI62+1)</f>
        <v>8.4870848708487087E-2</v>
      </c>
      <c r="BD62" s="98"/>
      <c r="BE62" s="98"/>
    </row>
    <row r="63" spans="19:60" ht="18" customHeight="1" x14ac:dyDescent="0.2">
      <c r="AC63" s="212" t="s">
        <v>288</v>
      </c>
      <c r="AD63" s="15"/>
      <c r="AE63" s="23"/>
      <c r="AF63" s="16"/>
      <c r="AG63" s="15"/>
      <c r="AH63" s="15"/>
      <c r="AI63" s="15"/>
      <c r="AJ63" s="15"/>
      <c r="AK63" s="15"/>
      <c r="AL63" s="22"/>
      <c r="AM63" s="213"/>
      <c r="AN63" s="23"/>
      <c r="AO63" s="23"/>
      <c r="AP63" s="7"/>
      <c r="AQ63" s="15"/>
      <c r="AR63" s="15"/>
      <c r="AS63" s="7"/>
      <c r="AT63" s="15"/>
      <c r="AU63" s="15"/>
      <c r="AV63" s="7"/>
      <c r="AW63" s="15"/>
      <c r="AX63" s="15"/>
      <c r="AY63" s="214"/>
      <c r="AZ63" s="215"/>
      <c r="BA63" s="10"/>
      <c r="BB63" s="7"/>
      <c r="BC63" s="7"/>
      <c r="BD63" s="7"/>
      <c r="BE63" s="7"/>
    </row>
    <row r="64" spans="19:60" ht="18" customHeight="1" x14ac:dyDescent="0.2">
      <c r="S64" s="18"/>
      <c r="AC64" s="216" t="s">
        <v>271</v>
      </c>
      <c r="AD64" s="217"/>
      <c r="AE64" s="217"/>
      <c r="AF64" s="218"/>
      <c r="AG64" s="218"/>
      <c r="AH64" s="219"/>
      <c r="AI64" s="218"/>
      <c r="AJ64" s="218"/>
      <c r="AK64" s="218"/>
      <c r="AL64" s="218"/>
      <c r="AM64" s="220" t="e">
        <f>SUM(AJ64:AL64)/AH64</f>
        <v>#DIV/0!</v>
      </c>
      <c r="AN64" s="218"/>
      <c r="AO64" s="218"/>
      <c r="AP64" s="221" t="e">
        <f>SUM(AN64:AO64)/AI64</f>
        <v>#DIV/0!</v>
      </c>
      <c r="AQ64" s="218"/>
      <c r="AR64" s="218"/>
      <c r="AS64" s="221" t="e">
        <f>(AQ64+AR64)/$AG64</f>
        <v>#DIV/0!</v>
      </c>
      <c r="AT64" s="218"/>
      <c r="AU64" s="218"/>
      <c r="AV64" s="221" t="e">
        <f>(AT64+AU64)/$AG64</f>
        <v>#DIV/0!</v>
      </c>
      <c r="AW64" s="218"/>
      <c r="AX64" s="218"/>
      <c r="AY64" s="221" t="e">
        <f>(AW64+AX64)/$AG64</f>
        <v>#DIV/0!</v>
      </c>
      <c r="AZ64" s="222">
        <f>SUM(AN64,AQ64,AT64,AW64)</f>
        <v>0</v>
      </c>
      <c r="BA64" s="222">
        <f>SUM(AO64,AR64,AU64,AX64)</f>
        <v>0</v>
      </c>
      <c r="BB64" s="222">
        <f>SUM(AZ64:BA64)</f>
        <v>0</v>
      </c>
      <c r="BC64" s="221">
        <f>(BB64+1)/(AI64+1)</f>
        <v>1</v>
      </c>
      <c r="BD64" s="223"/>
      <c r="BE64" s="223"/>
    </row>
    <row r="65" spans="6:57" ht="18" customHeight="1" x14ac:dyDescent="0.2">
      <c r="S65" s="18"/>
      <c r="AC65" s="224" t="s">
        <v>273</v>
      </c>
      <c r="AD65" s="225">
        <v>46050</v>
      </c>
      <c r="AE65" s="225">
        <v>46051</v>
      </c>
      <c r="AF65" s="226">
        <v>1</v>
      </c>
      <c r="AG65" s="226">
        <v>292</v>
      </c>
      <c r="AH65" s="227">
        <v>292</v>
      </c>
      <c r="AI65" s="226">
        <v>293</v>
      </c>
      <c r="AJ65" s="226"/>
      <c r="AK65" s="226"/>
      <c r="AL65" s="226"/>
      <c r="AM65" s="228">
        <f t="shared" ref="AM65:AM66" si="137">SUM(AJ65:AL65)/AH65</f>
        <v>0</v>
      </c>
      <c r="AN65" s="226">
        <v>14</v>
      </c>
      <c r="AO65" s="226">
        <v>0</v>
      </c>
      <c r="AP65" s="229">
        <f t="shared" ref="AP65:AP66" si="138">SUM(AN65:AO65)/AI65</f>
        <v>4.778156996587031E-2</v>
      </c>
      <c r="AQ65" s="226">
        <v>4</v>
      </c>
      <c r="AR65" s="226">
        <v>0</v>
      </c>
      <c r="AS65" s="229">
        <f t="shared" ref="AS65:AS66" si="139">(AQ65+AR65)/$AG65</f>
        <v>1.3698630136986301E-2</v>
      </c>
      <c r="AT65" s="226">
        <v>0</v>
      </c>
      <c r="AU65" s="226">
        <v>0</v>
      </c>
      <c r="AV65" s="229">
        <f t="shared" ref="AV65:AV66" si="140">(AT65+AU65)/$AG65</f>
        <v>0</v>
      </c>
      <c r="AW65" s="226">
        <v>0</v>
      </c>
      <c r="AX65" s="226">
        <v>0</v>
      </c>
      <c r="AY65" s="229">
        <f t="shared" ref="AY65:AY66" si="141">(AW65+AX65)/$AG65</f>
        <v>0</v>
      </c>
      <c r="AZ65" s="230">
        <f t="shared" ref="AZ65:BA66" si="142">SUM(AN65,AQ65,AT65,AW65)</f>
        <v>18</v>
      </c>
      <c r="BA65" s="230">
        <f t="shared" si="142"/>
        <v>0</v>
      </c>
      <c r="BB65" s="230">
        <f t="shared" ref="BB65:BB66" si="143">SUM(AZ65:BA65)</f>
        <v>18</v>
      </c>
      <c r="BC65" s="229">
        <f t="shared" ref="BC65:BC66" si="144">(BB65+1)/(AI65+1)</f>
        <v>6.4625850340136057E-2</v>
      </c>
      <c r="BD65" s="231" t="s">
        <v>274</v>
      </c>
      <c r="BE65" s="231" t="s">
        <v>268</v>
      </c>
    </row>
    <row r="66" spans="6:57" ht="18" customHeight="1" x14ac:dyDescent="0.2">
      <c r="S66" s="18"/>
      <c r="AC66" s="232" t="s">
        <v>275</v>
      </c>
      <c r="AD66" s="233"/>
      <c r="AE66" s="233"/>
      <c r="AF66" s="234"/>
      <c r="AG66" s="234"/>
      <c r="AH66" s="235"/>
      <c r="AI66" s="234"/>
      <c r="AJ66" s="234"/>
      <c r="AK66" s="234"/>
      <c r="AL66" s="234"/>
      <c r="AM66" s="236" t="e">
        <f t="shared" si="137"/>
        <v>#DIV/0!</v>
      </c>
      <c r="AN66" s="234"/>
      <c r="AO66" s="234"/>
      <c r="AP66" s="237" t="e">
        <f t="shared" si="138"/>
        <v>#DIV/0!</v>
      </c>
      <c r="AQ66" s="234"/>
      <c r="AR66" s="234"/>
      <c r="AS66" s="237" t="e">
        <f t="shared" si="139"/>
        <v>#DIV/0!</v>
      </c>
      <c r="AT66" s="234"/>
      <c r="AU66" s="234"/>
      <c r="AV66" s="237" t="e">
        <f t="shared" si="140"/>
        <v>#DIV/0!</v>
      </c>
      <c r="AW66" s="234"/>
      <c r="AX66" s="234"/>
      <c r="AY66" s="237" t="e">
        <f t="shared" si="141"/>
        <v>#DIV/0!</v>
      </c>
      <c r="AZ66" s="238">
        <f t="shared" si="142"/>
        <v>0</v>
      </c>
      <c r="BA66" s="238">
        <f t="shared" si="142"/>
        <v>0</v>
      </c>
      <c r="BB66" s="238">
        <f t="shared" si="143"/>
        <v>0</v>
      </c>
      <c r="BC66" s="237">
        <f t="shared" si="144"/>
        <v>1</v>
      </c>
      <c r="BD66" s="239"/>
      <c r="BE66" s="239"/>
    </row>
    <row r="67" spans="6:57" ht="18" customHeight="1" x14ac:dyDescent="0.2">
      <c r="S67" s="18"/>
      <c r="AC67" s="7"/>
      <c r="AG67" s="240">
        <f>SUM(AG64:AG66)</f>
        <v>292</v>
      </c>
      <c r="AH67" s="240">
        <f>SUM(AH64:AH66)</f>
        <v>292</v>
      </c>
      <c r="AI67" s="240">
        <f t="shared" ref="AI67:AL67" si="145">SUM(AI64:AI66)</f>
        <v>293</v>
      </c>
      <c r="AJ67" s="240">
        <f t="shared" si="145"/>
        <v>0</v>
      </c>
      <c r="AK67" s="240">
        <f t="shared" si="145"/>
        <v>0</v>
      </c>
      <c r="AL67" s="240">
        <f t="shared" si="145"/>
        <v>0</v>
      </c>
      <c r="AM67" s="135"/>
      <c r="AN67" s="240">
        <f>SUM(AN64:AN66)</f>
        <v>14</v>
      </c>
      <c r="AO67" s="240">
        <f>SUM(AO64:AO66)</f>
        <v>0</v>
      </c>
      <c r="AP67" s="241"/>
      <c r="AQ67" s="240">
        <f>SUM(AQ64:AQ66)</f>
        <v>4</v>
      </c>
      <c r="AR67" s="240">
        <f>SUM(AR64:AR66)</f>
        <v>0</v>
      </c>
      <c r="AS67" s="241"/>
      <c r="AT67" s="240">
        <f>SUM(AT64:AT66)</f>
        <v>0</v>
      </c>
      <c r="AU67" s="240">
        <f>SUM(AU64:AU66)</f>
        <v>0</v>
      </c>
      <c r="AV67" s="241"/>
      <c r="AW67" s="240">
        <f>SUM(AW64:AW66)</f>
        <v>0</v>
      </c>
      <c r="AX67" s="240">
        <f>SUM(AX64:AX66)</f>
        <v>0</v>
      </c>
      <c r="AY67" s="241"/>
      <c r="AZ67" s="240">
        <f>SUM(AZ64:AZ66)</f>
        <v>18</v>
      </c>
      <c r="BA67" s="240">
        <f>SUM(BA64:BA66)</f>
        <v>0</v>
      </c>
      <c r="BB67" s="240">
        <f>SUM(AZ67:BA67)</f>
        <v>18</v>
      </c>
      <c r="BC67" s="242">
        <f>(BB67+1)/(AI67+1)</f>
        <v>6.4625850340136057E-2</v>
      </c>
      <c r="BD67" s="98"/>
      <c r="BE67" s="98"/>
    </row>
    <row r="68" spans="6:57" ht="18" customHeight="1" x14ac:dyDescent="0.2">
      <c r="S68" s="18"/>
      <c r="AC68" s="212" t="s">
        <v>290</v>
      </c>
      <c r="AD68" s="15"/>
      <c r="AE68" s="23"/>
      <c r="AF68" s="16"/>
      <c r="AG68" s="15"/>
      <c r="AH68" s="15"/>
      <c r="AI68" s="15"/>
      <c r="AJ68" s="15"/>
      <c r="AK68" s="15"/>
      <c r="AL68" s="22"/>
      <c r="AM68" s="213"/>
      <c r="AN68" s="23"/>
      <c r="AO68" s="23"/>
      <c r="AP68" s="7"/>
      <c r="AQ68" s="15"/>
      <c r="AR68" s="15"/>
      <c r="AS68" s="7"/>
      <c r="AT68" s="15"/>
      <c r="AU68" s="15"/>
      <c r="AV68" s="7"/>
      <c r="AW68" s="15"/>
      <c r="AX68" s="15"/>
      <c r="AY68" s="214"/>
      <c r="AZ68" s="215"/>
      <c r="BA68" s="10"/>
      <c r="BB68" s="7"/>
      <c r="BC68" s="7"/>
      <c r="BD68" s="7"/>
      <c r="BE68" s="7"/>
    </row>
    <row r="69" spans="6:57" ht="18" customHeight="1" x14ac:dyDescent="0.2">
      <c r="S69" s="18"/>
      <c r="AC69" s="216" t="s">
        <v>271</v>
      </c>
      <c r="AD69" s="217"/>
      <c r="AE69" s="217"/>
      <c r="AF69" s="218"/>
      <c r="AG69" s="218"/>
      <c r="AH69" s="219"/>
      <c r="AI69" s="218"/>
      <c r="AJ69" s="218"/>
      <c r="AK69" s="218"/>
      <c r="AL69" s="218"/>
      <c r="AM69" s="220" t="e">
        <f>SUM(AJ69:AL69)/AH69</f>
        <v>#DIV/0!</v>
      </c>
      <c r="AN69" s="218"/>
      <c r="AO69" s="218"/>
      <c r="AP69" s="221" t="e">
        <f>SUM(AN69:AO69)/AI69</f>
        <v>#DIV/0!</v>
      </c>
      <c r="AQ69" s="218"/>
      <c r="AR69" s="218"/>
      <c r="AS69" s="221" t="e">
        <f>(AQ69+AR69)/$AG69</f>
        <v>#DIV/0!</v>
      </c>
      <c r="AT69" s="218"/>
      <c r="AU69" s="218"/>
      <c r="AV69" s="221" t="e">
        <f>(AT69+AU69)/$AG69</f>
        <v>#DIV/0!</v>
      </c>
      <c r="AW69" s="218"/>
      <c r="AX69" s="218"/>
      <c r="AY69" s="221" t="e">
        <f>(AW69+AX69)/$AG69</f>
        <v>#DIV/0!</v>
      </c>
      <c r="AZ69" s="222">
        <f>SUM(AN69,AQ69,AT69,AW69)</f>
        <v>0</v>
      </c>
      <c r="BA69" s="222">
        <f>SUM(AO69,AR69,AU69,AX69)</f>
        <v>0</v>
      </c>
      <c r="BB69" s="222">
        <f>SUM(AZ69:BA69)</f>
        <v>0</v>
      </c>
      <c r="BC69" s="221">
        <f>(BB69+1)/(AI69+1)</f>
        <v>1</v>
      </c>
      <c r="BD69" s="223"/>
      <c r="BE69" s="223"/>
    </row>
    <row r="70" spans="6:57" ht="18" customHeight="1" x14ac:dyDescent="0.2">
      <c r="S70" s="18"/>
      <c r="AC70" s="224" t="s">
        <v>273</v>
      </c>
      <c r="AD70" s="225">
        <v>46054</v>
      </c>
      <c r="AE70" s="225">
        <v>46055</v>
      </c>
      <c r="AF70" s="226">
        <v>4</v>
      </c>
      <c r="AG70" s="226">
        <v>245</v>
      </c>
      <c r="AH70" s="227">
        <v>245</v>
      </c>
      <c r="AI70" s="226">
        <v>244</v>
      </c>
      <c r="AJ70" s="226">
        <v>0</v>
      </c>
      <c r="AK70" s="226">
        <v>0</v>
      </c>
      <c r="AL70" s="226">
        <v>1</v>
      </c>
      <c r="AM70" s="228">
        <f t="shared" ref="AM70:AM71" si="146">SUM(AJ70:AL70)/AH70</f>
        <v>4.0816326530612249E-3</v>
      </c>
      <c r="AN70" s="226">
        <v>19</v>
      </c>
      <c r="AO70" s="226">
        <v>0</v>
      </c>
      <c r="AP70" s="229">
        <f t="shared" ref="AP70:AP71" si="147">SUM(AN70:AO70)/AI70</f>
        <v>7.7868852459016397E-2</v>
      </c>
      <c r="AQ70" s="226">
        <v>4</v>
      </c>
      <c r="AR70" s="226">
        <v>0</v>
      </c>
      <c r="AS70" s="229">
        <f t="shared" ref="AS70:AS71" si="148">(AQ70+AR70)/$AG70</f>
        <v>1.6326530612244899E-2</v>
      </c>
      <c r="AT70" s="226">
        <v>2</v>
      </c>
      <c r="AU70" s="226">
        <v>0</v>
      </c>
      <c r="AV70" s="229">
        <f t="shared" ref="AV70:AV71" si="149">(AT70+AU70)/$AG70</f>
        <v>8.1632653061224497E-3</v>
      </c>
      <c r="AW70" s="226">
        <v>0</v>
      </c>
      <c r="AX70" s="226">
        <v>0</v>
      </c>
      <c r="AY70" s="229">
        <f t="shared" ref="AY70:AY71" si="150">(AW70+AX70)/$AG70</f>
        <v>0</v>
      </c>
      <c r="AZ70" s="230">
        <f t="shared" ref="AZ70:BA71" si="151">SUM(AN70,AQ70,AT70,AW70)</f>
        <v>25</v>
      </c>
      <c r="BA70" s="230">
        <f t="shared" si="151"/>
        <v>0</v>
      </c>
      <c r="BB70" s="230">
        <f t="shared" ref="BB70:BB71" si="152">SUM(AZ70:BA70)</f>
        <v>25</v>
      </c>
      <c r="BC70" s="229">
        <f t="shared" ref="BC70:BC71" si="153">(BB70+1)/(AI70+1)</f>
        <v>0.10612244897959183</v>
      </c>
      <c r="BD70" s="231" t="s">
        <v>274</v>
      </c>
      <c r="BE70" s="231" t="s">
        <v>268</v>
      </c>
    </row>
    <row r="71" spans="6:57" ht="18" customHeight="1" x14ac:dyDescent="0.2">
      <c r="S71" s="18"/>
      <c r="AC71" s="232" t="s">
        <v>275</v>
      </c>
      <c r="AD71" s="233"/>
      <c r="AE71" s="233"/>
      <c r="AF71" s="234"/>
      <c r="AG71" s="234"/>
      <c r="AH71" s="235"/>
      <c r="AI71" s="234"/>
      <c r="AJ71" s="234"/>
      <c r="AK71" s="234"/>
      <c r="AL71" s="234"/>
      <c r="AM71" s="236" t="e">
        <f t="shared" si="146"/>
        <v>#DIV/0!</v>
      </c>
      <c r="AN71" s="234"/>
      <c r="AO71" s="234"/>
      <c r="AP71" s="237" t="e">
        <f t="shared" si="147"/>
        <v>#DIV/0!</v>
      </c>
      <c r="AQ71" s="234"/>
      <c r="AR71" s="234"/>
      <c r="AS71" s="237" t="e">
        <f t="shared" si="148"/>
        <v>#DIV/0!</v>
      </c>
      <c r="AT71" s="234"/>
      <c r="AU71" s="234"/>
      <c r="AV71" s="237" t="e">
        <f t="shared" si="149"/>
        <v>#DIV/0!</v>
      </c>
      <c r="AW71" s="234"/>
      <c r="AX71" s="234"/>
      <c r="AY71" s="237" t="e">
        <f t="shared" si="150"/>
        <v>#DIV/0!</v>
      </c>
      <c r="AZ71" s="238">
        <f t="shared" si="151"/>
        <v>0</v>
      </c>
      <c r="BA71" s="238">
        <f t="shared" si="151"/>
        <v>0</v>
      </c>
      <c r="BB71" s="238">
        <f t="shared" si="152"/>
        <v>0</v>
      </c>
      <c r="BC71" s="237">
        <f t="shared" si="153"/>
        <v>1</v>
      </c>
      <c r="BD71" s="239"/>
      <c r="BE71" s="239"/>
    </row>
    <row r="72" spans="6:57" ht="18" customHeight="1" x14ac:dyDescent="0.2">
      <c r="F72" s="129"/>
      <c r="G72" s="130"/>
      <c r="H72" s="130"/>
      <c r="I72" s="130"/>
      <c r="J72" s="129"/>
      <c r="K72" s="129"/>
      <c r="L72" s="129"/>
      <c r="S72" s="18"/>
      <c r="AC72" s="7"/>
      <c r="AG72" s="240">
        <f>SUM(AG69:AG71)</f>
        <v>245</v>
      </c>
      <c r="AH72" s="240">
        <f>SUM(AH69:AH71)</f>
        <v>245</v>
      </c>
      <c r="AI72" s="240">
        <f t="shared" ref="AI72:AL72" si="154">SUM(AI69:AI71)</f>
        <v>244</v>
      </c>
      <c r="AJ72" s="240">
        <f t="shared" si="154"/>
        <v>0</v>
      </c>
      <c r="AK72" s="240">
        <f t="shared" si="154"/>
        <v>0</v>
      </c>
      <c r="AL72" s="240">
        <f t="shared" si="154"/>
        <v>1</v>
      </c>
      <c r="AM72" s="135"/>
      <c r="AN72" s="240">
        <f>SUM(AN69:AN71)</f>
        <v>19</v>
      </c>
      <c r="AO72" s="240">
        <f>SUM(AO69:AO71)</f>
        <v>0</v>
      </c>
      <c r="AP72" s="241"/>
      <c r="AQ72" s="240">
        <f>SUM(AQ69:AQ71)</f>
        <v>4</v>
      </c>
      <c r="AR72" s="240">
        <f>SUM(AR69:AR71)</f>
        <v>0</v>
      </c>
      <c r="AS72" s="241"/>
      <c r="AT72" s="240">
        <f>SUM(AT69:AT71)</f>
        <v>2</v>
      </c>
      <c r="AU72" s="240">
        <f>SUM(AU69:AU71)</f>
        <v>0</v>
      </c>
      <c r="AV72" s="241"/>
      <c r="AW72" s="240">
        <f>SUM(AW69:AW71)</f>
        <v>0</v>
      </c>
      <c r="AX72" s="240">
        <f>SUM(AX69:AX71)</f>
        <v>0</v>
      </c>
      <c r="AY72" s="241"/>
      <c r="AZ72" s="240">
        <f>SUM(AZ69:AZ71)</f>
        <v>25</v>
      </c>
      <c r="BA72" s="240">
        <f>SUM(BA69:BA71)</f>
        <v>0</v>
      </c>
      <c r="BB72" s="240">
        <f>SUM(AZ72:BA72)</f>
        <v>25</v>
      </c>
      <c r="BC72" s="242">
        <f>(BB72+1)/(AI72+1)</f>
        <v>0.10612244897959183</v>
      </c>
      <c r="BD72" s="98"/>
      <c r="BE72" s="98"/>
    </row>
    <row r="73" spans="6:57" ht="18" customHeight="1" x14ac:dyDescent="0.2">
      <c r="F73" s="129"/>
      <c r="G73" s="130"/>
      <c r="H73" s="130"/>
      <c r="I73" s="130"/>
      <c r="J73" s="129"/>
      <c r="K73" s="129"/>
      <c r="L73" s="129"/>
      <c r="S73" s="18"/>
      <c r="AC73" s="212" t="s">
        <v>295</v>
      </c>
      <c r="AD73" s="15"/>
      <c r="AE73" s="23"/>
      <c r="AF73" s="16"/>
      <c r="AG73" s="15"/>
      <c r="AH73" s="15"/>
      <c r="AI73" s="15"/>
      <c r="AJ73" s="15"/>
      <c r="AK73" s="15"/>
      <c r="AL73" s="22"/>
      <c r="AM73" s="213"/>
      <c r="AN73" s="23"/>
      <c r="AO73" s="23"/>
      <c r="AP73" s="7"/>
      <c r="AQ73" s="15"/>
      <c r="AR73" s="15"/>
      <c r="AS73" s="7"/>
      <c r="AT73" s="15"/>
      <c r="AU73" s="15"/>
      <c r="AV73" s="7"/>
      <c r="AW73" s="15"/>
      <c r="AX73" s="15"/>
      <c r="AY73" s="214"/>
      <c r="AZ73" s="215"/>
      <c r="BA73" s="10"/>
      <c r="BB73" s="7"/>
      <c r="BC73" s="7"/>
      <c r="BD73" s="7"/>
      <c r="BE73" s="7"/>
    </row>
    <row r="74" spans="6:57" ht="18" customHeight="1" x14ac:dyDescent="0.2">
      <c r="F74" s="129"/>
      <c r="G74" s="130"/>
      <c r="H74" s="130"/>
      <c r="I74" s="130"/>
      <c r="J74" s="129"/>
      <c r="K74" s="129"/>
      <c r="L74" s="129"/>
      <c r="S74" s="18"/>
      <c r="AC74" s="216" t="s">
        <v>271</v>
      </c>
      <c r="AD74" s="217"/>
      <c r="AE74" s="217"/>
      <c r="AF74" s="218"/>
      <c r="AG74" s="218"/>
      <c r="AH74" s="219"/>
      <c r="AI74" s="218"/>
      <c r="AJ74" s="218"/>
      <c r="AK74" s="218"/>
      <c r="AL74" s="218"/>
      <c r="AM74" s="220" t="e">
        <f>SUM(AJ74:AL74)/AH74</f>
        <v>#DIV/0!</v>
      </c>
      <c r="AN74" s="218"/>
      <c r="AO74" s="218"/>
      <c r="AP74" s="221" t="e">
        <f>SUM(AN74:AO74)/AI74</f>
        <v>#DIV/0!</v>
      </c>
      <c r="AQ74" s="218"/>
      <c r="AR74" s="218"/>
      <c r="AS74" s="221" t="e">
        <f>(AQ74+AR74)/$AG74</f>
        <v>#DIV/0!</v>
      </c>
      <c r="AT74" s="218"/>
      <c r="AU74" s="218"/>
      <c r="AV74" s="221" t="e">
        <f>(AT74+AU74)/$AG74</f>
        <v>#DIV/0!</v>
      </c>
      <c r="AW74" s="218"/>
      <c r="AX74" s="218"/>
      <c r="AY74" s="221" t="e">
        <f>(AW74+AX74)/$AG74</f>
        <v>#DIV/0!</v>
      </c>
      <c r="AZ74" s="222">
        <f>SUM(AN74,AQ74,AT74,AW74)</f>
        <v>0</v>
      </c>
      <c r="BA74" s="222">
        <f>SUM(AO74,AR74,AU74,AX74)</f>
        <v>0</v>
      </c>
      <c r="BB74" s="222">
        <f>SUM(AZ74:BA74)</f>
        <v>0</v>
      </c>
      <c r="BC74" s="221">
        <f>(BB74+1)/(AI74+1)</f>
        <v>1</v>
      </c>
      <c r="BD74" s="223"/>
      <c r="BE74" s="223"/>
    </row>
    <row r="75" spans="6:57" ht="18" customHeight="1" x14ac:dyDescent="0.2">
      <c r="F75" s="129"/>
      <c r="G75" s="130"/>
      <c r="H75" s="130"/>
      <c r="I75" s="130"/>
      <c r="J75" s="129"/>
      <c r="K75" s="129"/>
      <c r="L75" s="129"/>
      <c r="AC75" s="224" t="s">
        <v>273</v>
      </c>
      <c r="AD75" s="225"/>
      <c r="AE75" s="225"/>
      <c r="AF75" s="226"/>
      <c r="AG75" s="226"/>
      <c r="AH75" s="227"/>
      <c r="AI75" s="226"/>
      <c r="AJ75" s="226"/>
      <c r="AK75" s="226"/>
      <c r="AL75" s="226"/>
      <c r="AM75" s="228" t="e">
        <f t="shared" ref="AM75:AM76" si="155">SUM(AJ75:AL75)/AH75</f>
        <v>#DIV/0!</v>
      </c>
      <c r="AN75" s="226"/>
      <c r="AO75" s="226"/>
      <c r="AP75" s="229" t="e">
        <f t="shared" ref="AP75:AP76" si="156">SUM(AN75:AO75)/AI75</f>
        <v>#DIV/0!</v>
      </c>
      <c r="AQ75" s="226"/>
      <c r="AR75" s="226"/>
      <c r="AS75" s="229" t="e">
        <f t="shared" ref="AS75:AS76" si="157">(AQ75+AR75)/$AG75</f>
        <v>#DIV/0!</v>
      </c>
      <c r="AT75" s="226"/>
      <c r="AU75" s="226"/>
      <c r="AV75" s="229" t="e">
        <f t="shared" ref="AV75:AV76" si="158">(AT75+AU75)/$AG75</f>
        <v>#DIV/0!</v>
      </c>
      <c r="AW75" s="226"/>
      <c r="AX75" s="226"/>
      <c r="AY75" s="229" t="e">
        <f t="shared" ref="AY75:AY76" si="159">(AW75+AX75)/$AG75</f>
        <v>#DIV/0!</v>
      </c>
      <c r="AZ75" s="230">
        <f t="shared" ref="AZ75:BA76" si="160">SUM(AN75,AQ75,AT75,AW75)</f>
        <v>0</v>
      </c>
      <c r="BA75" s="230">
        <f t="shared" si="160"/>
        <v>0</v>
      </c>
      <c r="BB75" s="230">
        <f t="shared" ref="BB75:BB76" si="161">SUM(AZ75:BA75)</f>
        <v>0</v>
      </c>
      <c r="BC75" s="229">
        <f t="shared" ref="BC75:BC76" si="162">(BB75+1)/(AI75+1)</f>
        <v>1</v>
      </c>
      <c r="BD75" s="231"/>
      <c r="BE75" s="231"/>
    </row>
    <row r="76" spans="6:57" ht="18" customHeight="1" x14ac:dyDescent="0.2">
      <c r="F76" s="129"/>
      <c r="G76" s="130"/>
      <c r="H76" s="130"/>
      <c r="I76" s="130"/>
      <c r="J76" s="129"/>
      <c r="K76" s="129"/>
      <c r="L76" s="129"/>
      <c r="AC76" s="232" t="s">
        <v>275</v>
      </c>
      <c r="AD76" s="298">
        <v>46054</v>
      </c>
      <c r="AE76" s="298">
        <v>46055</v>
      </c>
      <c r="AF76" s="234">
        <v>4</v>
      </c>
      <c r="AG76" s="234">
        <v>256</v>
      </c>
      <c r="AH76" s="235">
        <v>254</v>
      </c>
      <c r="AI76" s="234">
        <v>254</v>
      </c>
      <c r="AJ76" s="234">
        <v>2</v>
      </c>
      <c r="AK76" s="234">
        <v>0</v>
      </c>
      <c r="AL76" s="234">
        <v>0</v>
      </c>
      <c r="AM76" s="236">
        <f t="shared" si="155"/>
        <v>7.874015748031496E-3</v>
      </c>
      <c r="AN76" s="234">
        <v>20</v>
      </c>
      <c r="AO76" s="234">
        <v>0</v>
      </c>
      <c r="AP76" s="237">
        <f t="shared" si="156"/>
        <v>7.874015748031496E-2</v>
      </c>
      <c r="AQ76" s="234">
        <v>3</v>
      </c>
      <c r="AR76" s="234">
        <v>0</v>
      </c>
      <c r="AS76" s="237">
        <f t="shared" si="157"/>
        <v>1.171875E-2</v>
      </c>
      <c r="AT76" s="234">
        <v>0</v>
      </c>
      <c r="AU76" s="234">
        <v>0</v>
      </c>
      <c r="AV76" s="237">
        <f t="shared" si="158"/>
        <v>0</v>
      </c>
      <c r="AW76" s="234">
        <v>0</v>
      </c>
      <c r="AX76" s="234">
        <v>0</v>
      </c>
      <c r="AY76" s="237">
        <f t="shared" si="159"/>
        <v>0</v>
      </c>
      <c r="AZ76" s="238">
        <f t="shared" si="160"/>
        <v>23</v>
      </c>
      <c r="BA76" s="238">
        <f t="shared" si="160"/>
        <v>0</v>
      </c>
      <c r="BB76" s="238">
        <f t="shared" si="161"/>
        <v>23</v>
      </c>
      <c r="BC76" s="237">
        <f t="shared" si="162"/>
        <v>9.4117647058823528E-2</v>
      </c>
      <c r="BD76" s="239" t="s">
        <v>274</v>
      </c>
      <c r="BE76" s="239" t="s">
        <v>268</v>
      </c>
    </row>
    <row r="77" spans="6:57" ht="18" customHeight="1" x14ac:dyDescent="0.2">
      <c r="AC77" s="7"/>
      <c r="AG77" s="240">
        <f>SUM(AG74:AG76)</f>
        <v>256</v>
      </c>
      <c r="AH77" s="240">
        <f>SUM(AH74:AH76)</f>
        <v>254</v>
      </c>
      <c r="AI77" s="240">
        <f t="shared" ref="AI77:AL77" si="163">SUM(AI74:AI76)</f>
        <v>254</v>
      </c>
      <c r="AJ77" s="240">
        <f t="shared" si="163"/>
        <v>2</v>
      </c>
      <c r="AK77" s="240">
        <f t="shared" si="163"/>
        <v>0</v>
      </c>
      <c r="AL77" s="240">
        <f t="shared" si="163"/>
        <v>0</v>
      </c>
      <c r="AM77" s="135"/>
      <c r="AN77" s="240">
        <f>SUM(AN74:AN76)</f>
        <v>20</v>
      </c>
      <c r="AO77" s="240">
        <f>SUM(AO74:AO76)</f>
        <v>0</v>
      </c>
      <c r="AP77" s="241"/>
      <c r="AQ77" s="240">
        <f>SUM(AQ74:AQ76)</f>
        <v>3</v>
      </c>
      <c r="AR77" s="240">
        <f>SUM(AR74:AR76)</f>
        <v>0</v>
      </c>
      <c r="AS77" s="241"/>
      <c r="AT77" s="240">
        <f>SUM(AT74:AT76)</f>
        <v>0</v>
      </c>
      <c r="AU77" s="240">
        <f>SUM(AU74:AU76)</f>
        <v>0</v>
      </c>
      <c r="AV77" s="241"/>
      <c r="AW77" s="240">
        <f>SUM(AW74:AW76)</f>
        <v>0</v>
      </c>
      <c r="AX77" s="240">
        <f>SUM(AX74:AX76)</f>
        <v>0</v>
      </c>
      <c r="AY77" s="241"/>
      <c r="AZ77" s="240">
        <f>SUM(AZ74:AZ76)</f>
        <v>23</v>
      </c>
      <c r="BA77" s="240">
        <f>SUM(BA74:BA76)</f>
        <v>0</v>
      </c>
      <c r="BB77" s="240">
        <f>SUM(AZ77:BA77)</f>
        <v>23</v>
      </c>
      <c r="BC77" s="242">
        <f>(BB77+1)/(AI77+1)</f>
        <v>9.4117647058823528E-2</v>
      </c>
      <c r="BD77" s="98"/>
      <c r="BE77" s="98"/>
    </row>
    <row r="78" spans="6:57" ht="18" customHeight="1" x14ac:dyDescent="0.2">
      <c r="AC78" s="212" t="s">
        <v>296</v>
      </c>
      <c r="AD78" s="15"/>
      <c r="AE78" s="23"/>
      <c r="AF78" s="16"/>
      <c r="AG78" s="15"/>
      <c r="AH78" s="15"/>
      <c r="AI78" s="15"/>
      <c r="AJ78" s="15"/>
      <c r="AK78" s="15"/>
      <c r="AL78" s="22"/>
      <c r="AM78" s="213"/>
      <c r="AN78" s="23"/>
      <c r="AO78" s="23"/>
      <c r="AP78" s="7"/>
      <c r="AQ78" s="15"/>
      <c r="AR78" s="15"/>
      <c r="AS78" s="7"/>
      <c r="AT78" s="15"/>
      <c r="AU78" s="15"/>
      <c r="AV78" s="7"/>
      <c r="AW78" s="15"/>
      <c r="AX78" s="15"/>
      <c r="AY78" s="214"/>
      <c r="AZ78" s="215"/>
      <c r="BA78" s="10"/>
      <c r="BB78" s="7"/>
      <c r="BC78" s="7"/>
      <c r="BD78" s="7"/>
      <c r="BE78" s="7"/>
    </row>
    <row r="79" spans="6:57" ht="18" customHeight="1" x14ac:dyDescent="0.2">
      <c r="AC79" s="216" t="s">
        <v>271</v>
      </c>
      <c r="AD79" s="217"/>
      <c r="AE79" s="217"/>
      <c r="AF79" s="218"/>
      <c r="AG79" s="218"/>
      <c r="AH79" s="219"/>
      <c r="AI79" s="218"/>
      <c r="AJ79" s="218"/>
      <c r="AK79" s="218"/>
      <c r="AL79" s="218"/>
      <c r="AM79" s="220" t="e">
        <f>SUM(AJ79:AL79)/AH79</f>
        <v>#DIV/0!</v>
      </c>
      <c r="AN79" s="218"/>
      <c r="AO79" s="218"/>
      <c r="AP79" s="221" t="e">
        <f>SUM(AN79:AO79)/AI79</f>
        <v>#DIV/0!</v>
      </c>
      <c r="AQ79" s="218"/>
      <c r="AR79" s="218"/>
      <c r="AS79" s="221" t="e">
        <f>(AQ79+AR79)/$AG79</f>
        <v>#DIV/0!</v>
      </c>
      <c r="AT79" s="218"/>
      <c r="AU79" s="218"/>
      <c r="AV79" s="221" t="e">
        <f>(AT79+AU79)/$AG79</f>
        <v>#DIV/0!</v>
      </c>
      <c r="AW79" s="218"/>
      <c r="AX79" s="218"/>
      <c r="AY79" s="221" t="e">
        <f>(AW79+AX79)/$AG79</f>
        <v>#DIV/0!</v>
      </c>
      <c r="AZ79" s="222">
        <f>SUM(AN79,AQ79,AT79,AW79)</f>
        <v>0</v>
      </c>
      <c r="BA79" s="222">
        <f>SUM(AO79,AR79,AU79,AX79)</f>
        <v>0</v>
      </c>
      <c r="BB79" s="222">
        <f>SUM(AZ79:BA79)</f>
        <v>0</v>
      </c>
      <c r="BC79" s="221">
        <f>(BB79+1)/(AI79+1)</f>
        <v>1</v>
      </c>
      <c r="BD79" s="223"/>
      <c r="BE79" s="223"/>
    </row>
    <row r="80" spans="6:57" ht="18" customHeight="1" x14ac:dyDescent="0.2">
      <c r="AC80" s="224" t="s">
        <v>273</v>
      </c>
      <c r="AD80" s="225"/>
      <c r="AE80" s="225"/>
      <c r="AF80" s="226"/>
      <c r="AG80" s="226"/>
      <c r="AH80" s="227"/>
      <c r="AI80" s="226"/>
      <c r="AJ80" s="226"/>
      <c r="AK80" s="226"/>
      <c r="AL80" s="226"/>
      <c r="AM80" s="228" t="e">
        <f t="shared" ref="AM80:AM81" si="164">SUM(AJ80:AL80)/AH80</f>
        <v>#DIV/0!</v>
      </c>
      <c r="AN80" s="226"/>
      <c r="AO80" s="226"/>
      <c r="AP80" s="229" t="e">
        <f t="shared" ref="AP80:AP81" si="165">SUM(AN80:AO80)/AI80</f>
        <v>#DIV/0!</v>
      </c>
      <c r="AQ80" s="226"/>
      <c r="AR80" s="226"/>
      <c r="AS80" s="229" t="e">
        <f t="shared" ref="AS80:AS81" si="166">(AQ80+AR80)/$AG80</f>
        <v>#DIV/0!</v>
      </c>
      <c r="AT80" s="226"/>
      <c r="AU80" s="226"/>
      <c r="AV80" s="229" t="e">
        <f t="shared" ref="AV80:AV81" si="167">(AT80+AU80)/$AG80</f>
        <v>#DIV/0!</v>
      </c>
      <c r="AW80" s="226"/>
      <c r="AX80" s="226"/>
      <c r="AY80" s="229" t="e">
        <f t="shared" ref="AY80:AY81" si="168">(AW80+AX80)/$AG80</f>
        <v>#DIV/0!</v>
      </c>
      <c r="AZ80" s="230">
        <f t="shared" ref="AZ80:BA81" si="169">SUM(AN80,AQ80,AT80,AW80)</f>
        <v>0</v>
      </c>
      <c r="BA80" s="230">
        <f t="shared" si="169"/>
        <v>0</v>
      </c>
      <c r="BB80" s="230">
        <f t="shared" ref="BB80:BB81" si="170">SUM(AZ80:BA80)</f>
        <v>0</v>
      </c>
      <c r="BC80" s="229">
        <f t="shared" ref="BC80:BC81" si="171">(BB80+1)/(AI80+1)</f>
        <v>1</v>
      </c>
      <c r="BD80" s="231"/>
      <c r="BE80" s="231"/>
    </row>
    <row r="81" spans="29:57" ht="18" customHeight="1" x14ac:dyDescent="0.2">
      <c r="AC81" s="232" t="s">
        <v>275</v>
      </c>
      <c r="AD81" s="233">
        <v>46057</v>
      </c>
      <c r="AE81" s="233">
        <v>46058</v>
      </c>
      <c r="AF81" s="234">
        <v>1</v>
      </c>
      <c r="AG81" s="234">
        <v>269</v>
      </c>
      <c r="AH81" s="235">
        <v>269</v>
      </c>
      <c r="AI81" s="234">
        <v>278</v>
      </c>
      <c r="AJ81" s="234">
        <v>0</v>
      </c>
      <c r="AK81" s="234">
        <v>0</v>
      </c>
      <c r="AL81" s="234">
        <v>1</v>
      </c>
      <c r="AM81" s="236">
        <f t="shared" si="164"/>
        <v>3.7174721189591076E-3</v>
      </c>
      <c r="AN81" s="234">
        <v>6</v>
      </c>
      <c r="AO81" s="234">
        <v>0</v>
      </c>
      <c r="AP81" s="237">
        <f t="shared" si="165"/>
        <v>2.1582733812949641E-2</v>
      </c>
      <c r="AQ81" s="234">
        <v>2</v>
      </c>
      <c r="AR81" s="234">
        <v>0</v>
      </c>
      <c r="AS81" s="237">
        <f t="shared" si="166"/>
        <v>7.4349442379182153E-3</v>
      </c>
      <c r="AT81" s="234">
        <v>0</v>
      </c>
      <c r="AU81" s="234">
        <v>0</v>
      </c>
      <c r="AV81" s="237">
        <f t="shared" si="167"/>
        <v>0</v>
      </c>
      <c r="AW81" s="234">
        <v>0</v>
      </c>
      <c r="AX81" s="234">
        <v>0</v>
      </c>
      <c r="AY81" s="237">
        <f t="shared" si="168"/>
        <v>0</v>
      </c>
      <c r="AZ81" s="238">
        <f t="shared" si="169"/>
        <v>8</v>
      </c>
      <c r="BA81" s="238">
        <f t="shared" si="169"/>
        <v>0</v>
      </c>
      <c r="BB81" s="238">
        <f t="shared" si="170"/>
        <v>8</v>
      </c>
      <c r="BC81" s="237">
        <f t="shared" si="171"/>
        <v>3.2258064516129031E-2</v>
      </c>
      <c r="BD81" s="239" t="s">
        <v>274</v>
      </c>
      <c r="BE81" s="239" t="s">
        <v>268</v>
      </c>
    </row>
    <row r="82" spans="29:57" ht="18" customHeight="1" x14ac:dyDescent="0.2">
      <c r="AC82" s="7"/>
      <c r="AG82" s="240">
        <f>SUM(AG79:AG81)</f>
        <v>269</v>
      </c>
      <c r="AH82" s="240">
        <f>SUM(AH79:AH81)</f>
        <v>269</v>
      </c>
      <c r="AI82" s="240">
        <f t="shared" ref="AI82:AL82" si="172">SUM(AI79:AI81)</f>
        <v>278</v>
      </c>
      <c r="AJ82" s="240">
        <f t="shared" si="172"/>
        <v>0</v>
      </c>
      <c r="AK82" s="240">
        <f t="shared" si="172"/>
        <v>0</v>
      </c>
      <c r="AL82" s="240">
        <f t="shared" si="172"/>
        <v>1</v>
      </c>
      <c r="AM82" s="135"/>
      <c r="AN82" s="240">
        <f>SUM(AN79:AN81)</f>
        <v>6</v>
      </c>
      <c r="AO82" s="240">
        <f>SUM(AO79:AO81)</f>
        <v>0</v>
      </c>
      <c r="AP82" s="241"/>
      <c r="AQ82" s="240">
        <f>SUM(AQ79:AQ81)</f>
        <v>2</v>
      </c>
      <c r="AR82" s="240">
        <f>SUM(AR79:AR81)</f>
        <v>0</v>
      </c>
      <c r="AS82" s="241"/>
      <c r="AT82" s="240">
        <f>SUM(AT79:AT81)</f>
        <v>0</v>
      </c>
      <c r="AU82" s="240">
        <f>SUM(AU79:AU81)</f>
        <v>0</v>
      </c>
      <c r="AV82" s="241"/>
      <c r="AW82" s="240">
        <f>SUM(AW79:AW81)</f>
        <v>0</v>
      </c>
      <c r="AX82" s="240">
        <f>SUM(AX79:AX81)</f>
        <v>0</v>
      </c>
      <c r="AY82" s="241"/>
      <c r="AZ82" s="240">
        <f>SUM(AZ79:AZ81)</f>
        <v>8</v>
      </c>
      <c r="BA82" s="240">
        <f>SUM(BA79:BA81)</f>
        <v>0</v>
      </c>
      <c r="BB82" s="240">
        <f>SUM(AZ82:BA82)</f>
        <v>8</v>
      </c>
      <c r="BC82" s="242">
        <f>(BB82+1)/(AI82+1)</f>
        <v>3.2258064516129031E-2</v>
      </c>
      <c r="BD82" s="98"/>
      <c r="BE82" s="98"/>
    </row>
    <row r="83" spans="29:57" ht="18" customHeight="1" x14ac:dyDescent="0.2">
      <c r="AC83" s="212" t="s">
        <v>297</v>
      </c>
      <c r="AD83" s="15"/>
      <c r="AE83" s="23"/>
      <c r="AF83" s="16"/>
      <c r="AG83" s="15"/>
      <c r="AH83" s="15"/>
      <c r="AI83" s="15"/>
      <c r="AJ83" s="15"/>
      <c r="AK83" s="15"/>
      <c r="AL83" s="22"/>
      <c r="AM83" s="213"/>
      <c r="AN83" s="23"/>
      <c r="AO83" s="23"/>
      <c r="AP83" s="7"/>
      <c r="AQ83" s="15"/>
      <c r="AR83" s="15"/>
      <c r="AS83" s="7"/>
      <c r="AT83" s="15"/>
      <c r="AU83" s="15"/>
      <c r="AV83" s="7"/>
      <c r="AW83" s="15"/>
      <c r="AX83" s="15"/>
      <c r="AY83" s="214"/>
      <c r="AZ83" s="215"/>
      <c r="BA83" s="10"/>
      <c r="BB83" s="7"/>
      <c r="BC83" s="7"/>
      <c r="BD83" s="7"/>
      <c r="BE83" s="7"/>
    </row>
    <row r="84" spans="29:57" ht="18" customHeight="1" x14ac:dyDescent="0.2">
      <c r="AC84" s="216" t="s">
        <v>271</v>
      </c>
      <c r="AD84" s="217"/>
      <c r="AE84" s="217"/>
      <c r="AF84" s="218"/>
      <c r="AG84" s="218"/>
      <c r="AH84" s="219"/>
      <c r="AI84" s="218"/>
      <c r="AJ84" s="218"/>
      <c r="AK84" s="218"/>
      <c r="AL84" s="218"/>
      <c r="AM84" s="220" t="e">
        <f>SUM(AJ84:AL84)/AH84</f>
        <v>#DIV/0!</v>
      </c>
      <c r="AN84" s="218"/>
      <c r="AO84" s="218"/>
      <c r="AP84" s="221" t="e">
        <f>SUM(AN84:AO84)/AI84</f>
        <v>#DIV/0!</v>
      </c>
      <c r="AQ84" s="218"/>
      <c r="AR84" s="218"/>
      <c r="AS84" s="221" t="e">
        <f>(AQ84+AR84)/$AG84</f>
        <v>#DIV/0!</v>
      </c>
      <c r="AT84" s="218"/>
      <c r="AU84" s="218"/>
      <c r="AV84" s="221" t="e">
        <f>(AT84+AU84)/$AG84</f>
        <v>#DIV/0!</v>
      </c>
      <c r="AW84" s="218"/>
      <c r="AX84" s="218"/>
      <c r="AY84" s="221" t="e">
        <f>(AW84+AX84)/$AG84</f>
        <v>#DIV/0!</v>
      </c>
      <c r="AZ84" s="222">
        <f>SUM(AN84,AQ84,AT84,AW84)</f>
        <v>0</v>
      </c>
      <c r="BA84" s="222">
        <f>SUM(AO84,AR84,AU84,AX84)</f>
        <v>0</v>
      </c>
      <c r="BB84" s="222">
        <f>SUM(AZ84:BA84)</f>
        <v>0</v>
      </c>
      <c r="BC84" s="221">
        <f>(BB84+1)/(AI84+1)</f>
        <v>1</v>
      </c>
      <c r="BD84" s="223"/>
      <c r="BE84" s="223"/>
    </row>
    <row r="85" spans="29:57" ht="18" customHeight="1" x14ac:dyDescent="0.2">
      <c r="AC85" s="224" t="s">
        <v>273</v>
      </c>
      <c r="AD85" s="225">
        <v>46057</v>
      </c>
      <c r="AE85" s="225">
        <v>46058</v>
      </c>
      <c r="AF85" s="226">
        <v>1</v>
      </c>
      <c r="AG85" s="226">
        <v>266</v>
      </c>
      <c r="AH85" s="227">
        <v>266</v>
      </c>
      <c r="AI85" s="226">
        <v>267</v>
      </c>
      <c r="AJ85" s="226">
        <v>0</v>
      </c>
      <c r="AK85" s="226">
        <v>0</v>
      </c>
      <c r="AL85" s="226">
        <v>1</v>
      </c>
      <c r="AM85" s="228">
        <f t="shared" ref="AM85:AM86" si="173">SUM(AJ85:AL85)/AH85</f>
        <v>3.7593984962406013E-3</v>
      </c>
      <c r="AN85" s="226">
        <v>3</v>
      </c>
      <c r="AO85" s="226">
        <v>0</v>
      </c>
      <c r="AP85" s="229">
        <f t="shared" ref="AP85:AP86" si="174">SUM(AN85:AO85)/AI85</f>
        <v>1.1235955056179775E-2</v>
      </c>
      <c r="AQ85" s="226">
        <v>4</v>
      </c>
      <c r="AR85" s="226">
        <v>0</v>
      </c>
      <c r="AS85" s="229">
        <f t="shared" ref="AS85:AS86" si="175">(AQ85+AR85)/$AG85</f>
        <v>1.5037593984962405E-2</v>
      </c>
      <c r="AT85" s="226">
        <v>0</v>
      </c>
      <c r="AU85" s="226">
        <v>0</v>
      </c>
      <c r="AV85" s="229">
        <f t="shared" ref="AV85:AV86" si="176">(AT85+AU85)/$AG85</f>
        <v>0</v>
      </c>
      <c r="AW85" s="226">
        <v>0</v>
      </c>
      <c r="AX85" s="226">
        <v>0</v>
      </c>
      <c r="AY85" s="229">
        <f t="shared" ref="AY85:AY86" si="177">(AW85+AX85)/$AG85</f>
        <v>0</v>
      </c>
      <c r="AZ85" s="230">
        <f t="shared" ref="AZ85:BA86" si="178">SUM(AN85,AQ85,AT85,AW85)</f>
        <v>7</v>
      </c>
      <c r="BA85" s="230">
        <f t="shared" si="178"/>
        <v>0</v>
      </c>
      <c r="BB85" s="230">
        <f t="shared" ref="BB85:BB86" si="179">SUM(AZ85:BA85)</f>
        <v>7</v>
      </c>
      <c r="BC85" s="229">
        <f t="shared" ref="BC85:BC86" si="180">(BB85+1)/(AI85+1)</f>
        <v>2.9850746268656716E-2</v>
      </c>
      <c r="BD85" s="231" t="s">
        <v>274</v>
      </c>
      <c r="BE85" s="231" t="s">
        <v>268</v>
      </c>
    </row>
    <row r="86" spans="29:57" ht="18" customHeight="1" x14ac:dyDescent="0.2">
      <c r="AC86" s="232" t="s">
        <v>275</v>
      </c>
      <c r="AD86" s="233"/>
      <c r="AE86" s="233"/>
      <c r="AF86" s="234"/>
      <c r="AG86" s="234"/>
      <c r="AH86" s="235"/>
      <c r="AI86" s="234"/>
      <c r="AJ86" s="234"/>
      <c r="AK86" s="234"/>
      <c r="AL86" s="234"/>
      <c r="AM86" s="236" t="e">
        <f t="shared" si="173"/>
        <v>#DIV/0!</v>
      </c>
      <c r="AN86" s="234"/>
      <c r="AO86" s="234"/>
      <c r="AP86" s="237" t="e">
        <f t="shared" si="174"/>
        <v>#DIV/0!</v>
      </c>
      <c r="AQ86" s="234"/>
      <c r="AR86" s="234"/>
      <c r="AS86" s="237" t="e">
        <f t="shared" si="175"/>
        <v>#DIV/0!</v>
      </c>
      <c r="AT86" s="234"/>
      <c r="AU86" s="234"/>
      <c r="AV86" s="237" t="e">
        <f t="shared" si="176"/>
        <v>#DIV/0!</v>
      </c>
      <c r="AW86" s="234"/>
      <c r="AX86" s="234"/>
      <c r="AY86" s="237" t="e">
        <f t="shared" si="177"/>
        <v>#DIV/0!</v>
      </c>
      <c r="AZ86" s="238">
        <f t="shared" si="178"/>
        <v>0</v>
      </c>
      <c r="BA86" s="238">
        <f t="shared" si="178"/>
        <v>0</v>
      </c>
      <c r="BB86" s="238">
        <f t="shared" si="179"/>
        <v>0</v>
      </c>
      <c r="BC86" s="237">
        <f t="shared" si="180"/>
        <v>1</v>
      </c>
      <c r="BD86" s="239"/>
      <c r="BE86" s="239"/>
    </row>
    <row r="87" spans="29:57" ht="18" customHeight="1" x14ac:dyDescent="0.2">
      <c r="AC87" s="7"/>
      <c r="AG87" s="240">
        <f>SUM(AG84:AG86)</f>
        <v>266</v>
      </c>
      <c r="AH87" s="240">
        <f>SUM(AH84:AH86)</f>
        <v>266</v>
      </c>
      <c r="AI87" s="240">
        <f t="shared" ref="AI87:AL87" si="181">SUM(AI84:AI86)</f>
        <v>267</v>
      </c>
      <c r="AJ87" s="240">
        <f t="shared" si="181"/>
        <v>0</v>
      </c>
      <c r="AK87" s="240">
        <f t="shared" si="181"/>
        <v>0</v>
      </c>
      <c r="AL87" s="240">
        <f t="shared" si="181"/>
        <v>1</v>
      </c>
      <c r="AM87" s="135"/>
      <c r="AN87" s="240">
        <f>SUM(AN84:AN86)</f>
        <v>3</v>
      </c>
      <c r="AO87" s="240">
        <f>SUM(AO84:AO86)</f>
        <v>0</v>
      </c>
      <c r="AP87" s="241"/>
      <c r="AQ87" s="240">
        <f>SUM(AQ84:AQ86)</f>
        <v>4</v>
      </c>
      <c r="AR87" s="240">
        <f>SUM(AR84:AR86)</f>
        <v>0</v>
      </c>
      <c r="AS87" s="241"/>
      <c r="AT87" s="240">
        <f>SUM(AT84:AT86)</f>
        <v>0</v>
      </c>
      <c r="AU87" s="240">
        <f>SUM(AU84:AU86)</f>
        <v>0</v>
      </c>
      <c r="AV87" s="241"/>
      <c r="AW87" s="240">
        <f>SUM(AW84:AW86)</f>
        <v>0</v>
      </c>
      <c r="AX87" s="240">
        <f>SUM(AX84:AX86)</f>
        <v>0</v>
      </c>
      <c r="AY87" s="241"/>
      <c r="AZ87" s="240">
        <f>SUM(AZ84:AZ86)</f>
        <v>7</v>
      </c>
      <c r="BA87" s="240">
        <f>SUM(BA84:BA86)</f>
        <v>0</v>
      </c>
      <c r="BB87" s="240">
        <f>SUM(AZ87:BA87)</f>
        <v>7</v>
      </c>
      <c r="BC87" s="242">
        <f>(BB87+1)/(AI87+1)</f>
        <v>2.9850746268656716E-2</v>
      </c>
      <c r="BD87" s="98"/>
      <c r="BE87" s="98"/>
    </row>
    <row r="88" spans="29:57" ht="18" customHeight="1" x14ac:dyDescent="0.2">
      <c r="AC88" s="212" t="s">
        <v>298</v>
      </c>
      <c r="AD88" s="15"/>
      <c r="AE88" s="23"/>
      <c r="AF88" s="16"/>
      <c r="AG88" s="15"/>
      <c r="AH88" s="15"/>
      <c r="AI88" s="15"/>
      <c r="AJ88" s="15"/>
      <c r="AK88" s="15"/>
      <c r="AL88" s="22"/>
      <c r="AM88" s="213"/>
      <c r="AN88" s="23"/>
      <c r="AO88" s="23"/>
      <c r="AP88" s="7"/>
      <c r="AQ88" s="15"/>
      <c r="AR88" s="15"/>
      <c r="AS88" s="7"/>
      <c r="AT88" s="15"/>
      <c r="AU88" s="15"/>
      <c r="AV88" s="7"/>
      <c r="AW88" s="15"/>
      <c r="AX88" s="15"/>
      <c r="AY88" s="214"/>
      <c r="AZ88" s="215"/>
      <c r="BA88" s="10"/>
      <c r="BB88" s="7"/>
      <c r="BC88" s="7"/>
      <c r="BD88" s="7"/>
      <c r="BE88" s="7"/>
    </row>
    <row r="89" spans="29:57" ht="18" customHeight="1" x14ac:dyDescent="0.2">
      <c r="AC89" s="216" t="s">
        <v>271</v>
      </c>
      <c r="AD89" s="217"/>
      <c r="AE89" s="217"/>
      <c r="AF89" s="218"/>
      <c r="AG89" s="218"/>
      <c r="AH89" s="219"/>
      <c r="AI89" s="218"/>
      <c r="AJ89" s="218"/>
      <c r="AK89" s="218"/>
      <c r="AL89" s="218"/>
      <c r="AM89" s="220" t="e">
        <f>SUM(AJ89:AL89)/AH89</f>
        <v>#DIV/0!</v>
      </c>
      <c r="AN89" s="218"/>
      <c r="AO89" s="218"/>
      <c r="AP89" s="221" t="e">
        <f>SUM(AN89:AO89)/AI89</f>
        <v>#DIV/0!</v>
      </c>
      <c r="AQ89" s="218"/>
      <c r="AR89" s="218"/>
      <c r="AS89" s="221" t="e">
        <f>(AQ89+AR89)/$AG89</f>
        <v>#DIV/0!</v>
      </c>
      <c r="AT89" s="218"/>
      <c r="AU89" s="218"/>
      <c r="AV89" s="221" t="e">
        <f>(AT89+AU89)/$AG89</f>
        <v>#DIV/0!</v>
      </c>
      <c r="AW89" s="218"/>
      <c r="AX89" s="218"/>
      <c r="AY89" s="221" t="e">
        <f>(AW89+AX89)/$AG89</f>
        <v>#DIV/0!</v>
      </c>
      <c r="AZ89" s="222">
        <f>SUM(AN89,AQ89,AT89,AW89)</f>
        <v>0</v>
      </c>
      <c r="BA89" s="222">
        <f>SUM(AO89,AR89,AU89,AX89)</f>
        <v>0</v>
      </c>
      <c r="BB89" s="222">
        <f>SUM(AZ89:BA89)</f>
        <v>0</v>
      </c>
      <c r="BC89" s="221">
        <f>(BB89+1)/(AI89+1)</f>
        <v>1</v>
      </c>
      <c r="BD89" s="223"/>
      <c r="BE89" s="223"/>
    </row>
    <row r="90" spans="29:57" ht="18" customHeight="1" x14ac:dyDescent="0.2">
      <c r="AC90" s="224" t="s">
        <v>273</v>
      </c>
      <c r="AD90" s="225">
        <v>46061</v>
      </c>
      <c r="AE90" s="225">
        <v>46062</v>
      </c>
      <c r="AF90" s="226">
        <v>2</v>
      </c>
      <c r="AG90" s="226">
        <v>253</v>
      </c>
      <c r="AH90" s="227">
        <v>252</v>
      </c>
      <c r="AI90" s="226">
        <v>252</v>
      </c>
      <c r="AJ90" s="226">
        <v>0</v>
      </c>
      <c r="AK90" s="226">
        <v>0</v>
      </c>
      <c r="AL90" s="226">
        <v>0</v>
      </c>
      <c r="AM90" s="228">
        <f t="shared" ref="AM90:AM91" si="182">SUM(AJ90:AL90)/AH90</f>
        <v>0</v>
      </c>
      <c r="AN90" s="226">
        <v>8</v>
      </c>
      <c r="AO90" s="226">
        <v>0</v>
      </c>
      <c r="AP90" s="229">
        <f t="shared" ref="AP90:AP91" si="183">SUM(AN90:AO90)/AI90</f>
        <v>3.1746031746031744E-2</v>
      </c>
      <c r="AQ90" s="226">
        <v>5</v>
      </c>
      <c r="AR90" s="226">
        <v>0</v>
      </c>
      <c r="AS90" s="229">
        <f t="shared" ref="AS90:AS91" si="184">(AQ90+AR90)/$AG90</f>
        <v>1.9762845849802372E-2</v>
      </c>
      <c r="AT90" s="226">
        <v>2</v>
      </c>
      <c r="AU90" s="226">
        <v>0</v>
      </c>
      <c r="AV90" s="229">
        <f t="shared" ref="AV90:AV91" si="185">(AT90+AU90)/$AG90</f>
        <v>7.9051383399209481E-3</v>
      </c>
      <c r="AW90" s="226">
        <v>0</v>
      </c>
      <c r="AX90" s="226">
        <v>0</v>
      </c>
      <c r="AY90" s="229">
        <f t="shared" ref="AY90:AY91" si="186">(AW90+AX90)/$AG90</f>
        <v>0</v>
      </c>
      <c r="AZ90" s="230">
        <f t="shared" ref="AZ90:BA91" si="187">SUM(AN90,AQ90,AT90,AW90)</f>
        <v>15</v>
      </c>
      <c r="BA90" s="230">
        <f t="shared" si="187"/>
        <v>0</v>
      </c>
      <c r="BB90" s="230">
        <f t="shared" ref="BB90:BB91" si="188">SUM(AZ90:BA90)</f>
        <v>15</v>
      </c>
      <c r="BC90" s="229">
        <f t="shared" ref="BC90:BC91" si="189">(BB90+1)/(AI90+1)</f>
        <v>6.3241106719367585E-2</v>
      </c>
      <c r="BD90" s="231" t="s">
        <v>274</v>
      </c>
      <c r="BE90" s="231" t="s">
        <v>268</v>
      </c>
    </row>
    <row r="91" spans="29:57" ht="18" customHeight="1" x14ac:dyDescent="0.2">
      <c r="AC91" s="232" t="s">
        <v>275</v>
      </c>
      <c r="AD91" s="233"/>
      <c r="AE91" s="233"/>
      <c r="AF91" s="234"/>
      <c r="AG91" s="234"/>
      <c r="AH91" s="235"/>
      <c r="AI91" s="234"/>
      <c r="AJ91" s="234"/>
      <c r="AK91" s="234"/>
      <c r="AL91" s="234"/>
      <c r="AM91" s="236" t="e">
        <f t="shared" si="182"/>
        <v>#DIV/0!</v>
      </c>
      <c r="AN91" s="234"/>
      <c r="AO91" s="234"/>
      <c r="AP91" s="237" t="e">
        <f t="shared" si="183"/>
        <v>#DIV/0!</v>
      </c>
      <c r="AQ91" s="234"/>
      <c r="AR91" s="234"/>
      <c r="AS91" s="237" t="e">
        <f t="shared" si="184"/>
        <v>#DIV/0!</v>
      </c>
      <c r="AT91" s="234"/>
      <c r="AU91" s="234"/>
      <c r="AV91" s="237" t="e">
        <f t="shared" si="185"/>
        <v>#DIV/0!</v>
      </c>
      <c r="AW91" s="234"/>
      <c r="AX91" s="234"/>
      <c r="AY91" s="237" t="e">
        <f t="shared" si="186"/>
        <v>#DIV/0!</v>
      </c>
      <c r="AZ91" s="238">
        <f t="shared" si="187"/>
        <v>0</v>
      </c>
      <c r="BA91" s="238">
        <f t="shared" si="187"/>
        <v>0</v>
      </c>
      <c r="BB91" s="238">
        <f t="shared" si="188"/>
        <v>0</v>
      </c>
      <c r="BC91" s="237">
        <f t="shared" si="189"/>
        <v>1</v>
      </c>
      <c r="BD91" s="239"/>
      <c r="BE91" s="239"/>
    </row>
    <row r="92" spans="29:57" ht="18" customHeight="1" x14ac:dyDescent="0.2">
      <c r="AC92" s="7"/>
      <c r="AG92" s="240">
        <f>SUM(AG89:AG91)</f>
        <v>253</v>
      </c>
      <c r="AH92" s="240">
        <f>SUM(AH89:AH91)</f>
        <v>252</v>
      </c>
      <c r="AI92" s="240">
        <f t="shared" ref="AI92:AL92" si="190">SUM(AI89:AI91)</f>
        <v>252</v>
      </c>
      <c r="AJ92" s="240">
        <f t="shared" si="190"/>
        <v>0</v>
      </c>
      <c r="AK92" s="240">
        <f t="shared" si="190"/>
        <v>0</v>
      </c>
      <c r="AL92" s="240">
        <f t="shared" si="190"/>
        <v>0</v>
      </c>
      <c r="AM92" s="135"/>
      <c r="AN92" s="240">
        <f>SUM(AN89:AN91)</f>
        <v>8</v>
      </c>
      <c r="AO92" s="240">
        <f>SUM(AO89:AO91)</f>
        <v>0</v>
      </c>
      <c r="AP92" s="241"/>
      <c r="AQ92" s="240">
        <f>SUM(AQ89:AQ91)</f>
        <v>5</v>
      </c>
      <c r="AR92" s="240">
        <f>SUM(AR89:AR91)</f>
        <v>0</v>
      </c>
      <c r="AS92" s="241"/>
      <c r="AT92" s="240">
        <f>SUM(AT89:AT91)</f>
        <v>2</v>
      </c>
      <c r="AU92" s="240">
        <f>SUM(AU89:AU91)</f>
        <v>0</v>
      </c>
      <c r="AV92" s="241"/>
      <c r="AW92" s="240">
        <f>SUM(AW89:AW91)</f>
        <v>0</v>
      </c>
      <c r="AX92" s="240">
        <f>SUM(AX89:AX91)</f>
        <v>0</v>
      </c>
      <c r="AY92" s="241"/>
      <c r="AZ92" s="240">
        <f>SUM(AZ89:AZ91)</f>
        <v>15</v>
      </c>
      <c r="BA92" s="240">
        <f>SUM(BA89:BA91)</f>
        <v>0</v>
      </c>
      <c r="BB92" s="240">
        <f>SUM(AZ92:BA92)</f>
        <v>15</v>
      </c>
      <c r="BC92" s="242">
        <f>(BB92+1)/(AI92+1)</f>
        <v>6.3241106719367585E-2</v>
      </c>
      <c r="BD92" s="98"/>
      <c r="BE92" s="98"/>
    </row>
    <row r="93" spans="29:57" ht="18" customHeight="1" x14ac:dyDescent="0.2">
      <c r="AC93" s="212" t="s">
        <v>299</v>
      </c>
      <c r="AD93" s="15"/>
      <c r="AE93" s="23"/>
      <c r="AF93" s="16"/>
      <c r="AG93" s="15"/>
      <c r="AH93" s="15"/>
      <c r="AI93" s="15"/>
      <c r="AJ93" s="15"/>
      <c r="AK93" s="15"/>
      <c r="AL93" s="22"/>
      <c r="AM93" s="213"/>
      <c r="AN93" s="23"/>
      <c r="AO93" s="23"/>
      <c r="AP93" s="7"/>
      <c r="AQ93" s="15"/>
      <c r="AR93" s="15"/>
      <c r="AS93" s="7"/>
      <c r="AT93" s="15"/>
      <c r="AU93" s="15"/>
      <c r="AV93" s="7"/>
      <c r="AW93" s="15"/>
      <c r="AX93" s="15"/>
      <c r="AY93" s="214"/>
      <c r="AZ93" s="215"/>
      <c r="BA93" s="10"/>
      <c r="BB93" s="7"/>
      <c r="BC93" s="7"/>
      <c r="BD93" s="7"/>
      <c r="BE93" s="7"/>
    </row>
    <row r="94" spans="29:57" ht="18" customHeight="1" x14ac:dyDescent="0.2">
      <c r="AC94" s="216" t="s">
        <v>271</v>
      </c>
      <c r="AD94" s="217"/>
      <c r="AE94" s="217"/>
      <c r="AF94" s="218"/>
      <c r="AG94" s="218"/>
      <c r="AH94" s="219"/>
      <c r="AI94" s="218"/>
      <c r="AJ94" s="218"/>
      <c r="AK94" s="218"/>
      <c r="AL94" s="218"/>
      <c r="AM94" s="220" t="e">
        <f>SUM(AJ94:AL94)/AH94</f>
        <v>#DIV/0!</v>
      </c>
      <c r="AN94" s="218"/>
      <c r="AO94" s="218"/>
      <c r="AP94" s="221" t="e">
        <f>SUM(AN94:AO94)/AI94</f>
        <v>#DIV/0!</v>
      </c>
      <c r="AQ94" s="218"/>
      <c r="AR94" s="218"/>
      <c r="AS94" s="221" t="e">
        <f>(AQ94+AR94)/$AG94</f>
        <v>#DIV/0!</v>
      </c>
      <c r="AT94" s="218"/>
      <c r="AU94" s="218"/>
      <c r="AV94" s="221" t="e">
        <f>(AT94+AU94)/$AG94</f>
        <v>#DIV/0!</v>
      </c>
      <c r="AW94" s="218"/>
      <c r="AX94" s="218"/>
      <c r="AY94" s="221" t="e">
        <f>(AW94+AX94)/$AG94</f>
        <v>#DIV/0!</v>
      </c>
      <c r="AZ94" s="222">
        <f>SUM(AN94,AQ94,AT94,AW94)</f>
        <v>0</v>
      </c>
      <c r="BA94" s="222">
        <f>SUM(AO94,AR94,AU94,AX94)</f>
        <v>0</v>
      </c>
      <c r="BB94" s="222">
        <f>SUM(AZ94:BA94)</f>
        <v>0</v>
      </c>
      <c r="BC94" s="221">
        <f>(BB94+1)/(AI94+1)</f>
        <v>1</v>
      </c>
      <c r="BD94" s="223"/>
      <c r="BE94" s="223"/>
    </row>
    <row r="95" spans="29:57" ht="18" customHeight="1" x14ac:dyDescent="0.2">
      <c r="AC95" s="224" t="s">
        <v>273</v>
      </c>
      <c r="AD95" s="225"/>
      <c r="AE95" s="225"/>
      <c r="AF95" s="226"/>
      <c r="AG95" s="226"/>
      <c r="AH95" s="227"/>
      <c r="AI95" s="226"/>
      <c r="AJ95" s="226"/>
      <c r="AK95" s="226"/>
      <c r="AL95" s="226"/>
      <c r="AM95" s="228" t="e">
        <f t="shared" ref="AM95:AM96" si="191">SUM(AJ95:AL95)/AH95</f>
        <v>#DIV/0!</v>
      </c>
      <c r="AN95" s="226"/>
      <c r="AO95" s="226"/>
      <c r="AP95" s="229" t="e">
        <f t="shared" ref="AP95:AP96" si="192">SUM(AN95:AO95)/AI95</f>
        <v>#DIV/0!</v>
      </c>
      <c r="AQ95" s="226"/>
      <c r="AR95" s="226"/>
      <c r="AS95" s="229" t="e">
        <f t="shared" ref="AS95:AS96" si="193">(AQ95+AR95)/$AG95</f>
        <v>#DIV/0!</v>
      </c>
      <c r="AT95" s="226"/>
      <c r="AU95" s="226"/>
      <c r="AV95" s="229" t="e">
        <f t="shared" ref="AV95:AV96" si="194">(AT95+AU95)/$AG95</f>
        <v>#DIV/0!</v>
      </c>
      <c r="AW95" s="226"/>
      <c r="AX95" s="226"/>
      <c r="AY95" s="229" t="e">
        <f t="shared" ref="AY95:AY96" si="195">(AW95+AX95)/$AG95</f>
        <v>#DIV/0!</v>
      </c>
      <c r="AZ95" s="230">
        <f t="shared" ref="AZ95:BA96" si="196">SUM(AN95,AQ95,AT95,AW95)</f>
        <v>0</v>
      </c>
      <c r="BA95" s="230">
        <f t="shared" si="196"/>
        <v>0</v>
      </c>
      <c r="BB95" s="230">
        <f t="shared" ref="BB95:BB96" si="197">SUM(AZ95:BA95)</f>
        <v>0</v>
      </c>
      <c r="BC95" s="229">
        <f t="shared" ref="BC95:BC96" si="198">(BB95+1)/(AI95+1)</f>
        <v>1</v>
      </c>
      <c r="BD95" s="231"/>
      <c r="BE95" s="231"/>
    </row>
    <row r="96" spans="29:57" ht="18" customHeight="1" x14ac:dyDescent="0.2">
      <c r="AC96" s="232" t="s">
        <v>275</v>
      </c>
      <c r="AD96" s="225">
        <v>46061</v>
      </c>
      <c r="AE96" s="225">
        <v>46062</v>
      </c>
      <c r="AF96" s="226">
        <v>2</v>
      </c>
      <c r="AG96" s="234">
        <v>253</v>
      </c>
      <c r="AH96" s="235">
        <v>250</v>
      </c>
      <c r="AI96" s="234">
        <v>250</v>
      </c>
      <c r="AJ96" s="234">
        <v>1</v>
      </c>
      <c r="AK96" s="234">
        <v>0</v>
      </c>
      <c r="AL96" s="234">
        <v>0</v>
      </c>
      <c r="AM96" s="236">
        <f t="shared" si="191"/>
        <v>4.0000000000000001E-3</v>
      </c>
      <c r="AN96" s="234">
        <v>6</v>
      </c>
      <c r="AO96" s="234">
        <v>0</v>
      </c>
      <c r="AP96" s="237">
        <f t="shared" si="192"/>
        <v>2.4E-2</v>
      </c>
      <c r="AQ96" s="234">
        <v>7</v>
      </c>
      <c r="AR96" s="234">
        <v>0</v>
      </c>
      <c r="AS96" s="237">
        <f t="shared" si="193"/>
        <v>2.766798418972332E-2</v>
      </c>
      <c r="AT96" s="234">
        <v>0</v>
      </c>
      <c r="AU96" s="234">
        <v>0</v>
      </c>
      <c r="AV96" s="237">
        <f t="shared" si="194"/>
        <v>0</v>
      </c>
      <c r="AW96" s="234">
        <v>0</v>
      </c>
      <c r="AX96" s="234">
        <v>0</v>
      </c>
      <c r="AY96" s="237">
        <f t="shared" si="195"/>
        <v>0</v>
      </c>
      <c r="AZ96" s="238">
        <f t="shared" si="196"/>
        <v>13</v>
      </c>
      <c r="BA96" s="238">
        <f t="shared" si="196"/>
        <v>0</v>
      </c>
      <c r="BB96" s="238">
        <f t="shared" si="197"/>
        <v>13</v>
      </c>
      <c r="BC96" s="237">
        <f t="shared" si="198"/>
        <v>5.5776892430278883E-2</v>
      </c>
      <c r="BD96" s="239" t="s">
        <v>274</v>
      </c>
      <c r="BE96" s="239" t="s">
        <v>268</v>
      </c>
    </row>
    <row r="97" spans="29:57" ht="18" customHeight="1" x14ac:dyDescent="0.2">
      <c r="AC97" s="7"/>
      <c r="AG97" s="240">
        <f>SUM(AG94:AG96)</f>
        <v>253</v>
      </c>
      <c r="AH97" s="240">
        <f>SUM(AH94:AH96)</f>
        <v>250</v>
      </c>
      <c r="AI97" s="240">
        <f t="shared" ref="AI97:AL97" si="199">SUM(AI94:AI96)</f>
        <v>250</v>
      </c>
      <c r="AJ97" s="240">
        <f t="shared" si="199"/>
        <v>1</v>
      </c>
      <c r="AK97" s="240">
        <f t="shared" si="199"/>
        <v>0</v>
      </c>
      <c r="AL97" s="240">
        <f t="shared" si="199"/>
        <v>0</v>
      </c>
      <c r="AM97" s="135"/>
      <c r="AN97" s="240">
        <f>SUM(AN94:AN96)</f>
        <v>6</v>
      </c>
      <c r="AO97" s="240">
        <f>SUM(AO94:AO96)</f>
        <v>0</v>
      </c>
      <c r="AP97" s="241"/>
      <c r="AQ97" s="240">
        <f>SUM(AQ94:AQ96)</f>
        <v>7</v>
      </c>
      <c r="AR97" s="240">
        <f>SUM(AR94:AR96)</f>
        <v>0</v>
      </c>
      <c r="AS97" s="241"/>
      <c r="AT97" s="240">
        <f>SUM(AT94:AT96)</f>
        <v>0</v>
      </c>
      <c r="AU97" s="240">
        <f>SUM(AU94:AU96)</f>
        <v>0</v>
      </c>
      <c r="AV97" s="241"/>
      <c r="AW97" s="240">
        <f>SUM(AW94:AW96)</f>
        <v>0</v>
      </c>
      <c r="AX97" s="240">
        <f>SUM(AX94:AX96)</f>
        <v>0</v>
      </c>
      <c r="AY97" s="241"/>
      <c r="AZ97" s="240">
        <f>SUM(AZ94:AZ96)</f>
        <v>13</v>
      </c>
      <c r="BA97" s="240">
        <f>SUM(BA94:BA96)</f>
        <v>0</v>
      </c>
      <c r="BB97" s="240">
        <f>SUM(AZ97:BA97)</f>
        <v>13</v>
      </c>
      <c r="BC97" s="242">
        <f>(BB97+1)/(AI97+1)</f>
        <v>5.5776892430278883E-2</v>
      </c>
      <c r="BD97" s="98"/>
      <c r="BE97" s="98"/>
    </row>
    <row r="98" spans="29:57" ht="18" customHeight="1" x14ac:dyDescent="0.2">
      <c r="AC98" s="212" t="s">
        <v>300</v>
      </c>
      <c r="AD98" s="15"/>
      <c r="AE98" s="23"/>
      <c r="AF98" s="16"/>
      <c r="AG98" s="15"/>
      <c r="AH98" s="15"/>
      <c r="AI98" s="15"/>
      <c r="AJ98" s="15"/>
      <c r="AK98" s="15"/>
      <c r="AL98" s="22"/>
      <c r="AM98" s="213"/>
      <c r="AN98" s="23"/>
      <c r="AO98" s="23"/>
      <c r="AP98" s="7"/>
      <c r="AQ98" s="15"/>
      <c r="AR98" s="15"/>
      <c r="AS98" s="7"/>
      <c r="AT98" s="15"/>
      <c r="AU98" s="15"/>
      <c r="AV98" s="7"/>
      <c r="AW98" s="15"/>
      <c r="AX98" s="15"/>
      <c r="AY98" s="214"/>
      <c r="AZ98" s="215"/>
      <c r="BA98" s="10"/>
      <c r="BB98" s="7"/>
      <c r="BC98" s="7"/>
      <c r="BD98" s="7"/>
      <c r="BE98" s="7"/>
    </row>
    <row r="99" spans="29:57" ht="18" customHeight="1" x14ac:dyDescent="0.2">
      <c r="AC99" s="216" t="s">
        <v>271</v>
      </c>
      <c r="AD99" s="217"/>
      <c r="AE99" s="217"/>
      <c r="AF99" s="218"/>
      <c r="AG99" s="218"/>
      <c r="AH99" s="219"/>
      <c r="AI99" s="218"/>
      <c r="AJ99" s="218"/>
      <c r="AK99" s="218"/>
      <c r="AL99" s="218"/>
      <c r="AM99" s="220" t="e">
        <f>SUM(AJ99:AL99)/AH99</f>
        <v>#DIV/0!</v>
      </c>
      <c r="AN99" s="218"/>
      <c r="AO99" s="218"/>
      <c r="AP99" s="221" t="e">
        <f>SUM(AN99:AO99)/AI99</f>
        <v>#DIV/0!</v>
      </c>
      <c r="AQ99" s="218"/>
      <c r="AR99" s="218"/>
      <c r="AS99" s="221" t="e">
        <f>(AQ99+AR99)/$AG99</f>
        <v>#DIV/0!</v>
      </c>
      <c r="AT99" s="218"/>
      <c r="AU99" s="218"/>
      <c r="AV99" s="221" t="e">
        <f>(AT99+AU99)/$AG99</f>
        <v>#DIV/0!</v>
      </c>
      <c r="AW99" s="218"/>
      <c r="AX99" s="218"/>
      <c r="AY99" s="221" t="e">
        <f>(AW99+AX99)/$AG99</f>
        <v>#DIV/0!</v>
      </c>
      <c r="AZ99" s="222">
        <f>SUM(AN99,AQ99,AT99,AW99)</f>
        <v>0</v>
      </c>
      <c r="BA99" s="222">
        <f>SUM(AO99,AR99,AU99,AX99)</f>
        <v>0</v>
      </c>
      <c r="BB99" s="222">
        <f>SUM(AZ99:BA99)</f>
        <v>0</v>
      </c>
      <c r="BC99" s="221">
        <f>(BB99+1)/(AI99+1)</f>
        <v>1</v>
      </c>
      <c r="BD99" s="223"/>
      <c r="BE99" s="223"/>
    </row>
    <row r="100" spans="29:57" ht="18" customHeight="1" x14ac:dyDescent="0.2">
      <c r="AC100" s="224" t="s">
        <v>273</v>
      </c>
      <c r="AD100" s="225"/>
      <c r="AE100" s="225"/>
      <c r="AF100" s="226"/>
      <c r="AG100" s="226"/>
      <c r="AH100" s="227"/>
      <c r="AI100" s="226"/>
      <c r="AJ100" s="226"/>
      <c r="AK100" s="226"/>
      <c r="AL100" s="226"/>
      <c r="AM100" s="228" t="e">
        <f t="shared" ref="AM100:AM101" si="200">SUM(AJ100:AL100)/AH100</f>
        <v>#DIV/0!</v>
      </c>
      <c r="AN100" s="226"/>
      <c r="AO100" s="226"/>
      <c r="AP100" s="229" t="e">
        <f t="shared" ref="AP100:AP101" si="201">SUM(AN100:AO100)/AI100</f>
        <v>#DIV/0!</v>
      </c>
      <c r="AQ100" s="226"/>
      <c r="AR100" s="226"/>
      <c r="AS100" s="229" t="e">
        <f t="shared" ref="AS100:AS101" si="202">(AQ100+AR100)/$AG100</f>
        <v>#DIV/0!</v>
      </c>
      <c r="AT100" s="226"/>
      <c r="AU100" s="226"/>
      <c r="AV100" s="229" t="e">
        <f t="shared" ref="AV100:AV101" si="203">(AT100+AU100)/$AG100</f>
        <v>#DIV/0!</v>
      </c>
      <c r="AW100" s="226"/>
      <c r="AX100" s="226"/>
      <c r="AY100" s="229" t="e">
        <f t="shared" ref="AY100:AY101" si="204">(AW100+AX100)/$AG100</f>
        <v>#DIV/0!</v>
      </c>
      <c r="AZ100" s="230">
        <f t="shared" ref="AZ100:BA101" si="205">SUM(AN100,AQ100,AT100,AW100)</f>
        <v>0</v>
      </c>
      <c r="BA100" s="230">
        <f t="shared" si="205"/>
        <v>0</v>
      </c>
      <c r="BB100" s="230">
        <f t="shared" ref="BB100:BB101" si="206">SUM(AZ100:BA100)</f>
        <v>0</v>
      </c>
      <c r="BC100" s="229">
        <f t="shared" ref="BC100:BC101" si="207">(BB100+1)/(AI100+1)</f>
        <v>1</v>
      </c>
      <c r="BD100" s="231"/>
      <c r="BE100" s="231"/>
    </row>
    <row r="101" spans="29:57" ht="18" customHeight="1" x14ac:dyDescent="0.2">
      <c r="AC101" s="232" t="s">
        <v>275</v>
      </c>
      <c r="AD101" s="233">
        <v>46064</v>
      </c>
      <c r="AE101" s="233">
        <v>46065</v>
      </c>
      <c r="AF101" s="234">
        <v>1</v>
      </c>
      <c r="AG101" s="234">
        <v>502</v>
      </c>
      <c r="AH101" s="235">
        <v>502</v>
      </c>
      <c r="AI101" s="234">
        <v>495</v>
      </c>
      <c r="AJ101" s="234">
        <v>0</v>
      </c>
      <c r="AK101" s="234">
        <v>0</v>
      </c>
      <c r="AL101" s="234">
        <v>7</v>
      </c>
      <c r="AM101" s="236">
        <f t="shared" si="200"/>
        <v>1.3944223107569721E-2</v>
      </c>
      <c r="AN101" s="234">
        <v>16</v>
      </c>
      <c r="AO101" s="234">
        <v>0</v>
      </c>
      <c r="AP101" s="237">
        <f t="shared" si="201"/>
        <v>3.2323232323232323E-2</v>
      </c>
      <c r="AQ101" s="234">
        <v>2</v>
      </c>
      <c r="AR101" s="234">
        <v>0</v>
      </c>
      <c r="AS101" s="237">
        <f t="shared" si="202"/>
        <v>3.9840637450199202E-3</v>
      </c>
      <c r="AT101" s="234">
        <v>2</v>
      </c>
      <c r="AU101" s="234">
        <v>0</v>
      </c>
      <c r="AV101" s="237">
        <f t="shared" si="203"/>
        <v>3.9840637450199202E-3</v>
      </c>
      <c r="AW101" s="234">
        <v>0</v>
      </c>
      <c r="AX101" s="234">
        <v>0</v>
      </c>
      <c r="AY101" s="237">
        <f t="shared" si="204"/>
        <v>0</v>
      </c>
      <c r="AZ101" s="238">
        <f t="shared" si="205"/>
        <v>20</v>
      </c>
      <c r="BA101" s="238">
        <f t="shared" si="205"/>
        <v>0</v>
      </c>
      <c r="BB101" s="238">
        <f t="shared" si="206"/>
        <v>20</v>
      </c>
      <c r="BC101" s="237">
        <f t="shared" si="207"/>
        <v>4.2338709677419352E-2</v>
      </c>
      <c r="BD101" s="239" t="s">
        <v>274</v>
      </c>
      <c r="BE101" s="239" t="s">
        <v>268</v>
      </c>
    </row>
    <row r="102" spans="29:57" ht="18" customHeight="1" x14ac:dyDescent="0.2">
      <c r="AC102" s="7"/>
      <c r="AG102" s="240">
        <f>SUM(AG99:AG101)</f>
        <v>502</v>
      </c>
      <c r="AH102" s="240">
        <f>SUM(AH99:AH101)</f>
        <v>502</v>
      </c>
      <c r="AI102" s="240">
        <f t="shared" ref="AI102:AL102" si="208">SUM(AI99:AI101)</f>
        <v>495</v>
      </c>
      <c r="AJ102" s="240">
        <f t="shared" si="208"/>
        <v>0</v>
      </c>
      <c r="AK102" s="240">
        <f t="shared" si="208"/>
        <v>0</v>
      </c>
      <c r="AL102" s="240">
        <f t="shared" si="208"/>
        <v>7</v>
      </c>
      <c r="AM102" s="135"/>
      <c r="AN102" s="240">
        <f>SUM(AN99:AN101)</f>
        <v>16</v>
      </c>
      <c r="AO102" s="240">
        <f>SUM(AO99:AO101)</f>
        <v>0</v>
      </c>
      <c r="AP102" s="241"/>
      <c r="AQ102" s="240">
        <f>SUM(AQ99:AQ101)</f>
        <v>2</v>
      </c>
      <c r="AR102" s="240">
        <f>SUM(AR99:AR101)</f>
        <v>0</v>
      </c>
      <c r="AS102" s="241"/>
      <c r="AT102" s="240">
        <f>SUM(AT99:AT101)</f>
        <v>2</v>
      </c>
      <c r="AU102" s="240">
        <f>SUM(AU99:AU101)</f>
        <v>0</v>
      </c>
      <c r="AV102" s="241"/>
      <c r="AW102" s="240">
        <f>SUM(AW99:AW101)</f>
        <v>0</v>
      </c>
      <c r="AX102" s="240">
        <f>SUM(AX99:AX101)</f>
        <v>0</v>
      </c>
      <c r="AY102" s="241"/>
      <c r="AZ102" s="240">
        <f>SUM(AZ99:AZ101)</f>
        <v>20</v>
      </c>
      <c r="BA102" s="240">
        <f>SUM(BA99:BA101)</f>
        <v>0</v>
      </c>
      <c r="BB102" s="240">
        <f>SUM(AZ102:BA102)</f>
        <v>20</v>
      </c>
      <c r="BC102" s="242">
        <f>(BB102+1)/(AI102+1)</f>
        <v>4.2338709677419352E-2</v>
      </c>
      <c r="BD102" s="98"/>
      <c r="BE102" s="98"/>
    </row>
    <row r="103" spans="29:57" ht="18" customHeight="1" x14ac:dyDescent="0.2">
      <c r="AC103" s="212" t="s">
        <v>301</v>
      </c>
      <c r="AD103" s="15"/>
      <c r="AE103" s="23"/>
      <c r="AF103" s="16"/>
      <c r="AG103" s="15"/>
      <c r="AH103" s="15"/>
      <c r="AI103" s="15"/>
      <c r="AJ103" s="15"/>
      <c r="AK103" s="15"/>
      <c r="AL103" s="22"/>
      <c r="AM103" s="213"/>
      <c r="AN103" s="23"/>
      <c r="AO103" s="23"/>
      <c r="AP103" s="7"/>
      <c r="AQ103" s="15"/>
      <c r="AR103" s="15"/>
      <c r="AS103" s="7"/>
      <c r="AT103" s="15"/>
      <c r="AU103" s="15"/>
      <c r="AV103" s="7"/>
      <c r="AW103" s="15"/>
      <c r="AX103" s="15"/>
      <c r="AY103" s="214"/>
      <c r="AZ103" s="215"/>
      <c r="BA103" s="10"/>
      <c r="BB103" s="7"/>
      <c r="BC103" s="7"/>
      <c r="BD103" s="7"/>
      <c r="BE103" s="7"/>
    </row>
    <row r="104" spans="29:57" ht="18" customHeight="1" x14ac:dyDescent="0.2">
      <c r="AC104" s="216" t="s">
        <v>271</v>
      </c>
      <c r="AD104" s="217"/>
      <c r="AE104" s="217"/>
      <c r="AF104" s="218"/>
      <c r="AG104" s="218"/>
      <c r="AH104" s="219"/>
      <c r="AI104" s="218"/>
      <c r="AJ104" s="218"/>
      <c r="AK104" s="218"/>
      <c r="AL104" s="218"/>
      <c r="AM104" s="220" t="e">
        <f>SUM(AJ104:AL104)/AH104</f>
        <v>#DIV/0!</v>
      </c>
      <c r="AN104" s="218"/>
      <c r="AO104" s="218"/>
      <c r="AP104" s="221" t="e">
        <f>SUM(AN104:AO104)/AI104</f>
        <v>#DIV/0!</v>
      </c>
      <c r="AQ104" s="218"/>
      <c r="AR104" s="218"/>
      <c r="AS104" s="221" t="e">
        <f>(AQ104+AR104)/$AG104</f>
        <v>#DIV/0!</v>
      </c>
      <c r="AT104" s="218"/>
      <c r="AU104" s="218"/>
      <c r="AV104" s="221" t="e">
        <f>(AT104+AU104)/$AG104</f>
        <v>#DIV/0!</v>
      </c>
      <c r="AW104" s="218"/>
      <c r="AX104" s="218"/>
      <c r="AY104" s="221" t="e">
        <f>(AW104+AX104)/$AG104</f>
        <v>#DIV/0!</v>
      </c>
      <c r="AZ104" s="222">
        <f>SUM(AN104,AQ104,AT104,AW104)</f>
        <v>0</v>
      </c>
      <c r="BA104" s="222">
        <f>SUM(AO104,AR104,AU104,AX104)</f>
        <v>0</v>
      </c>
      <c r="BB104" s="222">
        <f>SUM(AZ104:BA104)</f>
        <v>0</v>
      </c>
      <c r="BC104" s="221">
        <f>(BB104+1)/(AI104+1)</f>
        <v>1</v>
      </c>
      <c r="BD104" s="223"/>
      <c r="BE104" s="223"/>
    </row>
    <row r="105" spans="29:57" ht="18" customHeight="1" x14ac:dyDescent="0.2">
      <c r="AC105" s="224" t="s">
        <v>273</v>
      </c>
      <c r="AD105" s="225">
        <v>46064</v>
      </c>
      <c r="AE105" s="225">
        <v>46065</v>
      </c>
      <c r="AF105" s="226">
        <v>1</v>
      </c>
      <c r="AG105" s="226">
        <v>509</v>
      </c>
      <c r="AH105" s="227">
        <v>281</v>
      </c>
      <c r="AI105" s="226">
        <v>289</v>
      </c>
      <c r="AJ105" s="226">
        <v>228</v>
      </c>
      <c r="AK105" s="226">
        <v>0</v>
      </c>
      <c r="AL105" s="226">
        <v>2</v>
      </c>
      <c r="AM105" s="228">
        <f t="shared" ref="AM105:AM106" si="209">SUM(AJ105:AL105)/AH105</f>
        <v>0.81850533807829184</v>
      </c>
      <c r="AN105" s="226">
        <v>8</v>
      </c>
      <c r="AO105" s="226">
        <v>0</v>
      </c>
      <c r="AP105" s="229">
        <f t="shared" ref="AP105:AP106" si="210">SUM(AN105:AO105)/AI105</f>
        <v>2.768166089965398E-2</v>
      </c>
      <c r="AQ105" s="226">
        <v>0</v>
      </c>
      <c r="AR105" s="226">
        <v>0</v>
      </c>
      <c r="AS105" s="229">
        <f t="shared" ref="AS105:AS106" si="211">(AQ105+AR105)/$AG105</f>
        <v>0</v>
      </c>
      <c r="AT105" s="226">
        <v>1</v>
      </c>
      <c r="AU105" s="226">
        <v>0</v>
      </c>
      <c r="AV105" s="229">
        <f t="shared" ref="AV105:AV106" si="212">(AT105+AU105)/$AG105</f>
        <v>1.9646365422396855E-3</v>
      </c>
      <c r="AW105" s="226">
        <v>0</v>
      </c>
      <c r="AX105" s="226">
        <v>0</v>
      </c>
      <c r="AY105" s="229">
        <f t="shared" ref="AY105:AY106" si="213">(AW105+AX105)/$AG105</f>
        <v>0</v>
      </c>
      <c r="AZ105" s="230">
        <f t="shared" ref="AZ105:AZ106" si="214">SUM(AN105,AQ105,AT105,AW105)</f>
        <v>9</v>
      </c>
      <c r="BA105" s="230">
        <f t="shared" ref="BA105:BA106" si="215">SUM(AO105,AR105,AU105,AX105)</f>
        <v>0</v>
      </c>
      <c r="BB105" s="230">
        <f t="shared" ref="BB105:BB106" si="216">SUM(AZ105:BA105)</f>
        <v>9</v>
      </c>
      <c r="BC105" s="229">
        <f t="shared" ref="BC105:BC106" si="217">(BB105+1)/(AI105+1)</f>
        <v>3.4482758620689655E-2</v>
      </c>
      <c r="BD105" s="231"/>
      <c r="BE105" s="231"/>
    </row>
    <row r="106" spans="29:57" ht="18" customHeight="1" x14ac:dyDescent="0.2">
      <c r="AC106" s="232" t="s">
        <v>275</v>
      </c>
      <c r="AD106" s="233"/>
      <c r="AE106" s="233"/>
      <c r="AF106" s="234"/>
      <c r="AG106" s="234"/>
      <c r="AH106" s="235"/>
      <c r="AI106" s="234"/>
      <c r="AJ106" s="234"/>
      <c r="AK106" s="234"/>
      <c r="AL106" s="234"/>
      <c r="AM106" s="236" t="e">
        <f t="shared" si="209"/>
        <v>#DIV/0!</v>
      </c>
      <c r="AN106" s="234"/>
      <c r="AO106" s="234"/>
      <c r="AP106" s="237" t="e">
        <f t="shared" si="210"/>
        <v>#DIV/0!</v>
      </c>
      <c r="AQ106" s="234"/>
      <c r="AR106" s="234"/>
      <c r="AS106" s="237" t="e">
        <f t="shared" si="211"/>
        <v>#DIV/0!</v>
      </c>
      <c r="AT106" s="234"/>
      <c r="AU106" s="234"/>
      <c r="AV106" s="237" t="e">
        <f t="shared" si="212"/>
        <v>#DIV/0!</v>
      </c>
      <c r="AW106" s="234"/>
      <c r="AX106" s="234"/>
      <c r="AY106" s="237" t="e">
        <f t="shared" si="213"/>
        <v>#DIV/0!</v>
      </c>
      <c r="AZ106" s="238">
        <f t="shared" si="214"/>
        <v>0</v>
      </c>
      <c r="BA106" s="238">
        <f t="shared" si="215"/>
        <v>0</v>
      </c>
      <c r="BB106" s="238">
        <f t="shared" si="216"/>
        <v>0</v>
      </c>
      <c r="BC106" s="237">
        <f t="shared" si="217"/>
        <v>1</v>
      </c>
      <c r="BD106" s="239" t="s">
        <v>274</v>
      </c>
      <c r="BE106" s="239" t="s">
        <v>268</v>
      </c>
    </row>
    <row r="107" spans="29:57" ht="18" customHeight="1" x14ac:dyDescent="0.2">
      <c r="AC107" s="7"/>
      <c r="AG107" s="240">
        <f>SUM(AG104:AG106)</f>
        <v>509</v>
      </c>
      <c r="AH107" s="240">
        <f>SUM(AH104:AH106)</f>
        <v>281</v>
      </c>
      <c r="AI107" s="240">
        <f t="shared" ref="AI107:AL107" si="218">SUM(AI104:AI106)</f>
        <v>289</v>
      </c>
      <c r="AJ107" s="240">
        <f t="shared" si="218"/>
        <v>228</v>
      </c>
      <c r="AK107" s="240">
        <f t="shared" si="218"/>
        <v>0</v>
      </c>
      <c r="AL107" s="240">
        <f t="shared" si="218"/>
        <v>2</v>
      </c>
      <c r="AM107" s="135"/>
      <c r="AN107" s="240">
        <f>SUM(AN104:AN106)</f>
        <v>8</v>
      </c>
      <c r="AO107" s="240">
        <f>SUM(AO104:AO106)</f>
        <v>0</v>
      </c>
      <c r="AP107" s="241"/>
      <c r="AQ107" s="240">
        <f>SUM(AQ104:AQ106)</f>
        <v>0</v>
      </c>
      <c r="AR107" s="240">
        <f>SUM(AR104:AR106)</f>
        <v>0</v>
      </c>
      <c r="AS107" s="241"/>
      <c r="AT107" s="240">
        <f>SUM(AT104:AT106)</f>
        <v>1</v>
      </c>
      <c r="AU107" s="240">
        <f>SUM(AU104:AU106)</f>
        <v>0</v>
      </c>
      <c r="AV107" s="241"/>
      <c r="AW107" s="240">
        <f>SUM(AW104:AW106)</f>
        <v>0</v>
      </c>
      <c r="AX107" s="240">
        <f>SUM(AX104:AX106)</f>
        <v>0</v>
      </c>
      <c r="AY107" s="241"/>
      <c r="AZ107" s="240">
        <f>SUM(AZ104:AZ106)</f>
        <v>9</v>
      </c>
      <c r="BA107" s="240">
        <f>SUM(BA104:BA106)</f>
        <v>0</v>
      </c>
      <c r="BB107" s="240">
        <f>SUM(AZ107:BA107)</f>
        <v>9</v>
      </c>
      <c r="BC107" s="242">
        <f>(BB107+1)/(AI107+1)</f>
        <v>3.4482758620689655E-2</v>
      </c>
      <c r="BD107" s="98"/>
      <c r="BE107" s="98"/>
    </row>
    <row r="108" spans="29:57" ht="18" customHeight="1" x14ac:dyDescent="0.2">
      <c r="AC108" s="7"/>
      <c r="AG108" s="240"/>
      <c r="AH108" s="240"/>
      <c r="AI108" s="240"/>
      <c r="AJ108" s="240"/>
      <c r="AK108" s="240"/>
      <c r="AL108" s="240"/>
      <c r="AM108" s="135"/>
      <c r="AN108" s="240"/>
      <c r="AO108" s="240"/>
      <c r="AP108" s="241"/>
      <c r="AQ108" s="240"/>
      <c r="AR108" s="240"/>
      <c r="AS108" s="241"/>
      <c r="AT108" s="240"/>
      <c r="AU108" s="240"/>
      <c r="AV108" s="241"/>
      <c r="AW108" s="240"/>
      <c r="AX108" s="240"/>
      <c r="AY108" s="241"/>
      <c r="AZ108" s="240"/>
      <c r="BA108" s="240"/>
      <c r="BB108" s="240"/>
      <c r="BC108" s="242"/>
      <c r="BD108" s="98"/>
      <c r="BE108" s="98"/>
    </row>
    <row r="109" spans="29:57" ht="18" customHeight="1" x14ac:dyDescent="0.2">
      <c r="AC109" s="212"/>
      <c r="AD109" s="15"/>
      <c r="AE109" s="23"/>
      <c r="AF109" s="16"/>
      <c r="AG109" s="15"/>
      <c r="AH109" s="15"/>
      <c r="AI109" s="15"/>
      <c r="AJ109" s="15"/>
      <c r="AK109" s="15"/>
      <c r="AL109" s="22"/>
      <c r="AM109" s="213"/>
      <c r="AN109" s="23"/>
      <c r="AO109" s="23"/>
      <c r="AP109" s="7"/>
      <c r="AQ109" s="15"/>
      <c r="AR109" s="15"/>
      <c r="AS109" s="7"/>
      <c r="AT109" s="15"/>
      <c r="AU109" s="15"/>
      <c r="AV109" s="7"/>
      <c r="AW109" s="15"/>
      <c r="AX109" s="15"/>
      <c r="AY109" s="214"/>
      <c r="AZ109" s="215"/>
      <c r="BA109" s="10"/>
      <c r="BB109" s="7"/>
      <c r="BC109" s="7"/>
      <c r="BD109" s="7"/>
      <c r="BE109" s="7"/>
    </row>
    <row r="110" spans="29:57" ht="18" customHeight="1" x14ac:dyDescent="0.2">
      <c r="AC110" s="214"/>
      <c r="AM110" s="135"/>
      <c r="AP110" s="11"/>
      <c r="AS110" s="11"/>
      <c r="AV110" s="11"/>
      <c r="AY110" s="11"/>
      <c r="AZ110" s="10"/>
      <c r="BA110" s="10"/>
      <c r="BB110" s="10"/>
      <c r="BC110" s="11"/>
      <c r="BD110" s="299"/>
      <c r="BE110" s="299"/>
    </row>
    <row r="111" spans="29:57" ht="18" customHeight="1" x14ac:dyDescent="0.2">
      <c r="AC111" s="214"/>
      <c r="AM111" s="135"/>
      <c r="AP111" s="11"/>
      <c r="AS111" s="11"/>
      <c r="AV111" s="11"/>
      <c r="AY111" s="11"/>
      <c r="AZ111" s="10"/>
      <c r="BA111" s="10"/>
      <c r="BB111" s="10"/>
      <c r="BC111" s="11"/>
      <c r="BD111" s="299"/>
      <c r="BE111" s="299"/>
    </row>
    <row r="112" spans="29:57" ht="18" customHeight="1" x14ac:dyDescent="0.2">
      <c r="AC112" s="214"/>
      <c r="AM112" s="135"/>
      <c r="AP112" s="11"/>
      <c r="AS112" s="11"/>
      <c r="AV112" s="11"/>
      <c r="AY112" s="11"/>
      <c r="AZ112" s="10"/>
      <c r="BA112" s="10"/>
      <c r="BB112" s="10"/>
      <c r="BC112" s="11"/>
      <c r="BD112" s="299"/>
      <c r="BE112" s="299"/>
    </row>
    <row r="113" spans="29:57" ht="18" customHeight="1" x14ac:dyDescent="0.2">
      <c r="AC113" s="7"/>
      <c r="AG113" s="300"/>
      <c r="AH113" s="300"/>
      <c r="AI113" s="300"/>
      <c r="AJ113" s="300"/>
      <c r="AK113" s="300"/>
      <c r="AL113" s="300"/>
      <c r="AM113" s="135"/>
      <c r="AN113" s="300"/>
      <c r="AO113" s="300"/>
      <c r="AP113" s="241"/>
      <c r="AQ113" s="300"/>
      <c r="AR113" s="300"/>
      <c r="AS113" s="241"/>
      <c r="AT113" s="300"/>
      <c r="AU113" s="300"/>
      <c r="AV113" s="241"/>
      <c r="AW113" s="300"/>
      <c r="AX113" s="300"/>
      <c r="AY113" s="241"/>
      <c r="AZ113" s="300"/>
      <c r="BA113" s="300"/>
      <c r="BB113" s="300"/>
      <c r="BC113" s="241"/>
      <c r="BD113" s="98"/>
      <c r="BE113" s="98"/>
    </row>
    <row r="114" spans="29:57" ht="18" customHeight="1" x14ac:dyDescent="0.2">
      <c r="AC114" s="212"/>
      <c r="AD114" s="15"/>
      <c r="AE114" s="23"/>
      <c r="AF114" s="16"/>
      <c r="AG114" s="15"/>
      <c r="AH114" s="15"/>
      <c r="AI114" s="15"/>
      <c r="AJ114" s="15"/>
      <c r="AK114" s="15"/>
      <c r="AL114" s="22"/>
      <c r="AM114" s="213"/>
      <c r="AN114" s="23"/>
      <c r="AO114" s="23"/>
      <c r="AP114" s="7"/>
      <c r="AQ114" s="15"/>
      <c r="AR114" s="15"/>
      <c r="AS114" s="7"/>
      <c r="AT114" s="15"/>
      <c r="AU114" s="15"/>
      <c r="AV114" s="7"/>
      <c r="AW114" s="15"/>
      <c r="AX114" s="15"/>
      <c r="AY114" s="214"/>
      <c r="AZ114" s="215"/>
      <c r="BA114" s="10"/>
      <c r="BB114" s="7"/>
      <c r="BC114" s="7"/>
      <c r="BD114" s="7"/>
      <c r="BE114" s="7"/>
    </row>
    <row r="115" spans="29:57" ht="18" customHeight="1" x14ac:dyDescent="0.2">
      <c r="AC115" s="214"/>
      <c r="AM115" s="135"/>
      <c r="AP115" s="11"/>
      <c r="AS115" s="11"/>
      <c r="AV115" s="11"/>
      <c r="AY115" s="11"/>
      <c r="AZ115" s="10"/>
      <c r="BA115" s="10"/>
      <c r="BB115" s="10"/>
      <c r="BC115" s="11"/>
      <c r="BD115" s="299"/>
      <c r="BE115" s="299"/>
    </row>
    <row r="116" spans="29:57" ht="18" customHeight="1" x14ac:dyDescent="0.2">
      <c r="AC116" s="214"/>
      <c r="AM116" s="135"/>
      <c r="AP116" s="11"/>
      <c r="AS116" s="11"/>
      <c r="AV116" s="11"/>
      <c r="AY116" s="11"/>
      <c r="AZ116" s="10"/>
      <c r="BA116" s="10"/>
      <c r="BB116" s="10"/>
      <c r="BC116" s="11"/>
      <c r="BD116" s="299"/>
      <c r="BE116" s="299"/>
    </row>
    <row r="117" spans="29:57" ht="18" customHeight="1" x14ac:dyDescent="0.2">
      <c r="AC117" s="214"/>
      <c r="AM117" s="135"/>
      <c r="AP117" s="11"/>
      <c r="AS117" s="11"/>
      <c r="AV117" s="11"/>
      <c r="AY117" s="11"/>
      <c r="AZ117" s="10"/>
      <c r="BA117" s="10"/>
      <c r="BB117" s="10"/>
      <c r="BC117" s="11"/>
      <c r="BD117" s="299"/>
      <c r="BE117" s="299"/>
    </row>
    <row r="118" spans="29:57" ht="18" customHeight="1" x14ac:dyDescent="0.2">
      <c r="AC118" s="7"/>
      <c r="AG118" s="300"/>
      <c r="AH118" s="300"/>
      <c r="AI118" s="300"/>
      <c r="AJ118" s="300"/>
      <c r="AK118" s="300"/>
      <c r="AL118" s="300"/>
      <c r="AM118" s="135"/>
      <c r="AN118" s="300"/>
      <c r="AO118" s="300"/>
      <c r="AP118" s="241"/>
      <c r="AQ118" s="300"/>
      <c r="AR118" s="300"/>
      <c r="AS118" s="241"/>
      <c r="AT118" s="300"/>
      <c r="AU118" s="300"/>
      <c r="AV118" s="241"/>
      <c r="AW118" s="300"/>
      <c r="AX118" s="300"/>
      <c r="AY118" s="241"/>
      <c r="AZ118" s="300"/>
      <c r="BA118" s="300"/>
      <c r="BB118" s="300"/>
      <c r="BC118" s="241"/>
      <c r="BD118" s="98"/>
      <c r="BE118" s="98"/>
    </row>
    <row r="119" spans="29:57" ht="18" customHeight="1" x14ac:dyDescent="0.2">
      <c r="AC119" s="212"/>
      <c r="AD119" s="15"/>
      <c r="AE119" s="23"/>
      <c r="AF119" s="16"/>
      <c r="AG119" s="15"/>
      <c r="AH119" s="15"/>
      <c r="AI119" s="15"/>
      <c r="AJ119" s="15"/>
      <c r="AK119" s="15"/>
      <c r="AL119" s="22"/>
      <c r="AM119" s="213"/>
      <c r="AN119" s="23"/>
      <c r="AO119" s="23"/>
      <c r="AP119" s="7"/>
      <c r="AQ119" s="15"/>
      <c r="AR119" s="15"/>
      <c r="AS119" s="7"/>
      <c r="AT119" s="15"/>
      <c r="AU119" s="15"/>
      <c r="AV119" s="7"/>
      <c r="AW119" s="15"/>
      <c r="AX119" s="15"/>
      <c r="AY119" s="214"/>
      <c r="AZ119" s="215"/>
      <c r="BA119" s="10"/>
      <c r="BB119" s="7"/>
      <c r="BC119" s="7"/>
      <c r="BD119" s="7"/>
      <c r="BE119" s="7"/>
    </row>
    <row r="120" spans="29:57" ht="18" customHeight="1" x14ac:dyDescent="0.2">
      <c r="AC120" s="214"/>
      <c r="AM120" s="135"/>
      <c r="AP120" s="11"/>
      <c r="AS120" s="11"/>
      <c r="AV120" s="11"/>
      <c r="AY120" s="11"/>
      <c r="AZ120" s="10"/>
      <c r="BA120" s="10"/>
      <c r="BB120" s="10"/>
      <c r="BC120" s="11"/>
      <c r="BD120" s="299"/>
      <c r="BE120" s="299"/>
    </row>
    <row r="121" spans="29:57" ht="18" customHeight="1" x14ac:dyDescent="0.2">
      <c r="AC121" s="214"/>
      <c r="AM121" s="135"/>
      <c r="AP121" s="11"/>
      <c r="AS121" s="11"/>
      <c r="AV121" s="11"/>
      <c r="AY121" s="11"/>
      <c r="AZ121" s="10"/>
      <c r="BA121" s="10"/>
      <c r="BB121" s="10"/>
      <c r="BC121" s="11"/>
      <c r="BD121" s="299"/>
      <c r="BE121" s="299"/>
    </row>
    <row r="122" spans="29:57" ht="18" customHeight="1" x14ac:dyDescent="0.2">
      <c r="AC122" s="214"/>
      <c r="AM122" s="135"/>
      <c r="AP122" s="11"/>
      <c r="AS122" s="11"/>
      <c r="AV122" s="11"/>
      <c r="AY122" s="11"/>
      <c r="AZ122" s="10"/>
      <c r="BA122" s="10"/>
      <c r="BB122" s="10"/>
      <c r="BC122" s="11"/>
      <c r="BD122" s="299"/>
      <c r="BE122" s="299"/>
    </row>
    <row r="123" spans="29:57" ht="18" customHeight="1" x14ac:dyDescent="0.2">
      <c r="AC123" s="7"/>
      <c r="AG123" s="300"/>
      <c r="AH123" s="300"/>
      <c r="AI123" s="300"/>
      <c r="AJ123" s="300"/>
      <c r="AK123" s="300"/>
      <c r="AL123" s="300"/>
      <c r="AM123" s="135"/>
      <c r="AN123" s="300"/>
      <c r="AO123" s="300"/>
      <c r="AP123" s="241"/>
      <c r="AQ123" s="300"/>
      <c r="AR123" s="300"/>
      <c r="AS123" s="241"/>
      <c r="AT123" s="300"/>
      <c r="AU123" s="300"/>
      <c r="AV123" s="241"/>
      <c r="AW123" s="300"/>
      <c r="AX123" s="300"/>
      <c r="AY123" s="241"/>
      <c r="AZ123" s="300"/>
      <c r="BA123" s="300"/>
      <c r="BB123" s="300"/>
      <c r="BC123" s="241"/>
      <c r="BD123" s="98"/>
      <c r="BE123" s="98"/>
    </row>
    <row r="124" spans="29:57" ht="18" customHeight="1" x14ac:dyDescent="0.2">
      <c r="AC124" s="212"/>
      <c r="AD124" s="15"/>
      <c r="AE124" s="23"/>
      <c r="AF124" s="16"/>
      <c r="AG124" s="15"/>
      <c r="AH124" s="15"/>
      <c r="AI124" s="15"/>
      <c r="AJ124" s="15"/>
      <c r="AK124" s="15"/>
      <c r="AL124" s="22"/>
      <c r="AM124" s="213"/>
      <c r="AN124" s="23"/>
      <c r="AO124" s="23"/>
      <c r="AP124" s="7"/>
      <c r="AQ124" s="15"/>
      <c r="AR124" s="15"/>
      <c r="AS124" s="7"/>
      <c r="AT124" s="15"/>
      <c r="AU124" s="15"/>
      <c r="AV124" s="7"/>
      <c r="AW124" s="15"/>
      <c r="AX124" s="15"/>
      <c r="AY124" s="214"/>
      <c r="AZ124" s="215"/>
      <c r="BA124" s="10"/>
      <c r="BB124" s="7"/>
      <c r="BC124" s="7"/>
      <c r="BD124" s="7"/>
      <c r="BE124" s="7"/>
    </row>
    <row r="125" spans="29:57" ht="18" customHeight="1" x14ac:dyDescent="0.2">
      <c r="AC125" s="214"/>
      <c r="AM125" s="135"/>
      <c r="AP125" s="11"/>
      <c r="AS125" s="11"/>
      <c r="AV125" s="11"/>
      <c r="AY125" s="11"/>
      <c r="AZ125" s="10"/>
      <c r="BA125" s="10"/>
      <c r="BB125" s="10"/>
      <c r="BC125" s="11"/>
      <c r="BD125" s="299"/>
      <c r="BE125" s="299"/>
    </row>
    <row r="126" spans="29:57" ht="18" customHeight="1" x14ac:dyDescent="0.2">
      <c r="AC126" s="214"/>
      <c r="AM126" s="135"/>
      <c r="AP126" s="11"/>
      <c r="AS126" s="11"/>
      <c r="AV126" s="11"/>
      <c r="AY126" s="11"/>
      <c r="AZ126" s="10"/>
      <c r="BA126" s="10"/>
      <c r="BB126" s="10"/>
      <c r="BC126" s="11"/>
      <c r="BD126" s="299"/>
      <c r="BE126" s="299"/>
    </row>
    <row r="127" spans="29:57" ht="18" customHeight="1" x14ac:dyDescent="0.2">
      <c r="AC127" s="214"/>
      <c r="AM127" s="135"/>
      <c r="AP127" s="11"/>
      <c r="AS127" s="11"/>
      <c r="AV127" s="11"/>
      <c r="AY127" s="11"/>
      <c r="AZ127" s="10"/>
      <c r="BA127" s="10"/>
      <c r="BB127" s="10"/>
      <c r="BC127" s="11"/>
      <c r="BD127" s="299"/>
      <c r="BE127" s="299"/>
    </row>
    <row r="128" spans="29:57" ht="18" customHeight="1" x14ac:dyDescent="0.2">
      <c r="AC128" s="7"/>
      <c r="AG128" s="300"/>
      <c r="AH128" s="300"/>
      <c r="AI128" s="300"/>
      <c r="AJ128" s="300"/>
      <c r="AK128" s="300"/>
      <c r="AL128" s="300"/>
      <c r="AM128" s="135"/>
      <c r="AN128" s="300"/>
      <c r="AO128" s="300"/>
      <c r="AP128" s="241"/>
      <c r="AQ128" s="300"/>
      <c r="AR128" s="300"/>
      <c r="AS128" s="241"/>
      <c r="AT128" s="300"/>
      <c r="AU128" s="300"/>
      <c r="AV128" s="241"/>
      <c r="AW128" s="300"/>
      <c r="AX128" s="300"/>
      <c r="AY128" s="241"/>
      <c r="AZ128" s="300"/>
      <c r="BA128" s="300"/>
      <c r="BB128" s="300"/>
      <c r="BC128" s="241"/>
      <c r="BD128" s="98"/>
      <c r="BE128" s="98"/>
    </row>
    <row r="129" spans="29:57" ht="18" customHeight="1" x14ac:dyDescent="0.2">
      <c r="AC129" s="212"/>
      <c r="AD129" s="15"/>
      <c r="AE129" s="23"/>
      <c r="AF129" s="16"/>
      <c r="AG129" s="15"/>
      <c r="AH129" s="15"/>
      <c r="AI129" s="15"/>
      <c r="AJ129" s="15"/>
      <c r="AK129" s="15"/>
      <c r="AL129" s="22"/>
      <c r="AM129" s="213"/>
      <c r="AN129" s="23"/>
      <c r="AO129" s="23"/>
      <c r="AP129" s="7"/>
      <c r="AQ129" s="15"/>
      <c r="AR129" s="15"/>
      <c r="AS129" s="7"/>
      <c r="AT129" s="15"/>
      <c r="AU129" s="15"/>
      <c r="AV129" s="7"/>
      <c r="AW129" s="15"/>
      <c r="AX129" s="15"/>
      <c r="AY129" s="214"/>
      <c r="AZ129" s="215"/>
      <c r="BA129" s="10"/>
      <c r="BB129" s="7"/>
      <c r="BC129" s="7"/>
      <c r="BD129" s="7"/>
      <c r="BE129" s="7"/>
    </row>
    <row r="130" spans="29:57" ht="18" customHeight="1" x14ac:dyDescent="0.2">
      <c r="AC130" s="214"/>
      <c r="AM130" s="135"/>
      <c r="AP130" s="11"/>
      <c r="AS130" s="11"/>
      <c r="AV130" s="11"/>
      <c r="AY130" s="11"/>
      <c r="AZ130" s="10"/>
      <c r="BA130" s="10"/>
      <c r="BB130" s="10"/>
      <c r="BC130" s="11"/>
      <c r="BD130" s="299"/>
      <c r="BE130" s="299"/>
    </row>
    <row r="131" spans="29:57" ht="18" customHeight="1" x14ac:dyDescent="0.2">
      <c r="AC131" s="214"/>
      <c r="AM131" s="135"/>
      <c r="AP131" s="11"/>
      <c r="AS131" s="11"/>
      <c r="AV131" s="11"/>
      <c r="AY131" s="11"/>
      <c r="AZ131" s="10"/>
      <c r="BA131" s="10"/>
      <c r="BB131" s="10"/>
      <c r="BC131" s="11"/>
      <c r="BD131" s="299"/>
      <c r="BE131" s="299"/>
    </row>
    <row r="132" spans="29:57" ht="18" customHeight="1" x14ac:dyDescent="0.2">
      <c r="AC132" s="214"/>
      <c r="AM132" s="135"/>
      <c r="AP132" s="11"/>
      <c r="AS132" s="11"/>
      <c r="AV132" s="11"/>
      <c r="AY132" s="11"/>
      <c r="AZ132" s="10"/>
      <c r="BA132" s="10"/>
      <c r="BB132" s="10"/>
      <c r="BC132" s="11"/>
      <c r="BD132" s="299"/>
      <c r="BE132" s="299"/>
    </row>
    <row r="133" spans="29:57" ht="18" customHeight="1" x14ac:dyDescent="0.2">
      <c r="AC133" s="7"/>
      <c r="AG133" s="300"/>
      <c r="AH133" s="300"/>
      <c r="AI133" s="300"/>
      <c r="AJ133" s="300"/>
      <c r="AK133" s="300"/>
      <c r="AL133" s="300"/>
      <c r="AM133" s="135"/>
      <c r="AN133" s="300"/>
      <c r="AO133" s="300"/>
      <c r="AP133" s="241"/>
      <c r="AQ133" s="300"/>
      <c r="AR133" s="300"/>
      <c r="AS133" s="241"/>
      <c r="AT133" s="300"/>
      <c r="AU133" s="300"/>
      <c r="AV133" s="241"/>
      <c r="AW133" s="300"/>
      <c r="AX133" s="300"/>
      <c r="AY133" s="241"/>
      <c r="AZ133" s="300"/>
      <c r="BA133" s="300"/>
      <c r="BB133" s="300"/>
      <c r="BC133" s="241"/>
      <c r="BD133" s="98"/>
      <c r="BE133" s="98"/>
    </row>
    <row r="134" spans="29:57" ht="18" customHeight="1" x14ac:dyDescent="0.2">
      <c r="AC134" s="212"/>
      <c r="AD134" s="15"/>
      <c r="AE134" s="23"/>
      <c r="AF134" s="16"/>
      <c r="AG134" s="15"/>
      <c r="AH134" s="15"/>
      <c r="AI134" s="15"/>
      <c r="AJ134" s="15"/>
      <c r="AK134" s="15"/>
      <c r="AL134" s="22"/>
      <c r="AM134" s="213"/>
      <c r="AN134" s="23"/>
      <c r="AO134" s="23"/>
      <c r="AP134" s="7"/>
      <c r="AQ134" s="15"/>
      <c r="AR134" s="15"/>
      <c r="AS134" s="7"/>
      <c r="AT134" s="15"/>
      <c r="AU134" s="15"/>
      <c r="AV134" s="7"/>
      <c r="AW134" s="15"/>
      <c r="AX134" s="15"/>
      <c r="AY134" s="214"/>
      <c r="AZ134" s="215"/>
      <c r="BA134" s="10"/>
      <c r="BB134" s="7"/>
      <c r="BC134" s="7"/>
      <c r="BD134" s="7"/>
      <c r="BE134" s="7"/>
    </row>
    <row r="135" spans="29:57" ht="18" customHeight="1" x14ac:dyDescent="0.2">
      <c r="AC135" s="214"/>
      <c r="AM135" s="135"/>
      <c r="AP135" s="11"/>
      <c r="AS135" s="11"/>
      <c r="AV135" s="11"/>
      <c r="AY135" s="11"/>
      <c r="AZ135" s="10"/>
      <c r="BA135" s="10"/>
      <c r="BB135" s="10"/>
      <c r="BC135" s="11"/>
      <c r="BD135" s="299"/>
      <c r="BE135" s="299"/>
    </row>
    <row r="136" spans="29:57" ht="18" customHeight="1" x14ac:dyDescent="0.2">
      <c r="AC136" s="214"/>
      <c r="AM136" s="135"/>
      <c r="AP136" s="11"/>
      <c r="AS136" s="11"/>
      <c r="AV136" s="11"/>
      <c r="AY136" s="11"/>
      <c r="AZ136" s="10"/>
      <c r="BA136" s="10"/>
      <c r="BB136" s="10"/>
      <c r="BC136" s="11"/>
      <c r="BD136" s="299"/>
      <c r="BE136" s="299"/>
    </row>
    <row r="137" spans="29:57" ht="18" customHeight="1" x14ac:dyDescent="0.2">
      <c r="AC137" s="214"/>
      <c r="AM137" s="135"/>
      <c r="AP137" s="11"/>
      <c r="AS137" s="11"/>
      <c r="AV137" s="11"/>
      <c r="AY137" s="11"/>
      <c r="AZ137" s="10"/>
      <c r="BA137" s="10"/>
      <c r="BB137" s="10"/>
      <c r="BC137" s="11"/>
      <c r="BD137" s="299"/>
      <c r="BE137" s="299"/>
    </row>
    <row r="138" spans="29:57" ht="18" customHeight="1" x14ac:dyDescent="0.2">
      <c r="AC138" s="7"/>
      <c r="AG138" s="300"/>
      <c r="AH138" s="300"/>
      <c r="AI138" s="300"/>
      <c r="AJ138" s="300"/>
      <c r="AK138" s="300"/>
      <c r="AL138" s="300"/>
      <c r="AM138" s="135"/>
      <c r="AN138" s="300"/>
      <c r="AO138" s="300"/>
      <c r="AP138" s="241"/>
      <c r="AQ138" s="300"/>
      <c r="AR138" s="300"/>
      <c r="AS138" s="241"/>
      <c r="AT138" s="300"/>
      <c r="AU138" s="300"/>
      <c r="AV138" s="241"/>
      <c r="AW138" s="300"/>
      <c r="AX138" s="300"/>
      <c r="AY138" s="241"/>
      <c r="AZ138" s="300"/>
      <c r="BA138" s="300"/>
      <c r="BB138" s="300"/>
      <c r="BC138" s="241"/>
      <c r="BD138" s="98"/>
      <c r="BE138" s="98"/>
    </row>
    <row r="139" spans="29:57" ht="18" customHeight="1" x14ac:dyDescent="0.2">
      <c r="AC139" s="212"/>
      <c r="AD139" s="15"/>
      <c r="AE139" s="23"/>
      <c r="AF139" s="16"/>
      <c r="AG139" s="15"/>
      <c r="AH139" s="15"/>
      <c r="AI139" s="15"/>
      <c r="AJ139" s="15"/>
      <c r="AK139" s="15"/>
      <c r="AL139" s="22"/>
      <c r="AM139" s="213"/>
      <c r="AN139" s="23"/>
      <c r="AO139" s="23"/>
      <c r="AP139" s="7"/>
      <c r="AQ139" s="15"/>
      <c r="AR139" s="15"/>
      <c r="AS139" s="7"/>
      <c r="AT139" s="15"/>
      <c r="AU139" s="15"/>
      <c r="AV139" s="7"/>
      <c r="AW139" s="15"/>
      <c r="AX139" s="15"/>
      <c r="AY139" s="214"/>
      <c r="AZ139" s="215"/>
      <c r="BA139" s="10"/>
      <c r="BB139" s="7"/>
      <c r="BC139" s="7"/>
      <c r="BD139" s="7"/>
      <c r="BE139" s="7"/>
    </row>
    <row r="140" spans="29:57" ht="18" customHeight="1" x14ac:dyDescent="0.2">
      <c r="AC140" s="214"/>
      <c r="AM140" s="135"/>
      <c r="AP140" s="11"/>
      <c r="AS140" s="11"/>
      <c r="AV140" s="11"/>
      <c r="AY140" s="11"/>
      <c r="AZ140" s="10"/>
      <c r="BA140" s="10"/>
      <c r="BB140" s="10"/>
      <c r="BC140" s="11"/>
      <c r="BD140" s="299"/>
      <c r="BE140" s="299"/>
    </row>
    <row r="141" spans="29:57" ht="18" customHeight="1" x14ac:dyDescent="0.2">
      <c r="AC141" s="214"/>
      <c r="AM141" s="135"/>
      <c r="AP141" s="11"/>
      <c r="AS141" s="11"/>
      <c r="AV141" s="11"/>
      <c r="AY141" s="11"/>
      <c r="AZ141" s="10"/>
      <c r="BA141" s="10"/>
      <c r="BB141" s="10"/>
      <c r="BC141" s="11"/>
      <c r="BD141" s="299"/>
      <c r="BE141" s="299"/>
    </row>
    <row r="142" spans="29:57" ht="18" customHeight="1" x14ac:dyDescent="0.2">
      <c r="AC142" s="214"/>
      <c r="AM142" s="135"/>
      <c r="AP142" s="11"/>
      <c r="AS142" s="11"/>
      <c r="AV142" s="11"/>
      <c r="AY142" s="11"/>
      <c r="AZ142" s="10"/>
      <c r="BA142" s="10"/>
      <c r="BB142" s="10"/>
      <c r="BC142" s="11"/>
      <c r="BD142" s="299"/>
      <c r="BE142" s="299"/>
    </row>
    <row r="143" spans="29:57" ht="18" customHeight="1" x14ac:dyDescent="0.2">
      <c r="AC143" s="7"/>
      <c r="AG143" s="300"/>
      <c r="AH143" s="300"/>
      <c r="AI143" s="300"/>
      <c r="AJ143" s="300"/>
      <c r="AK143" s="300"/>
      <c r="AL143" s="300"/>
      <c r="AM143" s="135"/>
      <c r="AN143" s="300"/>
      <c r="AO143" s="300"/>
      <c r="AP143" s="241"/>
      <c r="AQ143" s="300"/>
      <c r="AR143" s="300"/>
      <c r="AS143" s="241"/>
      <c r="AT143" s="300"/>
      <c r="AU143" s="300"/>
      <c r="AV143" s="241"/>
      <c r="AW143" s="300"/>
      <c r="AX143" s="300"/>
      <c r="AY143" s="241"/>
      <c r="AZ143" s="300"/>
      <c r="BA143" s="300"/>
      <c r="BB143" s="300"/>
      <c r="BC143" s="241"/>
      <c r="BD143" s="98"/>
      <c r="BE143" s="98"/>
    </row>
    <row r="144" spans="29:57" ht="18" customHeight="1" x14ac:dyDescent="0.2">
      <c r="AC144" s="212"/>
      <c r="AD144" s="15"/>
      <c r="AE144" s="23"/>
      <c r="AF144" s="16"/>
      <c r="AG144" s="15"/>
      <c r="AH144" s="15"/>
      <c r="AI144" s="15"/>
      <c r="AJ144" s="15"/>
      <c r="AK144" s="15"/>
      <c r="AL144" s="22"/>
      <c r="AM144" s="213"/>
      <c r="AN144" s="23"/>
      <c r="AO144" s="23"/>
      <c r="AP144" s="7"/>
      <c r="AQ144" s="15"/>
      <c r="AR144" s="15"/>
      <c r="AS144" s="7"/>
      <c r="AT144" s="15"/>
      <c r="AU144" s="15"/>
      <c r="AV144" s="7"/>
      <c r="AW144" s="15"/>
      <c r="AX144" s="15"/>
      <c r="AY144" s="214"/>
      <c r="AZ144" s="215"/>
      <c r="BA144" s="10"/>
      <c r="BB144" s="7"/>
      <c r="BC144" s="7"/>
      <c r="BD144" s="7"/>
      <c r="BE144" s="7"/>
    </row>
    <row r="145" spans="29:57" ht="18" customHeight="1" x14ac:dyDescent="0.2">
      <c r="AC145" s="214"/>
      <c r="AM145" s="135"/>
      <c r="AP145" s="11"/>
      <c r="AS145" s="11"/>
      <c r="AV145" s="11"/>
      <c r="AY145" s="11"/>
      <c r="AZ145" s="10"/>
      <c r="BA145" s="10"/>
      <c r="BB145" s="10"/>
      <c r="BC145" s="11"/>
      <c r="BD145" s="299"/>
      <c r="BE145" s="299"/>
    </row>
    <row r="146" spans="29:57" ht="18" customHeight="1" x14ac:dyDescent="0.2">
      <c r="AC146" s="214"/>
      <c r="AM146" s="135"/>
      <c r="AP146" s="11"/>
      <c r="AS146" s="11"/>
      <c r="AV146" s="11"/>
      <c r="AY146" s="11"/>
      <c r="AZ146" s="10"/>
      <c r="BA146" s="10"/>
      <c r="BB146" s="10"/>
      <c r="BC146" s="11"/>
      <c r="BD146" s="299"/>
      <c r="BE146" s="299"/>
    </row>
    <row r="147" spans="29:57" ht="18" customHeight="1" x14ac:dyDescent="0.2">
      <c r="AC147" s="214"/>
      <c r="AM147" s="135"/>
      <c r="AP147" s="11"/>
      <c r="AS147" s="11"/>
      <c r="AV147" s="11"/>
      <c r="AY147" s="11"/>
      <c r="AZ147" s="10"/>
      <c r="BA147" s="10"/>
      <c r="BB147" s="10"/>
      <c r="BC147" s="11"/>
      <c r="BD147" s="299"/>
      <c r="BE147" s="299"/>
    </row>
    <row r="148" spans="29:57" ht="18" customHeight="1" x14ac:dyDescent="0.2">
      <c r="AC148" s="7"/>
      <c r="AG148" s="300"/>
      <c r="AH148" s="300"/>
      <c r="AI148" s="300"/>
      <c r="AJ148" s="300"/>
      <c r="AK148" s="300"/>
      <c r="AL148" s="300"/>
      <c r="AM148" s="135"/>
      <c r="AN148" s="300"/>
      <c r="AO148" s="300"/>
      <c r="AP148" s="241"/>
      <c r="AQ148" s="300"/>
      <c r="AR148" s="300"/>
      <c r="AS148" s="241"/>
      <c r="AT148" s="300"/>
      <c r="AU148" s="300"/>
      <c r="AV148" s="241"/>
      <c r="AW148" s="300"/>
      <c r="AX148" s="300"/>
      <c r="AY148" s="241"/>
      <c r="AZ148" s="300"/>
      <c r="BA148" s="300"/>
      <c r="BB148" s="300"/>
      <c r="BC148" s="241"/>
      <c r="BD148" s="98"/>
      <c r="BE148" s="98"/>
    </row>
    <row r="149" spans="29:57" ht="18" customHeight="1" x14ac:dyDescent="0.2">
      <c r="AC149" s="212"/>
      <c r="AD149" s="15"/>
      <c r="AE149" s="23"/>
      <c r="AF149" s="16"/>
      <c r="AG149" s="15"/>
      <c r="AH149" s="15"/>
      <c r="AI149" s="15"/>
      <c r="AJ149" s="15"/>
      <c r="AK149" s="15"/>
      <c r="AL149" s="22"/>
      <c r="AM149" s="213"/>
      <c r="AN149" s="23"/>
      <c r="AO149" s="23"/>
      <c r="AP149" s="7"/>
      <c r="AQ149" s="15"/>
      <c r="AR149" s="15"/>
      <c r="AS149" s="7"/>
      <c r="AT149" s="15"/>
      <c r="AU149" s="15"/>
      <c r="AV149" s="7"/>
      <c r="AW149" s="15"/>
      <c r="AX149" s="15"/>
      <c r="AY149" s="214"/>
      <c r="AZ149" s="215"/>
      <c r="BA149" s="10"/>
      <c r="BB149" s="7"/>
      <c r="BC149" s="7"/>
      <c r="BD149" s="7"/>
      <c r="BE149" s="7"/>
    </row>
    <row r="150" spans="29:57" ht="18" customHeight="1" x14ac:dyDescent="0.2">
      <c r="AC150" s="214"/>
      <c r="AM150" s="135"/>
      <c r="AP150" s="11"/>
      <c r="AS150" s="11"/>
      <c r="AV150" s="11"/>
      <c r="AY150" s="11"/>
      <c r="AZ150" s="10"/>
      <c r="BA150" s="10"/>
      <c r="BB150" s="10"/>
      <c r="BC150" s="11"/>
      <c r="BD150" s="299"/>
      <c r="BE150" s="299"/>
    </row>
    <row r="151" spans="29:57" ht="18" customHeight="1" x14ac:dyDescent="0.2">
      <c r="AC151" s="214"/>
      <c r="AM151" s="135"/>
      <c r="AP151" s="11"/>
      <c r="AS151" s="11"/>
      <c r="AV151" s="11"/>
      <c r="AY151" s="11"/>
      <c r="AZ151" s="10"/>
      <c r="BA151" s="10"/>
      <c r="BB151" s="10"/>
      <c r="BC151" s="11"/>
      <c r="BD151" s="299"/>
      <c r="BE151" s="299"/>
    </row>
    <row r="152" spans="29:57" ht="18" customHeight="1" x14ac:dyDescent="0.2">
      <c r="AC152" s="214"/>
      <c r="AM152" s="135"/>
      <c r="AP152" s="11"/>
      <c r="AS152" s="11"/>
      <c r="AV152" s="11"/>
      <c r="AY152" s="11"/>
      <c r="AZ152" s="10"/>
      <c r="BA152" s="10"/>
      <c r="BB152" s="10"/>
      <c r="BC152" s="11"/>
      <c r="BD152" s="299"/>
      <c r="BE152" s="299"/>
    </row>
    <row r="153" spans="29:57" ht="18" customHeight="1" x14ac:dyDescent="0.2">
      <c r="AC153" s="7"/>
      <c r="AG153" s="300"/>
      <c r="AH153" s="300"/>
      <c r="AI153" s="300"/>
      <c r="AJ153" s="300"/>
      <c r="AK153" s="300"/>
      <c r="AL153" s="300"/>
      <c r="AM153" s="135"/>
      <c r="AN153" s="300"/>
      <c r="AO153" s="300"/>
      <c r="AP153" s="241"/>
      <c r="AQ153" s="300"/>
      <c r="AR153" s="300"/>
      <c r="AS153" s="241"/>
      <c r="AT153" s="300"/>
      <c r="AU153" s="300"/>
      <c r="AV153" s="241"/>
      <c r="AW153" s="300"/>
      <c r="AX153" s="300"/>
      <c r="AY153" s="241"/>
      <c r="AZ153" s="300"/>
      <c r="BA153" s="300"/>
      <c r="BB153" s="300"/>
      <c r="BC153" s="241"/>
      <c r="BD153" s="98"/>
      <c r="BE153" s="98"/>
    </row>
    <row r="154" spans="29:57" ht="18" customHeight="1" x14ac:dyDescent="0.2">
      <c r="AC154" s="212"/>
      <c r="AD154" s="15"/>
      <c r="AE154" s="23"/>
      <c r="AF154" s="16"/>
      <c r="AG154" s="15"/>
      <c r="AH154" s="15"/>
      <c r="AI154" s="15"/>
      <c r="AJ154" s="15"/>
      <c r="AK154" s="15"/>
      <c r="AL154" s="22"/>
      <c r="AM154" s="213"/>
      <c r="AN154" s="23"/>
      <c r="AO154" s="23"/>
      <c r="AP154" s="7"/>
      <c r="AQ154" s="15"/>
      <c r="AR154" s="15"/>
      <c r="AS154" s="7"/>
      <c r="AT154" s="15"/>
      <c r="AU154" s="15"/>
      <c r="AV154" s="7"/>
      <c r="AW154" s="15"/>
      <c r="AX154" s="15"/>
      <c r="AY154" s="214"/>
      <c r="AZ154" s="215"/>
      <c r="BA154" s="10"/>
      <c r="BB154" s="7"/>
      <c r="BC154" s="7"/>
      <c r="BD154" s="7"/>
      <c r="BE154" s="7"/>
    </row>
    <row r="155" spans="29:57" ht="18" customHeight="1" x14ac:dyDescent="0.2">
      <c r="AC155" s="214"/>
      <c r="AM155" s="135"/>
      <c r="AP155" s="11"/>
      <c r="AS155" s="11"/>
      <c r="AV155" s="11"/>
      <c r="AY155" s="11"/>
      <c r="AZ155" s="10"/>
      <c r="BA155" s="10"/>
      <c r="BB155" s="10"/>
      <c r="BC155" s="11"/>
      <c r="BD155" s="299"/>
      <c r="BE155" s="299"/>
    </row>
    <row r="156" spans="29:57" ht="18" customHeight="1" x14ac:dyDescent="0.2">
      <c r="AC156" s="214"/>
      <c r="AM156" s="135"/>
      <c r="AP156" s="11"/>
      <c r="AS156" s="11"/>
      <c r="AV156" s="11"/>
      <c r="AY156" s="11"/>
      <c r="AZ156" s="10"/>
      <c r="BA156" s="10"/>
      <c r="BB156" s="10"/>
      <c r="BC156" s="11"/>
      <c r="BD156" s="299"/>
      <c r="BE156" s="299"/>
    </row>
    <row r="157" spans="29:57" ht="18" customHeight="1" x14ac:dyDescent="0.2">
      <c r="AC157" s="214"/>
      <c r="AM157" s="135"/>
      <c r="AP157" s="11"/>
      <c r="AS157" s="11"/>
      <c r="AV157" s="11"/>
      <c r="AY157" s="11"/>
      <c r="AZ157" s="10"/>
      <c r="BA157" s="10"/>
      <c r="BB157" s="10"/>
      <c r="BC157" s="11"/>
      <c r="BD157" s="299"/>
      <c r="BE157" s="299"/>
    </row>
    <row r="158" spans="29:57" ht="18" customHeight="1" x14ac:dyDescent="0.2">
      <c r="AC158" s="7"/>
      <c r="AG158" s="300"/>
      <c r="AH158" s="300"/>
      <c r="AI158" s="300"/>
      <c r="AJ158" s="300"/>
      <c r="AK158" s="300"/>
      <c r="AL158" s="300"/>
      <c r="AM158" s="135"/>
      <c r="AN158" s="300"/>
      <c r="AO158" s="300"/>
      <c r="AP158" s="241"/>
      <c r="AQ158" s="300"/>
      <c r="AR158" s="300"/>
      <c r="AS158" s="241"/>
      <c r="AT158" s="300"/>
      <c r="AU158" s="300"/>
      <c r="AV158" s="241"/>
      <c r="AW158" s="300"/>
      <c r="AX158" s="300"/>
      <c r="AY158" s="241"/>
      <c r="AZ158" s="300"/>
      <c r="BA158" s="300"/>
      <c r="BB158" s="300"/>
      <c r="BC158" s="241"/>
      <c r="BD158" s="98"/>
      <c r="BE158" s="98"/>
    </row>
    <row r="159" spans="29:57" ht="18" customHeight="1" x14ac:dyDescent="0.2">
      <c r="AC159" s="212"/>
      <c r="AD159" s="15"/>
      <c r="AE159" s="23"/>
      <c r="AF159" s="16"/>
      <c r="AG159" s="15"/>
      <c r="AH159" s="15"/>
      <c r="AI159" s="15"/>
      <c r="AJ159" s="15"/>
      <c r="AK159" s="15"/>
      <c r="AL159" s="22"/>
      <c r="AM159" s="213"/>
      <c r="AN159" s="23"/>
      <c r="AO159" s="23"/>
      <c r="AP159" s="7"/>
      <c r="AQ159" s="15"/>
      <c r="AR159" s="15"/>
      <c r="AS159" s="7"/>
      <c r="AT159" s="15"/>
      <c r="AU159" s="15"/>
      <c r="AV159" s="7"/>
      <c r="AW159" s="15"/>
      <c r="AX159" s="15"/>
      <c r="AY159" s="214"/>
      <c r="AZ159" s="215"/>
      <c r="BA159" s="10"/>
      <c r="BB159" s="7"/>
      <c r="BC159" s="7"/>
      <c r="BD159" s="7"/>
      <c r="BE159" s="7"/>
    </row>
    <row r="160" spans="29:57" ht="18" customHeight="1" x14ac:dyDescent="0.2">
      <c r="AC160" s="214"/>
      <c r="AM160" s="135"/>
      <c r="AP160" s="11"/>
      <c r="AS160" s="11"/>
      <c r="AV160" s="11"/>
      <c r="AY160" s="11"/>
      <c r="AZ160" s="10"/>
      <c r="BA160" s="10"/>
      <c r="BB160" s="10"/>
      <c r="BC160" s="11"/>
      <c r="BD160" s="299"/>
      <c r="BE160" s="299"/>
    </row>
    <row r="161" spans="29:57" ht="18" customHeight="1" x14ac:dyDescent="0.2">
      <c r="AC161" s="214"/>
      <c r="AM161" s="135"/>
      <c r="AP161" s="11"/>
      <c r="AS161" s="11"/>
      <c r="AV161" s="11"/>
      <c r="AY161" s="11"/>
      <c r="AZ161" s="10"/>
      <c r="BA161" s="10"/>
      <c r="BB161" s="10"/>
      <c r="BC161" s="11"/>
      <c r="BD161" s="299"/>
      <c r="BE161" s="299"/>
    </row>
    <row r="162" spans="29:57" ht="18" customHeight="1" x14ac:dyDescent="0.2">
      <c r="AC162" s="214"/>
      <c r="AM162" s="135"/>
      <c r="AP162" s="11"/>
      <c r="AS162" s="11"/>
      <c r="AV162" s="11"/>
      <c r="AY162" s="11"/>
      <c r="AZ162" s="10"/>
      <c r="BA162" s="10"/>
      <c r="BB162" s="10"/>
      <c r="BC162" s="11"/>
      <c r="BD162" s="299"/>
      <c r="BE162" s="299"/>
    </row>
    <row r="163" spans="29:57" ht="18" customHeight="1" x14ac:dyDescent="0.2">
      <c r="AC163" s="7"/>
      <c r="AG163" s="300"/>
      <c r="AH163" s="300"/>
      <c r="AI163" s="300"/>
      <c r="AJ163" s="300"/>
      <c r="AK163" s="300"/>
      <c r="AL163" s="300"/>
      <c r="AM163" s="135"/>
      <c r="AN163" s="300"/>
      <c r="AO163" s="300"/>
      <c r="AP163" s="241"/>
      <c r="AQ163" s="300"/>
      <c r="AR163" s="300"/>
      <c r="AS163" s="241"/>
      <c r="AT163" s="300"/>
      <c r="AU163" s="300"/>
      <c r="AV163" s="241"/>
      <c r="AW163" s="300"/>
      <c r="AX163" s="300"/>
      <c r="AY163" s="241"/>
      <c r="AZ163" s="300"/>
      <c r="BA163" s="300"/>
      <c r="BB163" s="300"/>
      <c r="BC163" s="241"/>
      <c r="BD163" s="98"/>
      <c r="BE163" s="98"/>
    </row>
    <row r="164" spans="29:57" ht="18" customHeight="1" x14ac:dyDescent="0.2">
      <c r="AC164" s="212"/>
      <c r="AD164" s="15"/>
      <c r="AE164" s="23"/>
      <c r="AF164" s="16"/>
      <c r="AG164" s="15"/>
      <c r="AH164" s="15"/>
      <c r="AI164" s="15"/>
      <c r="AJ164" s="15"/>
      <c r="AK164" s="15"/>
      <c r="AL164" s="22"/>
      <c r="AM164" s="213"/>
      <c r="AN164" s="23"/>
      <c r="AO164" s="23"/>
      <c r="AP164" s="7"/>
      <c r="AQ164" s="15"/>
      <c r="AR164" s="15"/>
      <c r="AS164" s="7"/>
      <c r="AT164" s="15"/>
      <c r="AU164" s="15"/>
      <c r="AV164" s="7"/>
      <c r="AW164" s="15"/>
      <c r="AX164" s="15"/>
      <c r="AY164" s="214"/>
      <c r="AZ164" s="215"/>
      <c r="BA164" s="10"/>
      <c r="BB164" s="7"/>
      <c r="BC164" s="7"/>
      <c r="BD164" s="7"/>
      <c r="BE164" s="7"/>
    </row>
    <row r="165" spans="29:57" ht="18" customHeight="1" x14ac:dyDescent="0.2">
      <c r="AC165" s="214"/>
      <c r="AM165" s="135"/>
      <c r="AP165" s="11"/>
      <c r="AS165" s="11"/>
      <c r="AV165" s="11"/>
      <c r="AY165" s="11"/>
      <c r="AZ165" s="10"/>
      <c r="BA165" s="10"/>
      <c r="BB165" s="10"/>
      <c r="BC165" s="11"/>
      <c r="BD165" s="299"/>
      <c r="BE165" s="299"/>
    </row>
    <row r="166" spans="29:57" ht="18" customHeight="1" x14ac:dyDescent="0.2">
      <c r="AC166" s="214"/>
      <c r="AM166" s="135"/>
      <c r="AP166" s="11"/>
      <c r="AS166" s="11"/>
      <c r="AV166" s="11"/>
      <c r="AY166" s="11"/>
      <c r="AZ166" s="10"/>
      <c r="BA166" s="10"/>
      <c r="BB166" s="10"/>
      <c r="BC166" s="11"/>
      <c r="BD166" s="299"/>
      <c r="BE166" s="299"/>
    </row>
    <row r="167" spans="29:57" ht="18" customHeight="1" x14ac:dyDescent="0.2">
      <c r="AC167" s="214"/>
      <c r="AM167" s="135"/>
      <c r="AP167" s="11"/>
      <c r="AS167" s="11"/>
      <c r="AV167" s="11"/>
      <c r="AY167" s="11"/>
      <c r="AZ167" s="10"/>
      <c r="BA167" s="10"/>
      <c r="BB167" s="10"/>
      <c r="BC167" s="11"/>
      <c r="BD167" s="299"/>
      <c r="BE167" s="299"/>
    </row>
    <row r="168" spans="29:57" ht="18" customHeight="1" x14ac:dyDescent="0.2">
      <c r="AC168" s="7"/>
      <c r="AG168" s="300"/>
      <c r="AH168" s="300"/>
      <c r="AI168" s="300"/>
      <c r="AJ168" s="300"/>
      <c r="AK168" s="300"/>
      <c r="AL168" s="300"/>
      <c r="AM168" s="135"/>
      <c r="AN168" s="300"/>
      <c r="AO168" s="300"/>
      <c r="AP168" s="241"/>
      <c r="AQ168" s="300"/>
      <c r="AR168" s="300"/>
      <c r="AS168" s="241"/>
      <c r="AT168" s="300"/>
      <c r="AU168" s="300"/>
      <c r="AV168" s="241"/>
      <c r="AW168" s="300"/>
      <c r="AX168" s="300"/>
      <c r="AY168" s="241"/>
      <c r="AZ168" s="300"/>
      <c r="BA168" s="300"/>
      <c r="BB168" s="300"/>
      <c r="BC168" s="241"/>
      <c r="BD168" s="98"/>
      <c r="BE168" s="98"/>
    </row>
    <row r="169" spans="29:57" ht="18" customHeight="1" x14ac:dyDescent="0.2">
      <c r="AC169" s="212"/>
      <c r="AD169" s="15"/>
      <c r="AE169" s="23"/>
      <c r="AF169" s="16"/>
      <c r="AG169" s="15"/>
      <c r="AH169" s="15"/>
      <c r="AI169" s="15"/>
      <c r="AJ169" s="15"/>
      <c r="AK169" s="15"/>
      <c r="AL169" s="22"/>
      <c r="AM169" s="213"/>
      <c r="AN169" s="23"/>
      <c r="AO169" s="23"/>
      <c r="AP169" s="7"/>
      <c r="AQ169" s="15"/>
      <c r="AR169" s="15"/>
      <c r="AS169" s="7"/>
      <c r="AT169" s="15"/>
      <c r="AU169" s="15"/>
      <c r="AV169" s="7"/>
      <c r="AW169" s="15"/>
      <c r="AX169" s="15"/>
      <c r="AY169" s="214"/>
      <c r="AZ169" s="215"/>
      <c r="BA169" s="10"/>
      <c r="BB169" s="7"/>
      <c r="BC169" s="7"/>
      <c r="BD169" s="7"/>
      <c r="BE169" s="7"/>
    </row>
    <row r="170" spans="29:57" ht="18" customHeight="1" x14ac:dyDescent="0.2">
      <c r="AC170" s="214"/>
      <c r="AM170" s="135"/>
      <c r="AP170" s="11"/>
      <c r="AS170" s="11"/>
      <c r="AV170" s="11"/>
      <c r="AY170" s="11"/>
      <c r="AZ170" s="10"/>
      <c r="BA170" s="10"/>
      <c r="BB170" s="10"/>
      <c r="BC170" s="11"/>
      <c r="BD170" s="299"/>
      <c r="BE170" s="299"/>
    </row>
    <row r="171" spans="29:57" ht="18" customHeight="1" x14ac:dyDescent="0.2">
      <c r="AC171" s="214"/>
      <c r="AM171" s="135"/>
      <c r="AP171" s="11"/>
      <c r="AS171" s="11"/>
      <c r="AV171" s="11"/>
      <c r="AY171" s="11"/>
      <c r="AZ171" s="10"/>
      <c r="BA171" s="10"/>
      <c r="BB171" s="10"/>
      <c r="BC171" s="11"/>
      <c r="BD171" s="299"/>
      <c r="BE171" s="299"/>
    </row>
    <row r="172" spans="29:57" ht="18" customHeight="1" x14ac:dyDescent="0.2">
      <c r="AC172" s="214"/>
      <c r="AM172" s="135"/>
      <c r="AP172" s="11"/>
      <c r="AS172" s="11"/>
      <c r="AV172" s="11"/>
      <c r="AY172" s="11"/>
      <c r="AZ172" s="10"/>
      <c r="BA172" s="10"/>
      <c r="BB172" s="10"/>
      <c r="BC172" s="11"/>
      <c r="BD172" s="299"/>
      <c r="BE172" s="299"/>
    </row>
    <row r="173" spans="29:57" ht="18" customHeight="1" x14ac:dyDescent="0.2">
      <c r="AC173" s="7"/>
      <c r="AG173" s="300"/>
      <c r="AH173" s="300"/>
      <c r="AI173" s="300"/>
      <c r="AJ173" s="300"/>
      <c r="AK173" s="300"/>
      <c r="AL173" s="300"/>
      <c r="AM173" s="135"/>
      <c r="AN173" s="300"/>
      <c r="AO173" s="300"/>
      <c r="AP173" s="241"/>
      <c r="AQ173" s="300"/>
      <c r="AR173" s="300"/>
      <c r="AS173" s="241"/>
      <c r="AT173" s="300"/>
      <c r="AU173" s="300"/>
      <c r="AV173" s="241"/>
      <c r="AW173" s="300"/>
      <c r="AX173" s="300"/>
      <c r="AY173" s="241"/>
      <c r="AZ173" s="300"/>
      <c r="BA173" s="300"/>
      <c r="BB173" s="300"/>
      <c r="BC173" s="241"/>
      <c r="BD173" s="98"/>
      <c r="BE173" s="98"/>
    </row>
    <row r="174" spans="29:57" ht="18" customHeight="1" x14ac:dyDescent="0.2">
      <c r="AC174" s="212"/>
      <c r="AD174" s="15"/>
      <c r="AE174" s="23"/>
      <c r="AF174" s="16"/>
      <c r="AG174" s="15"/>
      <c r="AH174" s="15"/>
      <c r="AI174" s="15"/>
      <c r="AJ174" s="15"/>
      <c r="AK174" s="15"/>
      <c r="AL174" s="22"/>
      <c r="AM174" s="213"/>
      <c r="AN174" s="23"/>
      <c r="AO174" s="23"/>
      <c r="AP174" s="7"/>
      <c r="AQ174" s="15"/>
      <c r="AR174" s="15"/>
      <c r="AS174" s="7"/>
      <c r="AT174" s="15"/>
      <c r="AU174" s="15"/>
      <c r="AV174" s="7"/>
      <c r="AW174" s="15"/>
      <c r="AX174" s="15"/>
      <c r="AY174" s="214"/>
      <c r="AZ174" s="215"/>
      <c r="BA174" s="10"/>
      <c r="BB174" s="7"/>
      <c r="BC174" s="7"/>
      <c r="BD174" s="7"/>
      <c r="BE174" s="7"/>
    </row>
    <row r="175" spans="29:57" ht="18" customHeight="1" x14ac:dyDescent="0.2">
      <c r="AC175" s="214"/>
      <c r="AM175" s="135"/>
      <c r="AP175" s="11"/>
      <c r="AS175" s="11"/>
      <c r="AV175" s="11"/>
      <c r="AY175" s="11"/>
      <c r="AZ175" s="10"/>
      <c r="BA175" s="10"/>
      <c r="BB175" s="10"/>
      <c r="BC175" s="11"/>
      <c r="BD175" s="299"/>
      <c r="BE175" s="299"/>
    </row>
    <row r="176" spans="29:57" ht="18" customHeight="1" x14ac:dyDescent="0.2">
      <c r="AC176" s="214"/>
      <c r="AM176" s="135"/>
      <c r="AP176" s="11"/>
      <c r="AS176" s="11"/>
      <c r="AV176" s="11"/>
      <c r="AY176" s="11"/>
      <c r="AZ176" s="10"/>
      <c r="BA176" s="10"/>
      <c r="BB176" s="10"/>
      <c r="BC176" s="11"/>
      <c r="BD176" s="299"/>
      <c r="BE176" s="299"/>
    </row>
    <row r="177" spans="29:57" ht="18" customHeight="1" x14ac:dyDescent="0.2">
      <c r="AC177" s="214"/>
      <c r="AM177" s="135"/>
      <c r="AP177" s="11"/>
      <c r="AS177" s="11"/>
      <c r="AV177" s="11"/>
      <c r="AY177" s="11"/>
      <c r="AZ177" s="10"/>
      <c r="BA177" s="10"/>
      <c r="BB177" s="10"/>
      <c r="BC177" s="11"/>
      <c r="BD177" s="299"/>
      <c r="BE177" s="299"/>
    </row>
    <row r="178" spans="29:57" ht="18" customHeight="1" x14ac:dyDescent="0.2">
      <c r="AC178" s="7"/>
      <c r="AG178" s="300"/>
      <c r="AH178" s="300"/>
      <c r="AI178" s="300"/>
      <c r="AJ178" s="300"/>
      <c r="AK178" s="300"/>
      <c r="AL178" s="300"/>
      <c r="AM178" s="135"/>
      <c r="AN178" s="300"/>
      <c r="AO178" s="300"/>
      <c r="AP178" s="241"/>
      <c r="AQ178" s="300"/>
      <c r="AR178" s="300"/>
      <c r="AS178" s="241"/>
      <c r="AT178" s="300"/>
      <c r="AU178" s="300"/>
      <c r="AV178" s="241"/>
      <c r="AW178" s="300"/>
      <c r="AX178" s="300"/>
      <c r="AY178" s="241"/>
      <c r="AZ178" s="300"/>
      <c r="BA178" s="300"/>
      <c r="BB178" s="300"/>
      <c r="BC178" s="241"/>
      <c r="BD178" s="98"/>
      <c r="BE178" s="98"/>
    </row>
    <row r="179" spans="29:57" ht="18" customHeight="1" x14ac:dyDescent="0.2">
      <c r="AC179" s="212"/>
      <c r="AD179" s="15"/>
      <c r="AE179" s="23"/>
      <c r="AF179" s="16"/>
      <c r="AG179" s="15"/>
      <c r="AH179" s="15"/>
      <c r="AI179" s="15"/>
      <c r="AJ179" s="15"/>
      <c r="AK179" s="15"/>
      <c r="AL179" s="22"/>
      <c r="AM179" s="213"/>
      <c r="AN179" s="23"/>
      <c r="AO179" s="23"/>
      <c r="AP179" s="7"/>
      <c r="AQ179" s="15"/>
      <c r="AR179" s="15"/>
      <c r="AS179" s="7"/>
      <c r="AT179" s="15"/>
      <c r="AU179" s="15"/>
      <c r="AV179" s="7"/>
      <c r="AW179" s="15"/>
      <c r="AX179" s="15"/>
      <c r="AY179" s="214"/>
      <c r="AZ179" s="215"/>
      <c r="BA179" s="10"/>
      <c r="BB179" s="7"/>
      <c r="BC179" s="7"/>
      <c r="BD179" s="7"/>
      <c r="BE179" s="7"/>
    </row>
    <row r="180" spans="29:57" ht="18" customHeight="1" x14ac:dyDescent="0.2">
      <c r="AC180" s="214"/>
      <c r="AM180" s="135"/>
      <c r="AP180" s="11"/>
      <c r="AS180" s="11"/>
      <c r="AV180" s="11"/>
      <c r="AY180" s="11"/>
      <c r="AZ180" s="10"/>
      <c r="BA180" s="10"/>
      <c r="BB180" s="10"/>
      <c r="BC180" s="11"/>
      <c r="BD180" s="299"/>
      <c r="BE180" s="299"/>
    </row>
    <row r="181" spans="29:57" ht="18" customHeight="1" x14ac:dyDescent="0.2">
      <c r="AC181" s="214"/>
      <c r="AM181" s="135"/>
      <c r="AP181" s="11"/>
      <c r="AS181" s="11"/>
      <c r="AV181" s="11"/>
      <c r="AY181" s="11"/>
      <c r="AZ181" s="10"/>
      <c r="BA181" s="10"/>
      <c r="BB181" s="10"/>
      <c r="BC181" s="11"/>
      <c r="BD181" s="299"/>
      <c r="BE181" s="299"/>
    </row>
    <row r="182" spans="29:57" ht="18" customHeight="1" x14ac:dyDescent="0.2">
      <c r="AC182" s="214"/>
      <c r="AM182" s="135"/>
      <c r="AP182" s="11"/>
      <c r="AS182" s="11"/>
      <c r="AV182" s="11"/>
      <c r="AY182" s="11"/>
      <c r="AZ182" s="10"/>
      <c r="BA182" s="10"/>
      <c r="BB182" s="10"/>
      <c r="BC182" s="11"/>
      <c r="BD182" s="299"/>
      <c r="BE182" s="299"/>
    </row>
    <row r="183" spans="29:57" ht="18" customHeight="1" x14ac:dyDescent="0.2">
      <c r="AC183" s="7"/>
      <c r="AG183" s="300"/>
      <c r="AH183" s="300"/>
      <c r="AI183" s="300"/>
      <c r="AJ183" s="300"/>
      <c r="AK183" s="300"/>
      <c r="AL183" s="300"/>
      <c r="AM183" s="135"/>
      <c r="AN183" s="300"/>
      <c r="AO183" s="300"/>
      <c r="AP183" s="241"/>
      <c r="AQ183" s="300"/>
      <c r="AR183" s="300"/>
      <c r="AS183" s="241"/>
      <c r="AT183" s="300"/>
      <c r="AU183" s="300"/>
      <c r="AV183" s="241"/>
      <c r="AW183" s="300"/>
      <c r="AX183" s="300"/>
      <c r="AY183" s="241"/>
      <c r="AZ183" s="300"/>
      <c r="BA183" s="300"/>
      <c r="BB183" s="300"/>
      <c r="BC183" s="241"/>
      <c r="BD183" s="98"/>
      <c r="BE183" s="98"/>
    </row>
    <row r="184" spans="29:57" ht="18" customHeight="1" x14ac:dyDescent="0.2">
      <c r="AC184" s="212"/>
      <c r="AD184" s="15"/>
      <c r="AE184" s="23"/>
      <c r="AF184" s="16"/>
      <c r="AG184" s="15"/>
      <c r="AH184" s="15"/>
      <c r="AI184" s="15"/>
      <c r="AJ184" s="15"/>
      <c r="AK184" s="15"/>
      <c r="AL184" s="22"/>
      <c r="AM184" s="213"/>
      <c r="AN184" s="23"/>
      <c r="AO184" s="23"/>
      <c r="AP184" s="7"/>
      <c r="AQ184" s="15"/>
      <c r="AR184" s="15"/>
      <c r="AS184" s="7"/>
      <c r="AT184" s="15"/>
      <c r="AU184" s="15"/>
      <c r="AV184" s="7"/>
      <c r="AW184" s="15"/>
      <c r="AX184" s="15"/>
      <c r="AY184" s="214"/>
      <c r="AZ184" s="215"/>
      <c r="BA184" s="10"/>
      <c r="BB184" s="7"/>
      <c r="BC184" s="7"/>
      <c r="BD184" s="7"/>
      <c r="BE184" s="7"/>
    </row>
    <row r="185" spans="29:57" ht="18" customHeight="1" x14ac:dyDescent="0.2">
      <c r="AC185" s="214"/>
      <c r="AM185" s="135"/>
      <c r="AP185" s="11"/>
      <c r="AS185" s="11"/>
      <c r="AV185" s="11"/>
      <c r="AY185" s="11"/>
      <c r="AZ185" s="10"/>
      <c r="BA185" s="10"/>
      <c r="BB185" s="10"/>
      <c r="BC185" s="11"/>
      <c r="BD185" s="299"/>
      <c r="BE185" s="299"/>
    </row>
    <row r="186" spans="29:57" ht="18" customHeight="1" x14ac:dyDescent="0.2">
      <c r="AC186" s="214"/>
      <c r="AM186" s="135"/>
      <c r="AP186" s="11"/>
      <c r="AS186" s="11"/>
      <c r="AV186" s="11"/>
      <c r="AY186" s="11"/>
      <c r="AZ186" s="10"/>
      <c r="BA186" s="10"/>
      <c r="BB186" s="10"/>
      <c r="BC186" s="11"/>
      <c r="BD186" s="299"/>
      <c r="BE186" s="299"/>
    </row>
    <row r="187" spans="29:57" ht="18" customHeight="1" x14ac:dyDescent="0.2">
      <c r="AC187" s="214"/>
      <c r="AM187" s="135"/>
      <c r="AP187" s="11"/>
      <c r="AS187" s="11"/>
      <c r="AV187" s="11"/>
      <c r="AY187" s="11"/>
      <c r="AZ187" s="10"/>
      <c r="BA187" s="10"/>
      <c r="BB187" s="10"/>
      <c r="BC187" s="11"/>
      <c r="BD187" s="299"/>
      <c r="BE187" s="299"/>
    </row>
    <row r="188" spans="29:57" ht="18" customHeight="1" x14ac:dyDescent="0.2">
      <c r="AC188" s="7"/>
      <c r="AG188" s="300"/>
      <c r="AH188" s="300"/>
      <c r="AI188" s="300"/>
      <c r="AJ188" s="300"/>
      <c r="AK188" s="300"/>
      <c r="AL188" s="300"/>
      <c r="AM188" s="135"/>
      <c r="AN188" s="300"/>
      <c r="AO188" s="300"/>
      <c r="AP188" s="241"/>
      <c r="AQ188" s="300"/>
      <c r="AR188" s="300"/>
      <c r="AS188" s="241"/>
      <c r="AT188" s="300"/>
      <c r="AU188" s="300"/>
      <c r="AV188" s="241"/>
      <c r="AW188" s="300"/>
      <c r="AX188" s="300"/>
      <c r="AY188" s="241"/>
      <c r="AZ188" s="300"/>
      <c r="BA188" s="300"/>
      <c r="BB188" s="300"/>
      <c r="BC188" s="241"/>
      <c r="BD188" s="98"/>
      <c r="BE188" s="98"/>
    </row>
    <row r="189" spans="29:57" ht="18" customHeight="1" x14ac:dyDescent="0.2">
      <c r="AC189" s="212"/>
      <c r="AD189" s="15"/>
      <c r="AE189" s="23"/>
      <c r="AF189" s="16"/>
      <c r="AG189" s="15"/>
      <c r="AH189" s="15"/>
      <c r="AI189" s="15"/>
      <c r="AJ189" s="15"/>
      <c r="AK189" s="15"/>
      <c r="AL189" s="22"/>
      <c r="AM189" s="213"/>
      <c r="AN189" s="23"/>
      <c r="AO189" s="23"/>
      <c r="AP189" s="7"/>
      <c r="AQ189" s="15"/>
      <c r="AR189" s="15"/>
      <c r="AS189" s="7"/>
      <c r="AT189" s="15"/>
      <c r="AU189" s="15"/>
      <c r="AV189" s="7"/>
      <c r="AW189" s="15"/>
      <c r="AX189" s="15"/>
      <c r="AY189" s="214"/>
      <c r="AZ189" s="215"/>
      <c r="BA189" s="10"/>
      <c r="BB189" s="7"/>
      <c r="BC189" s="7"/>
      <c r="BD189" s="7"/>
      <c r="BE189" s="7"/>
    </row>
    <row r="190" spans="29:57" ht="18" customHeight="1" x14ac:dyDescent="0.2">
      <c r="AC190" s="214"/>
      <c r="AM190" s="135"/>
      <c r="AP190" s="11"/>
      <c r="AS190" s="11"/>
      <c r="AV190" s="11"/>
      <c r="AY190" s="11"/>
      <c r="AZ190" s="10"/>
      <c r="BA190" s="10"/>
      <c r="BB190" s="10"/>
      <c r="BC190" s="11"/>
      <c r="BD190" s="299"/>
      <c r="BE190" s="299"/>
    </row>
    <row r="191" spans="29:57" ht="18" customHeight="1" x14ac:dyDescent="0.2">
      <c r="AC191" s="214"/>
      <c r="AM191" s="135"/>
      <c r="AP191" s="11"/>
      <c r="AS191" s="11"/>
      <c r="AV191" s="11"/>
      <c r="AY191" s="11"/>
      <c r="AZ191" s="10"/>
      <c r="BA191" s="10"/>
      <c r="BB191" s="10"/>
      <c r="BC191" s="11"/>
      <c r="BD191" s="299"/>
      <c r="BE191" s="299"/>
    </row>
    <row r="192" spans="29:57" ht="18" customHeight="1" x14ac:dyDescent="0.2">
      <c r="AC192" s="214"/>
      <c r="AM192" s="135"/>
      <c r="AP192" s="11"/>
      <c r="AS192" s="11"/>
      <c r="AV192" s="11"/>
      <c r="AY192" s="11"/>
      <c r="AZ192" s="10"/>
      <c r="BA192" s="10"/>
      <c r="BB192" s="10"/>
      <c r="BC192" s="11"/>
      <c r="BD192" s="299"/>
      <c r="BE192" s="299"/>
    </row>
    <row r="193" spans="29:57" ht="18" customHeight="1" x14ac:dyDescent="0.2">
      <c r="AC193" s="7"/>
      <c r="AG193" s="300"/>
      <c r="AH193" s="300"/>
      <c r="AI193" s="300"/>
      <c r="AJ193" s="300"/>
      <c r="AK193" s="300"/>
      <c r="AL193" s="300"/>
      <c r="AM193" s="135"/>
      <c r="AN193" s="300"/>
      <c r="AO193" s="300"/>
      <c r="AP193" s="241"/>
      <c r="AQ193" s="300"/>
      <c r="AR193" s="300"/>
      <c r="AS193" s="241"/>
      <c r="AT193" s="300"/>
      <c r="AU193" s="300"/>
      <c r="AV193" s="241"/>
      <c r="AW193" s="300"/>
      <c r="AX193" s="300"/>
      <c r="AY193" s="241"/>
      <c r="AZ193" s="300"/>
      <c r="BA193" s="300"/>
      <c r="BB193" s="300"/>
      <c r="BC193" s="241"/>
      <c r="BD193" s="98"/>
      <c r="BE193" s="98"/>
    </row>
    <row r="194" spans="29:57" ht="18" customHeight="1" x14ac:dyDescent="0.2">
      <c r="AC194" s="212"/>
      <c r="AD194" s="15"/>
      <c r="AE194" s="23"/>
      <c r="AF194" s="16"/>
      <c r="AG194" s="15"/>
      <c r="AH194" s="15"/>
      <c r="AI194" s="15"/>
      <c r="AJ194" s="15"/>
      <c r="AK194" s="15"/>
      <c r="AL194" s="22"/>
      <c r="AM194" s="213"/>
      <c r="AN194" s="23"/>
      <c r="AO194" s="23"/>
      <c r="AP194" s="7"/>
      <c r="AQ194" s="15"/>
      <c r="AR194" s="15"/>
      <c r="AS194" s="7"/>
      <c r="AT194" s="15"/>
      <c r="AU194" s="15"/>
      <c r="AV194" s="7"/>
      <c r="AW194" s="15"/>
      <c r="AX194" s="15"/>
      <c r="AY194" s="214"/>
      <c r="AZ194" s="215"/>
      <c r="BA194" s="10"/>
      <c r="BB194" s="7"/>
      <c r="BC194" s="7"/>
      <c r="BD194" s="7"/>
      <c r="BE194" s="7"/>
    </row>
    <row r="195" spans="29:57" ht="18" customHeight="1" x14ac:dyDescent="0.2">
      <c r="AC195" s="214"/>
      <c r="AM195" s="135"/>
      <c r="AP195" s="11"/>
      <c r="AS195" s="11"/>
      <c r="AV195" s="11"/>
      <c r="AY195" s="11"/>
      <c r="AZ195" s="10"/>
      <c r="BA195" s="10"/>
      <c r="BB195" s="10"/>
      <c r="BC195" s="11"/>
      <c r="BD195" s="299"/>
      <c r="BE195" s="299"/>
    </row>
    <row r="196" spans="29:57" ht="18" customHeight="1" x14ac:dyDescent="0.2">
      <c r="AC196" s="214"/>
      <c r="AM196" s="135"/>
      <c r="AP196" s="11"/>
      <c r="AS196" s="11"/>
      <c r="AV196" s="11"/>
      <c r="AY196" s="11"/>
      <c r="AZ196" s="10"/>
      <c r="BA196" s="10"/>
      <c r="BB196" s="10"/>
      <c r="BC196" s="11"/>
      <c r="BD196" s="299"/>
      <c r="BE196" s="299"/>
    </row>
    <row r="197" spans="29:57" ht="18" customHeight="1" x14ac:dyDescent="0.2">
      <c r="AC197" s="214"/>
      <c r="AM197" s="135"/>
      <c r="AP197" s="11"/>
      <c r="AS197" s="11"/>
      <c r="AV197" s="11"/>
      <c r="AY197" s="11"/>
      <c r="AZ197" s="10"/>
      <c r="BA197" s="10"/>
      <c r="BB197" s="10"/>
      <c r="BC197" s="11"/>
      <c r="BD197" s="299"/>
      <c r="BE197" s="299"/>
    </row>
    <row r="198" spans="29:57" ht="18" customHeight="1" x14ac:dyDescent="0.2">
      <c r="AC198" s="7"/>
      <c r="AG198" s="300"/>
      <c r="AH198" s="300"/>
      <c r="AI198" s="300"/>
      <c r="AJ198" s="300"/>
      <c r="AK198" s="300"/>
      <c r="AL198" s="300"/>
      <c r="AM198" s="135"/>
      <c r="AN198" s="300"/>
      <c r="AO198" s="300"/>
      <c r="AP198" s="241"/>
      <c r="AQ198" s="300"/>
      <c r="AR198" s="300"/>
      <c r="AS198" s="241"/>
      <c r="AT198" s="300"/>
      <c r="AU198" s="300"/>
      <c r="AV198" s="241"/>
      <c r="AW198" s="300"/>
      <c r="AX198" s="300"/>
      <c r="AY198" s="241"/>
      <c r="AZ198" s="300"/>
      <c r="BA198" s="300"/>
      <c r="BB198" s="300"/>
      <c r="BC198" s="241"/>
      <c r="BD198" s="98"/>
      <c r="BE198" s="98"/>
    </row>
    <row r="199" spans="29:57" ht="18" customHeight="1" x14ac:dyDescent="0.2">
      <c r="AC199" s="212"/>
      <c r="AD199" s="15"/>
      <c r="AE199" s="23"/>
      <c r="AF199" s="16"/>
      <c r="AG199" s="15"/>
      <c r="AH199" s="15"/>
      <c r="AI199" s="15"/>
      <c r="AJ199" s="15"/>
      <c r="AK199" s="15"/>
      <c r="AL199" s="22"/>
      <c r="AM199" s="213"/>
      <c r="AN199" s="23"/>
      <c r="AO199" s="23"/>
      <c r="AP199" s="7"/>
      <c r="AQ199" s="15"/>
      <c r="AR199" s="15"/>
      <c r="AS199" s="7"/>
      <c r="AT199" s="15"/>
      <c r="AU199" s="15"/>
      <c r="AV199" s="7"/>
      <c r="AW199" s="15"/>
      <c r="AX199" s="15"/>
      <c r="AY199" s="214"/>
      <c r="AZ199" s="215"/>
      <c r="BA199" s="10"/>
      <c r="BB199" s="7"/>
      <c r="BC199" s="7"/>
      <c r="BD199" s="7"/>
      <c r="BE199" s="7"/>
    </row>
    <row r="200" spans="29:57" ht="18" customHeight="1" x14ac:dyDescent="0.2">
      <c r="AC200" s="214"/>
      <c r="AM200" s="135"/>
      <c r="AP200" s="11"/>
      <c r="AS200" s="11"/>
      <c r="AV200" s="11"/>
      <c r="AY200" s="11"/>
      <c r="AZ200" s="10"/>
      <c r="BA200" s="10"/>
      <c r="BB200" s="10"/>
      <c r="BC200" s="11"/>
      <c r="BD200" s="299"/>
      <c r="BE200" s="299"/>
    </row>
    <row r="201" spans="29:57" ht="18" customHeight="1" x14ac:dyDescent="0.2">
      <c r="AC201" s="214"/>
      <c r="AM201" s="135"/>
      <c r="AP201" s="11"/>
      <c r="AS201" s="11"/>
      <c r="AV201" s="11"/>
      <c r="AY201" s="11"/>
      <c r="AZ201" s="10"/>
      <c r="BA201" s="10"/>
      <c r="BB201" s="10"/>
      <c r="BC201" s="11"/>
      <c r="BD201" s="299"/>
      <c r="BE201" s="299"/>
    </row>
    <row r="202" spans="29:57" ht="18" customHeight="1" x14ac:dyDescent="0.2">
      <c r="AC202" s="214"/>
      <c r="AM202" s="135"/>
      <c r="AP202" s="11"/>
      <c r="AS202" s="11"/>
      <c r="AV202" s="11"/>
      <c r="AY202" s="11"/>
      <c r="AZ202" s="10"/>
      <c r="BA202" s="10"/>
      <c r="BB202" s="10"/>
      <c r="BC202" s="11"/>
      <c r="BD202" s="299"/>
      <c r="BE202" s="299"/>
    </row>
    <row r="203" spans="29:57" ht="18" customHeight="1" x14ac:dyDescent="0.2">
      <c r="AC203" s="7"/>
      <c r="AG203" s="300"/>
      <c r="AH203" s="300"/>
      <c r="AI203" s="300"/>
      <c r="AJ203" s="300"/>
      <c r="AK203" s="300"/>
      <c r="AL203" s="300"/>
      <c r="AM203" s="135"/>
      <c r="AN203" s="300"/>
      <c r="AO203" s="300"/>
      <c r="AP203" s="241"/>
      <c r="AQ203" s="300"/>
      <c r="AR203" s="300"/>
      <c r="AS203" s="241"/>
      <c r="AT203" s="300"/>
      <c r="AU203" s="300"/>
      <c r="AV203" s="241"/>
      <c r="AW203" s="300"/>
      <c r="AX203" s="300"/>
      <c r="AY203" s="241"/>
      <c r="AZ203" s="300"/>
      <c r="BA203" s="300"/>
      <c r="BB203" s="300"/>
      <c r="BC203" s="241"/>
      <c r="BD203" s="98"/>
      <c r="BE203" s="98"/>
    </row>
    <row r="204" spans="29:57" ht="18" customHeight="1" x14ac:dyDescent="0.2">
      <c r="AC204" s="212"/>
      <c r="AD204" s="15"/>
      <c r="AE204" s="23"/>
      <c r="AF204" s="16"/>
      <c r="AG204" s="15"/>
      <c r="AH204" s="15"/>
      <c r="AI204" s="15"/>
      <c r="AJ204" s="15"/>
      <c r="AK204" s="15"/>
      <c r="AL204" s="22"/>
      <c r="AM204" s="213"/>
      <c r="AN204" s="23"/>
      <c r="AO204" s="23"/>
      <c r="AP204" s="7"/>
      <c r="AQ204" s="15"/>
      <c r="AR204" s="15"/>
      <c r="AS204" s="7"/>
      <c r="AT204" s="15"/>
      <c r="AU204" s="15"/>
      <c r="AV204" s="7"/>
      <c r="AW204" s="15"/>
      <c r="AX204" s="15"/>
      <c r="AY204" s="214"/>
      <c r="AZ204" s="215"/>
      <c r="BA204" s="10"/>
      <c r="BB204" s="7"/>
      <c r="BC204" s="7"/>
      <c r="BD204" s="7"/>
      <c r="BE204" s="7"/>
    </row>
    <row r="205" spans="29:57" ht="18" customHeight="1" x14ac:dyDescent="0.2">
      <c r="AC205" s="214"/>
      <c r="AM205" s="135"/>
      <c r="AP205" s="11"/>
      <c r="AS205" s="11"/>
      <c r="AV205" s="11"/>
      <c r="AY205" s="11"/>
      <c r="AZ205" s="10"/>
      <c r="BA205" s="10"/>
      <c r="BB205" s="10"/>
      <c r="BC205" s="11"/>
      <c r="BD205" s="299"/>
      <c r="BE205" s="299"/>
    </row>
    <row r="206" spans="29:57" ht="18" customHeight="1" x14ac:dyDescent="0.2">
      <c r="AC206" s="214"/>
      <c r="AM206" s="135"/>
      <c r="AP206" s="11"/>
      <c r="AS206" s="11"/>
      <c r="AV206" s="11"/>
      <c r="AY206" s="11"/>
      <c r="AZ206" s="10"/>
      <c r="BA206" s="10"/>
      <c r="BB206" s="10"/>
      <c r="BC206" s="11"/>
      <c r="BD206" s="299"/>
      <c r="BE206" s="299"/>
    </row>
    <row r="207" spans="29:57" ht="18" customHeight="1" x14ac:dyDescent="0.2">
      <c r="AC207" s="214"/>
      <c r="AM207" s="135"/>
      <c r="AP207" s="11"/>
      <c r="AS207" s="11"/>
      <c r="AV207" s="11"/>
      <c r="AY207" s="11"/>
      <c r="AZ207" s="10"/>
      <c r="BA207" s="10"/>
      <c r="BB207" s="10"/>
      <c r="BC207" s="11"/>
      <c r="BD207" s="299"/>
      <c r="BE207" s="299"/>
    </row>
    <row r="208" spans="29:57" ht="18" customHeight="1" x14ac:dyDescent="0.2">
      <c r="AC208" s="7"/>
      <c r="AG208" s="300"/>
      <c r="AH208" s="300"/>
      <c r="AI208" s="300"/>
      <c r="AJ208" s="300"/>
      <c r="AK208" s="300"/>
      <c r="AL208" s="300"/>
      <c r="AM208" s="135"/>
      <c r="AN208" s="300"/>
      <c r="AO208" s="300"/>
      <c r="AP208" s="241"/>
      <c r="AQ208" s="300"/>
      <c r="AR208" s="300"/>
      <c r="AS208" s="241"/>
      <c r="AT208" s="300"/>
      <c r="AU208" s="300"/>
      <c r="AV208" s="241"/>
      <c r="AW208" s="300"/>
      <c r="AX208" s="300"/>
      <c r="AY208" s="241"/>
      <c r="AZ208" s="300"/>
      <c r="BA208" s="300"/>
      <c r="BB208" s="300"/>
      <c r="BC208" s="241"/>
      <c r="BD208" s="98"/>
      <c r="BE208" s="98"/>
    </row>
    <row r="209" spans="29:57" ht="18" customHeight="1" x14ac:dyDescent="0.2">
      <c r="AC209" s="212"/>
      <c r="AD209" s="15"/>
      <c r="AE209" s="23"/>
      <c r="AF209" s="16"/>
      <c r="AG209" s="15"/>
      <c r="AH209" s="15"/>
      <c r="AI209" s="15"/>
      <c r="AJ209" s="15"/>
      <c r="AK209" s="15"/>
      <c r="AL209" s="22"/>
      <c r="AM209" s="213"/>
      <c r="AN209" s="23"/>
      <c r="AO209" s="23"/>
      <c r="AP209" s="7"/>
      <c r="AQ209" s="15"/>
      <c r="AR209" s="15"/>
      <c r="AS209" s="7"/>
      <c r="AT209" s="15"/>
      <c r="AU209" s="15"/>
      <c r="AV209" s="7"/>
      <c r="AW209" s="15"/>
      <c r="AX209" s="15"/>
      <c r="AY209" s="214"/>
      <c r="AZ209" s="215"/>
      <c r="BA209" s="10"/>
      <c r="BB209" s="7"/>
      <c r="BC209" s="7"/>
      <c r="BD209" s="7"/>
      <c r="BE209" s="7"/>
    </row>
    <row r="210" spans="29:57" ht="18" customHeight="1" x14ac:dyDescent="0.2">
      <c r="AC210" s="214"/>
      <c r="AM210" s="135"/>
      <c r="AP210" s="11"/>
      <c r="AS210" s="11"/>
      <c r="AV210" s="11"/>
      <c r="AY210" s="11"/>
      <c r="AZ210" s="10"/>
      <c r="BA210" s="10"/>
      <c r="BB210" s="10"/>
      <c r="BC210" s="11"/>
      <c r="BD210" s="299"/>
      <c r="BE210" s="299"/>
    </row>
    <row r="211" spans="29:57" ht="18" customHeight="1" x14ac:dyDescent="0.2">
      <c r="AC211" s="214"/>
      <c r="AM211" s="135"/>
      <c r="AP211" s="11"/>
      <c r="AS211" s="11"/>
      <c r="AV211" s="11"/>
      <c r="AY211" s="11"/>
      <c r="AZ211" s="10"/>
      <c r="BA211" s="10"/>
      <c r="BB211" s="10"/>
      <c r="BC211" s="11"/>
      <c r="BD211" s="299"/>
      <c r="BE211" s="299"/>
    </row>
    <row r="212" spans="29:57" ht="18" customHeight="1" x14ac:dyDescent="0.2">
      <c r="AC212" s="214"/>
      <c r="AM212" s="135"/>
      <c r="AP212" s="11"/>
      <c r="AS212" s="11"/>
      <c r="AV212" s="11"/>
      <c r="AY212" s="11"/>
      <c r="AZ212" s="10"/>
      <c r="BA212" s="10"/>
      <c r="BB212" s="10"/>
      <c r="BC212" s="11"/>
      <c r="BD212" s="299"/>
      <c r="BE212" s="299"/>
    </row>
    <row r="213" spans="29:57" ht="18" customHeight="1" x14ac:dyDescent="0.2">
      <c r="AC213" s="7"/>
      <c r="AG213" s="300"/>
      <c r="AH213" s="300"/>
      <c r="AI213" s="300"/>
      <c r="AJ213" s="300"/>
      <c r="AK213" s="300"/>
      <c r="AL213" s="300"/>
      <c r="AM213" s="135"/>
      <c r="AN213" s="300"/>
      <c r="AO213" s="300"/>
      <c r="AP213" s="241"/>
      <c r="AQ213" s="300"/>
      <c r="AR213" s="300"/>
      <c r="AS213" s="241"/>
      <c r="AT213" s="300"/>
      <c r="AU213" s="300"/>
      <c r="AV213" s="241"/>
      <c r="AW213" s="300"/>
      <c r="AX213" s="300"/>
      <c r="AY213" s="241"/>
      <c r="AZ213" s="300"/>
      <c r="BA213" s="300"/>
      <c r="BB213" s="300"/>
      <c r="BC213" s="241"/>
      <c r="BD213" s="98"/>
      <c r="BE213" s="98"/>
    </row>
  </sheetData>
  <protectedRanges>
    <protectedRange sqref="D3:D6" name="Range1_1_1_2"/>
    <protectedRange sqref="B3:C6" name="Range1_1_2_1"/>
    <protectedRange sqref="D7:D22" name="Range1_2_1"/>
    <protectedRange sqref="B7:C22" name="Range1_1_1_1_1"/>
    <protectedRange sqref="E9:K17 E20:K22 G18:K19" name="Range1_2_3_1"/>
    <protectedRange sqref="E3:K6 F7:K7" name="Range1_4_1"/>
    <protectedRange sqref="AD4:AL6 AD9:AL11 AD14:AL16 AD19:AL21 AD24:AL26 AD29:AL31 AD34:AL36 AD39:AL41 AD44:AL46 AD49:AL51 AD54:AL56 AD59:AL61 AD64:AL66 AD69:AL71 AD79:AL81 AD84:AL86 AD89:AL91 AD99:AL101 AD74:AL76 AD94:AL96 AD110:AL112 AD115:AL117 AD120:AL122 AD125:AL127 AD130:AL132 AD135:AL137 AD140:AL142 AD145:AL147 AD150:AL152 AD155:AL157 AD160:AL162 AD165:AL167 AD170:AL172 AD175:AL177 AD180:AL182 AD185:AL187 AD190:AL192 AD195:AL197 AD200:AL202 AD205:AL207 AD210:AL212 AD104:AL106" name="Range2_12_3_1"/>
    <protectedRange sqref="AN4:AO6 AN9:AO11 AN14:AO16 AN19:AO21 AN24:AO26 AN29:AO31 AN34:AO36 AN39:AO41 AN44:AO46 AN49:AO51 AN54:AO56 AN59:AO61 AN64:AO66 AN69:AO71 AN74:AO76 AN79:AO81 AN84:AO86 AN89:AO91 AN94:AO96 AN99:AO101 AN110:AO112 AN115:AO117 AN120:AO122 AN125:AO127 AN130:AO132 AN135:AO137 AN140:AO142 AN145:AO147 AN150:AO152 AN155:AO157 AN160:AO162 AN165:AO167 AN170:AO172 AN175:AO177 AN180:AO182 AN185:AO187 AN190:AO192 AN195:AO197 AN200:AO202 AN205:AO207 AN210:AO212 AN104:AO106" name="Range3_12_3_1"/>
    <protectedRange sqref="AQ4:AR6 AQ9:AR11 AQ14:AR16 AQ19:AR21 AQ24:AR26 AQ29:AR31 AQ34:AR36 AQ39:AR41 AQ44:AR46 AQ49:AR51 AQ54:AR56 AQ59:AR61 AQ64:AR66 AQ69:AR71 AQ74:AR76 AQ79:AR81 AQ84:AR86 AQ89:AR91 AQ94:AR96 AQ99:AR101 AQ110:AR112 AQ115:AR117 AQ120:AR122 AQ125:AR127 AQ130:AR132 AQ135:AR137 AQ140:AR142 AQ145:AR147 AQ150:AR152 AQ155:AR157 AQ160:AR162 AQ165:AR167 AQ170:AR172 AQ175:AR177 AQ180:AR182 AQ185:AR187 AQ190:AR192 AQ195:AR197 AQ200:AR202 AQ205:AR207 AQ210:AR212 AQ104:AR106" name="Range4_12_3_1"/>
    <protectedRange sqref="AT4:AU6 AT9:AU11 AT14:AU16 AT19:AU21 AT24:AU26 AT29:AU31 AT34:AU36 AT39:AU41 AT44:AU46 AT49:AU51 AT54:AU56 AT59:AU61 AT64:AU66 AT69:AU71 AT74:AU76 AT79:AU81 AT84:AU86 AT89:AU91 AT94:AU96 AT99:AU101 AT110:AU112 AT115:AU117 AT120:AU122 AT125:AU127 AT130:AU132 AT135:AU137 AT140:AU142 AT145:AU147 AT150:AU152 AT155:AU157 AT160:AU162 AT165:AU167 AT170:AU172 AT175:AU177 AT180:AU182 AT185:AU187 AT190:AU192 AT195:AU197 AT200:AU202 AT205:AU207 AT210:AU212 AT104:AU106" name="Range5_12_3_1"/>
    <protectedRange sqref="AW4:AX6 AW9:AX11 AW14:AX16 AW19:AX21 AW24:AX26 AW29:AX31 AW34:AX36 AW39:AX41 AW44:AX46 AW49:AX51 AW54:AX56 AW59:AX61 AW64:AX66 AW69:AX71 AW74:AX76 AW79:AX81 AW84:AX86 AW89:AX91 AW94:AX96 AW99:AX101 AW110:AX112 AW115:AX117 AW120:AX122 AW125:AX127 AW130:AX132 AW135:AX137 AW140:AX142 AW145:AX147 AW150:AX152 AW155:AX157 AW160:AX162 AW165:AX167 AW170:AX172 AW175:AX177 AW180:AX182 AW185:AX187 AW190:AX192 AW195:AX197 AW200:AX202 AW205:AX207 AW210:AX212 AW104:AX106" name="Range6_12_3_1"/>
    <protectedRange sqref="E7:E8" name="Range1_4_1_1"/>
    <protectedRange sqref="H8" name="Range1_4_1_2"/>
    <protectedRange sqref="E18:E19" name="Range1_2_3_1_1"/>
    <protectedRange sqref="F18:F19" name="Range1_2_3_1_3"/>
  </protectedRanges>
  <pageMargins left="0.75" right="0.75" top="1" bottom="1" header="0.5" footer="0.5"/>
  <pageSetup orientation="portrait" r:id="rId1"/>
  <headerFooter alignWithMargins="0"/>
  <ignoredErrors>
    <ignoredError sqref="M9" evalErro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CEF77-AD84-48C1-9420-7A15E9244FBC}">
  <sheetPr>
    <tabColor theme="5" tint="0.39997558519241921"/>
  </sheetPr>
  <dimension ref="A1:BH195"/>
  <sheetViews>
    <sheetView zoomScale="90" zoomScaleNormal="90" workbookViewId="0">
      <pane xSplit="2" ySplit="2" topLeftCell="V45" activePane="bottomRight" state="frozen"/>
      <selection pane="topRight" activeCell="C1" sqref="C1"/>
      <selection pane="bottomLeft" activeCell="A3" sqref="A3"/>
      <selection pane="bottomRight" activeCell="AC3" sqref="AC3"/>
    </sheetView>
  </sheetViews>
  <sheetFormatPr defaultColWidth="5.42578125" defaultRowHeight="18" customHeight="1" x14ac:dyDescent="0.2"/>
  <cols>
    <col min="1" max="1" width="4.85546875" style="24" bestFit="1" customWidth="1"/>
    <col min="2" max="3" width="8.7109375" style="105" bestFit="1" customWidth="1"/>
    <col min="4" max="4" width="4.140625" style="113" bestFit="1" customWidth="1"/>
    <col min="5" max="5" width="4.140625" style="113" customWidth="1"/>
    <col min="6" max="6" width="5.85546875" style="19" bestFit="1" customWidth="1"/>
    <col min="7" max="7" width="4.42578125" style="114" bestFit="1" customWidth="1"/>
    <col min="8" max="8" width="4.140625" style="114" bestFit="1" customWidth="1"/>
    <col min="9" max="9" width="24.140625" style="114" bestFit="1" customWidth="1"/>
    <col min="10" max="10" width="13.140625" style="113" bestFit="1" customWidth="1"/>
    <col min="11" max="11" width="8.5703125" style="113" bestFit="1" customWidth="1"/>
    <col min="12" max="12" width="3.85546875" style="113" bestFit="1" customWidth="1"/>
    <col min="13" max="13" width="7.28515625" style="26" bestFit="1" customWidth="1"/>
    <col min="14" max="14" width="4.140625" style="19" bestFit="1" customWidth="1"/>
    <col min="15" max="15" width="7.28515625" style="15" bestFit="1" customWidth="1"/>
    <col min="16" max="16" width="4.140625" style="19" bestFit="1" customWidth="1"/>
    <col min="17" max="17" width="7.28515625" style="15" bestFit="1" customWidth="1"/>
    <col min="18" max="18" width="4.140625" style="19" bestFit="1" customWidth="1"/>
    <col min="19" max="19" width="7.28515625" style="15" bestFit="1" customWidth="1"/>
    <col min="20" max="20" width="4.140625" style="19" bestFit="1" customWidth="1"/>
    <col min="21" max="21" width="7.28515625" style="15" bestFit="1" customWidth="1"/>
    <col min="22" max="23" width="4.140625" style="132" bestFit="1" customWidth="1"/>
    <col min="24" max="24" width="6.85546875" style="132" bestFit="1" customWidth="1"/>
    <col min="25" max="25" width="8.5703125" style="15" bestFit="1" customWidth="1"/>
    <col min="26" max="26" width="6.28515625" style="15" bestFit="1" customWidth="1"/>
    <col min="27" max="27" width="6.140625" style="15" bestFit="1" customWidth="1"/>
    <col min="28" max="28" width="8.85546875" style="15" customWidth="1"/>
    <col min="29" max="29" width="12.42578125" style="15" customWidth="1"/>
    <col min="30" max="30" width="8.7109375" style="105" bestFit="1" customWidth="1"/>
    <col min="31" max="31" width="8.42578125" style="105" bestFit="1" customWidth="1"/>
    <col min="32" max="32" width="4.140625" style="19" bestFit="1" customWidth="1"/>
    <col min="33" max="33" width="4.140625" style="19" customWidth="1"/>
    <col min="34" max="35" width="4.42578125" style="19" bestFit="1" customWidth="1"/>
    <col min="36" max="38" width="4.140625" style="19" bestFit="1" customWidth="1"/>
    <col min="39" max="39" width="7.28515625" style="136" bestFit="1" customWidth="1"/>
    <col min="40" max="41" width="4.140625" style="19" bestFit="1" customWidth="1"/>
    <col min="42" max="42" width="7.28515625" style="26" bestFit="1" customWidth="1"/>
    <col min="43" max="44" width="4.140625" style="19" bestFit="1" customWidth="1"/>
    <col min="45" max="45" width="7.28515625" style="26" bestFit="1" customWidth="1"/>
    <col min="46" max="47" width="4.140625" style="19" bestFit="1" customWidth="1"/>
    <col min="48" max="48" width="7.28515625" style="26" bestFit="1" customWidth="1"/>
    <col min="49" max="50" width="4.140625" style="19" bestFit="1" customWidth="1"/>
    <col min="51" max="51" width="7.28515625" style="26" bestFit="1" customWidth="1"/>
    <col min="52" max="54" width="4.140625" style="19" bestFit="1" customWidth="1"/>
    <col min="55" max="55" width="7.140625" style="24" bestFit="1" customWidth="1"/>
    <col min="56" max="56" width="9.42578125" style="24" bestFit="1" customWidth="1"/>
    <col min="57" max="57" width="8.85546875" style="15" bestFit="1" customWidth="1"/>
    <col min="58" max="58" width="10.7109375" style="15" bestFit="1" customWidth="1"/>
    <col min="59" max="59" width="90.140625" style="15" bestFit="1" customWidth="1"/>
    <col min="60" max="60" width="8.140625" style="15" bestFit="1" customWidth="1"/>
    <col min="61" max="64" width="5.42578125" style="15" customWidth="1"/>
    <col min="65" max="16384" width="5.42578125" style="15"/>
  </cols>
  <sheetData>
    <row r="1" spans="1:60" ht="26.25" hidden="1" customHeight="1" x14ac:dyDescent="0.3">
      <c r="A1" s="49" t="s">
        <v>227</v>
      </c>
      <c r="B1" s="106"/>
      <c r="C1" s="106"/>
      <c r="D1" s="109"/>
      <c r="E1" s="109"/>
      <c r="F1" s="109"/>
      <c r="G1" s="109"/>
      <c r="H1" s="109"/>
      <c r="I1" s="109"/>
      <c r="J1" s="109"/>
      <c r="K1" s="137" t="s">
        <v>228</v>
      </c>
      <c r="L1" s="138"/>
      <c r="M1" s="139"/>
      <c r="N1" s="140"/>
      <c r="O1" s="141"/>
      <c r="P1" s="141"/>
      <c r="Q1" s="208"/>
      <c r="R1" s="209"/>
      <c r="S1" s="208"/>
      <c r="T1" s="109"/>
      <c r="U1" s="48"/>
      <c r="V1" s="109"/>
      <c r="W1" s="109"/>
      <c r="X1" s="109"/>
      <c r="Y1" s="48"/>
      <c r="Z1" s="48"/>
      <c r="AA1" s="206"/>
      <c r="AB1" s="206"/>
      <c r="AC1" s="7" t="s">
        <v>229</v>
      </c>
      <c r="AD1" s="102"/>
      <c r="AE1" s="102"/>
      <c r="AF1" s="10"/>
      <c r="AG1" s="10"/>
      <c r="AH1" s="10"/>
      <c r="AI1" s="10"/>
      <c r="AJ1" s="10"/>
      <c r="AK1" s="10"/>
      <c r="AL1" s="10"/>
      <c r="AM1" s="135"/>
      <c r="AN1" s="10"/>
      <c r="AO1" s="10"/>
      <c r="AP1" s="11"/>
      <c r="AQ1" s="10"/>
      <c r="AR1" s="10"/>
      <c r="AS1" s="11"/>
      <c r="AT1" s="10"/>
      <c r="AU1" s="10"/>
      <c r="AV1" s="11"/>
      <c r="AW1" s="10"/>
      <c r="AX1" s="10"/>
      <c r="AY1" s="11"/>
      <c r="AZ1" s="10"/>
      <c r="BA1" s="10"/>
      <c r="BB1" s="10"/>
      <c r="BC1" s="98"/>
      <c r="BD1" s="98"/>
    </row>
    <row r="2" spans="1:60" s="20" customFormat="1" ht="153.75" customHeight="1" x14ac:dyDescent="0.2">
      <c r="A2" s="175" t="s">
        <v>58</v>
      </c>
      <c r="B2" s="176" t="s">
        <v>230</v>
      </c>
      <c r="C2" s="177" t="s">
        <v>231</v>
      </c>
      <c r="D2" s="112" t="s">
        <v>232</v>
      </c>
      <c r="E2" s="150" t="s">
        <v>233</v>
      </c>
      <c r="F2" s="150" t="s">
        <v>234</v>
      </c>
      <c r="G2" s="150" t="s">
        <v>235</v>
      </c>
      <c r="H2" s="150" t="s">
        <v>236</v>
      </c>
      <c r="I2" s="150" t="s">
        <v>237</v>
      </c>
      <c r="J2" s="150" t="s">
        <v>238</v>
      </c>
      <c r="K2" s="112" t="s">
        <v>239</v>
      </c>
      <c r="L2" s="150" t="s">
        <v>240</v>
      </c>
      <c r="M2" s="178" t="s">
        <v>241</v>
      </c>
      <c r="N2" s="179" t="s">
        <v>242</v>
      </c>
      <c r="O2" s="175" t="s">
        <v>243</v>
      </c>
      <c r="P2" s="179" t="s">
        <v>244</v>
      </c>
      <c r="Q2" s="175" t="s">
        <v>245</v>
      </c>
      <c r="R2" s="179" t="s">
        <v>246</v>
      </c>
      <c r="S2" s="175" t="s">
        <v>247</v>
      </c>
      <c r="T2" s="179" t="s">
        <v>248</v>
      </c>
      <c r="U2" s="175" t="s">
        <v>249</v>
      </c>
      <c r="V2" s="150" t="s">
        <v>250</v>
      </c>
      <c r="W2" s="150" t="s">
        <v>251</v>
      </c>
      <c r="X2" s="175" t="s">
        <v>252</v>
      </c>
      <c r="Y2" s="310" t="s">
        <v>253</v>
      </c>
      <c r="Z2" s="175" t="s">
        <v>254</v>
      </c>
      <c r="AA2" s="175" t="s">
        <v>255</v>
      </c>
      <c r="AB2" s="207"/>
      <c r="AC2" s="175" t="s">
        <v>256</v>
      </c>
      <c r="AD2" s="176" t="s">
        <v>230</v>
      </c>
      <c r="AE2" s="177" t="s">
        <v>231</v>
      </c>
      <c r="AF2" s="112" t="s">
        <v>232</v>
      </c>
      <c r="AG2" s="150" t="s">
        <v>233</v>
      </c>
      <c r="AH2" s="150" t="s">
        <v>234</v>
      </c>
      <c r="AI2" s="150" t="s">
        <v>235</v>
      </c>
      <c r="AJ2" s="150" t="s">
        <v>236</v>
      </c>
      <c r="AK2" s="150" t="s">
        <v>237</v>
      </c>
      <c r="AL2" s="150" t="s">
        <v>238</v>
      </c>
      <c r="AM2" s="178" t="s">
        <v>241</v>
      </c>
      <c r="AN2" s="210" t="s">
        <v>257</v>
      </c>
      <c r="AO2" s="210" t="s">
        <v>258</v>
      </c>
      <c r="AP2" s="175" t="s">
        <v>243</v>
      </c>
      <c r="AQ2" s="210" t="s">
        <v>259</v>
      </c>
      <c r="AR2" s="210" t="s">
        <v>260</v>
      </c>
      <c r="AS2" s="175" t="s">
        <v>245</v>
      </c>
      <c r="AT2" s="210" t="s">
        <v>261</v>
      </c>
      <c r="AU2" s="210" t="s">
        <v>262</v>
      </c>
      <c r="AV2" s="175" t="s">
        <v>247</v>
      </c>
      <c r="AW2" s="210" t="s">
        <v>263</v>
      </c>
      <c r="AX2" s="210" t="s">
        <v>264</v>
      </c>
      <c r="AY2" s="175" t="s">
        <v>249</v>
      </c>
      <c r="AZ2" s="211" t="s">
        <v>265</v>
      </c>
      <c r="BA2" s="175" t="s">
        <v>266</v>
      </c>
      <c r="BB2" s="175" t="s">
        <v>251</v>
      </c>
      <c r="BC2" s="175" t="s">
        <v>252</v>
      </c>
      <c r="BD2" s="175" t="s">
        <v>253</v>
      </c>
      <c r="BE2" s="175" t="s">
        <v>254</v>
      </c>
    </row>
    <row r="3" spans="1:60" ht="15" customHeight="1" x14ac:dyDescent="0.2">
      <c r="A3" s="180">
        <v>21</v>
      </c>
      <c r="B3" s="181">
        <v>46064</v>
      </c>
      <c r="C3" s="181">
        <v>46065</v>
      </c>
      <c r="D3" s="182">
        <v>1</v>
      </c>
      <c r="E3" s="183">
        <f t="shared" ref="E3:F3" si="0">AG7</f>
        <v>509</v>
      </c>
      <c r="F3" s="183">
        <f t="shared" si="0"/>
        <v>281</v>
      </c>
      <c r="G3" s="183">
        <f>AI7</f>
        <v>279</v>
      </c>
      <c r="H3" s="183">
        <f>AJ7</f>
        <v>228</v>
      </c>
      <c r="I3" s="183">
        <f>AK7</f>
        <v>0</v>
      </c>
      <c r="J3" s="183">
        <f>AL7</f>
        <v>2</v>
      </c>
      <c r="K3" s="183">
        <f>BA7</f>
        <v>0</v>
      </c>
      <c r="L3" s="184">
        <f>SUM(H3:K3)</f>
        <v>230</v>
      </c>
      <c r="M3" s="185">
        <f>L3/E3</f>
        <v>0.45186640471512768</v>
      </c>
      <c r="N3" s="186">
        <f>AN7+AO7</f>
        <v>8</v>
      </c>
      <c r="O3" s="187">
        <f t="shared" ref="O3:O23" si="1">N3/G3</f>
        <v>2.8673835125448029E-2</v>
      </c>
      <c r="P3" s="186">
        <f>SUM(AQ7:AR7)</f>
        <v>0</v>
      </c>
      <c r="Q3" s="187">
        <f>P3/G3</f>
        <v>0</v>
      </c>
      <c r="R3" s="186">
        <f>SUM(AT7:AU7)</f>
        <v>1</v>
      </c>
      <c r="S3" s="187">
        <f t="shared" ref="S3:S23" si="2">R3/G3</f>
        <v>3.5842293906810036E-3</v>
      </c>
      <c r="T3" s="186">
        <f>SUM(AW7:AX7)</f>
        <v>0</v>
      </c>
      <c r="U3" s="187">
        <f t="shared" ref="U3:U23" si="3">T3/G3</f>
        <v>0</v>
      </c>
      <c r="V3" s="184">
        <f>AZ7</f>
        <v>9</v>
      </c>
      <c r="W3" s="184">
        <f>BB7</f>
        <v>9</v>
      </c>
      <c r="X3" s="306">
        <f t="shared" ref="X3:X22" si="4">(W3+1)/(G3+1)</f>
        <v>3.5714285714285712E-2</v>
      </c>
      <c r="Y3" s="303" t="s">
        <v>274</v>
      </c>
      <c r="Z3" s="308" t="s">
        <v>268</v>
      </c>
      <c r="AA3" s="188" t="s">
        <v>342</v>
      </c>
      <c r="AB3" s="207"/>
      <c r="AC3" s="212" t="s">
        <v>301</v>
      </c>
      <c r="AD3" s="15"/>
      <c r="AE3" s="23"/>
      <c r="AF3" s="16"/>
      <c r="AG3" s="15"/>
      <c r="AH3" s="15"/>
      <c r="AI3" s="15"/>
      <c r="AJ3" s="15"/>
      <c r="AK3" s="15"/>
      <c r="AL3" s="22"/>
      <c r="AM3" s="213"/>
      <c r="AN3" s="23"/>
      <c r="AO3" s="23"/>
      <c r="AP3" s="7"/>
      <c r="AQ3" s="15"/>
      <c r="AR3" s="15"/>
      <c r="AS3" s="7"/>
      <c r="AT3" s="15"/>
      <c r="AU3" s="15"/>
      <c r="AV3" s="7"/>
      <c r="AW3" s="15"/>
      <c r="AX3" s="15"/>
      <c r="AY3" s="214"/>
      <c r="AZ3" s="215"/>
      <c r="BA3" s="10"/>
      <c r="BB3" s="7"/>
      <c r="BC3" s="7"/>
      <c r="BD3" s="7"/>
      <c r="BE3" s="7"/>
      <c r="BH3" s="17"/>
    </row>
    <row r="4" spans="1:60" ht="15" customHeight="1" x14ac:dyDescent="0.2">
      <c r="A4" s="189">
        <v>22</v>
      </c>
      <c r="B4" s="190">
        <v>46085</v>
      </c>
      <c r="C4" s="190">
        <v>46086</v>
      </c>
      <c r="D4" s="191">
        <v>1</v>
      </c>
      <c r="E4" s="192">
        <f t="shared" ref="E4:J4" si="5">AG12</f>
        <v>252</v>
      </c>
      <c r="F4" s="192">
        <f t="shared" si="5"/>
        <v>252</v>
      </c>
      <c r="G4" s="192">
        <f t="shared" si="5"/>
        <v>251</v>
      </c>
      <c r="H4" s="192">
        <f t="shared" si="5"/>
        <v>1</v>
      </c>
      <c r="I4" s="192">
        <f t="shared" si="5"/>
        <v>0</v>
      </c>
      <c r="J4" s="192">
        <f t="shared" si="5"/>
        <v>1</v>
      </c>
      <c r="K4" s="192">
        <f>BA12</f>
        <v>0</v>
      </c>
      <c r="L4" s="184">
        <f t="shared" ref="L4:L23" si="6">SUM(H4:K4)</f>
        <v>2</v>
      </c>
      <c r="M4" s="193">
        <f>L4/E4</f>
        <v>7.9365079365079361E-3</v>
      </c>
      <c r="N4" s="292">
        <f>AO12+AN12</f>
        <v>26</v>
      </c>
      <c r="O4" s="194">
        <f t="shared" si="1"/>
        <v>0.10358565737051793</v>
      </c>
      <c r="P4" s="184">
        <f>SUM(AQ12:AR12)</f>
        <v>0</v>
      </c>
      <c r="Q4" s="194">
        <f t="shared" ref="Q4:Q23" si="7">P4/G4</f>
        <v>0</v>
      </c>
      <c r="R4" s="184">
        <f>SUM(AT12:AU12)</f>
        <v>0</v>
      </c>
      <c r="S4" s="194">
        <f t="shared" si="2"/>
        <v>0</v>
      </c>
      <c r="T4" s="184">
        <f>SUM(AW12:AX12)</f>
        <v>0</v>
      </c>
      <c r="U4" s="194">
        <f t="shared" si="3"/>
        <v>0</v>
      </c>
      <c r="V4" s="184">
        <f>AZ12</f>
        <v>26</v>
      </c>
      <c r="W4" s="184">
        <f>BB12</f>
        <v>26</v>
      </c>
      <c r="X4" s="301">
        <f t="shared" si="4"/>
        <v>0.10714285714285714</v>
      </c>
      <c r="Y4" s="304" t="s">
        <v>274</v>
      </c>
      <c r="Z4" s="302" t="s">
        <v>268</v>
      </c>
      <c r="AA4" s="195" t="s">
        <v>342</v>
      </c>
      <c r="AB4" s="207"/>
      <c r="AC4" s="216" t="s">
        <v>271</v>
      </c>
      <c r="AD4" s="217"/>
      <c r="AE4" s="217"/>
      <c r="AF4" s="218"/>
      <c r="AG4" s="218"/>
      <c r="AH4" s="219"/>
      <c r="AI4" s="218"/>
      <c r="AJ4" s="218"/>
      <c r="AK4" s="218"/>
      <c r="AL4" s="218"/>
      <c r="AM4" s="220" t="e">
        <f>SUM(AJ4:AL4)/AH4</f>
        <v>#DIV/0!</v>
      </c>
      <c r="AN4" s="218"/>
      <c r="AO4" s="218"/>
      <c r="AP4" s="221" t="e">
        <f>SUM(AN4:AO4)/AI4</f>
        <v>#DIV/0!</v>
      </c>
      <c r="AQ4" s="218"/>
      <c r="AR4" s="218"/>
      <c r="AS4" s="221" t="e">
        <f>(AQ4+AR4)/$AG4</f>
        <v>#DIV/0!</v>
      </c>
      <c r="AT4" s="218"/>
      <c r="AU4" s="218"/>
      <c r="AV4" s="221" t="e">
        <f>(AT4+AU4)/$AG4</f>
        <v>#DIV/0!</v>
      </c>
      <c r="AW4" s="218"/>
      <c r="AX4" s="218"/>
      <c r="AY4" s="221" t="e">
        <f>(AW4+AX4)/$AG4</f>
        <v>#DIV/0!</v>
      </c>
      <c r="AZ4" s="222">
        <f>SUM(AN4,AQ4,AT4,AW4)</f>
        <v>0</v>
      </c>
      <c r="BA4" s="222">
        <f>SUM(AO4,AR4,AU4,AX4)</f>
        <v>0</v>
      </c>
      <c r="BB4" s="222">
        <f>SUM(AZ4:BA4)</f>
        <v>0</v>
      </c>
      <c r="BC4" s="221">
        <f>(BB4+1)/(AI4+1)</f>
        <v>1</v>
      </c>
      <c r="BD4" s="223"/>
      <c r="BE4" s="223"/>
      <c r="BH4" s="17"/>
    </row>
    <row r="5" spans="1:60" ht="15" customHeight="1" x14ac:dyDescent="0.2">
      <c r="A5" s="189">
        <v>23</v>
      </c>
      <c r="B5" s="190">
        <v>46085</v>
      </c>
      <c r="C5" s="190">
        <v>46086</v>
      </c>
      <c r="D5" s="191">
        <v>1</v>
      </c>
      <c r="E5" s="192">
        <f t="shared" ref="E5:J5" si="8">AG17</f>
        <v>253</v>
      </c>
      <c r="F5" s="192">
        <f t="shared" si="8"/>
        <v>253</v>
      </c>
      <c r="G5" s="192">
        <f t="shared" si="8"/>
        <v>253</v>
      </c>
      <c r="H5" s="192">
        <f t="shared" si="8"/>
        <v>0</v>
      </c>
      <c r="I5" s="192">
        <f t="shared" si="8"/>
        <v>0</v>
      </c>
      <c r="J5" s="192">
        <f t="shared" si="8"/>
        <v>0</v>
      </c>
      <c r="K5" s="192">
        <f>BA17</f>
        <v>0</v>
      </c>
      <c r="L5" s="184">
        <f t="shared" si="6"/>
        <v>0</v>
      </c>
      <c r="M5" s="193">
        <f>L5/E5</f>
        <v>0</v>
      </c>
      <c r="N5" s="184">
        <f>AN17+AO17</f>
        <v>19</v>
      </c>
      <c r="O5" s="194">
        <f t="shared" si="1"/>
        <v>7.5098814229249009E-2</v>
      </c>
      <c r="P5" s="184">
        <f>SUM(AQ17:AR17)</f>
        <v>0</v>
      </c>
      <c r="Q5" s="194">
        <f t="shared" si="7"/>
        <v>0</v>
      </c>
      <c r="R5" s="184">
        <f>SUM(AT17:AU17)</f>
        <v>0</v>
      </c>
      <c r="S5" s="194">
        <f t="shared" si="2"/>
        <v>0</v>
      </c>
      <c r="T5" s="184">
        <f>SUM(AW17:AX17)</f>
        <v>0</v>
      </c>
      <c r="U5" s="194">
        <f t="shared" si="3"/>
        <v>0</v>
      </c>
      <c r="V5" s="184">
        <f>AZ17</f>
        <v>19</v>
      </c>
      <c r="W5" s="184">
        <f>AC17</f>
        <v>0</v>
      </c>
      <c r="X5" s="301">
        <f t="shared" si="4"/>
        <v>3.937007874015748E-3</v>
      </c>
      <c r="Y5" s="304" t="s">
        <v>274</v>
      </c>
      <c r="Z5" s="302" t="s">
        <v>268</v>
      </c>
      <c r="AA5" s="195" t="s">
        <v>342</v>
      </c>
      <c r="AB5" s="207"/>
      <c r="AC5" s="224" t="s">
        <v>273</v>
      </c>
      <c r="AD5" s="225">
        <v>46064</v>
      </c>
      <c r="AE5" s="225">
        <v>46065</v>
      </c>
      <c r="AF5" s="226">
        <v>1</v>
      </c>
      <c r="AG5" s="226">
        <v>509</v>
      </c>
      <c r="AH5" s="227">
        <v>281</v>
      </c>
      <c r="AI5" s="226">
        <v>279</v>
      </c>
      <c r="AJ5" s="226">
        <v>228</v>
      </c>
      <c r="AK5" s="226">
        <v>0</v>
      </c>
      <c r="AL5" s="226">
        <v>2</v>
      </c>
      <c r="AM5" s="228">
        <f t="shared" ref="AM5:AM6" si="9">SUM(AJ5:AL5)/AH5</f>
        <v>0.81850533807829184</v>
      </c>
      <c r="AN5" s="226">
        <v>8</v>
      </c>
      <c r="AO5" s="226">
        <v>0</v>
      </c>
      <c r="AP5" s="229">
        <f t="shared" ref="AP5:AP6" si="10">SUM(AN5:AO5)/AI5</f>
        <v>2.8673835125448029E-2</v>
      </c>
      <c r="AQ5" s="226">
        <v>0</v>
      </c>
      <c r="AR5" s="226">
        <v>0</v>
      </c>
      <c r="AS5" s="229">
        <f t="shared" ref="AS5:AS6" si="11">(AQ5+AR5)/$AG5</f>
        <v>0</v>
      </c>
      <c r="AT5" s="226">
        <v>1</v>
      </c>
      <c r="AU5" s="226">
        <v>0</v>
      </c>
      <c r="AV5" s="229">
        <f t="shared" ref="AV5:AV6" si="12">(AT5+AU5)/$AG5</f>
        <v>1.9646365422396855E-3</v>
      </c>
      <c r="AW5" s="226">
        <v>0</v>
      </c>
      <c r="AX5" s="226">
        <v>0</v>
      </c>
      <c r="AY5" s="229">
        <f t="shared" ref="AY5:AY6" si="13">(AW5+AX5)/$AG5</f>
        <v>0</v>
      </c>
      <c r="AZ5" s="230">
        <f t="shared" ref="AZ5:BA6" si="14">SUM(AN5,AQ5,AT5,AW5)</f>
        <v>9</v>
      </c>
      <c r="BA5" s="230">
        <f t="shared" si="14"/>
        <v>0</v>
      </c>
      <c r="BB5" s="230">
        <f t="shared" ref="BB5:BB6" si="15">SUM(AZ5:BA5)</f>
        <v>9</v>
      </c>
      <c r="BC5" s="229">
        <f t="shared" ref="BC5:BC6" si="16">(BB5+1)/(AI5+1)</f>
        <v>3.5714285714285712E-2</v>
      </c>
      <c r="BD5" s="231"/>
      <c r="BE5" s="231"/>
      <c r="BH5" s="17"/>
    </row>
    <row r="6" spans="1:60" ht="15" customHeight="1" x14ac:dyDescent="0.2">
      <c r="A6" s="189">
        <v>24</v>
      </c>
      <c r="B6" s="190">
        <v>46090</v>
      </c>
      <c r="C6" s="190">
        <v>46091</v>
      </c>
      <c r="D6" s="191">
        <v>1</v>
      </c>
      <c r="E6" s="192">
        <f t="shared" ref="E6:J11" si="17">AG22</f>
        <v>266</v>
      </c>
      <c r="F6" s="192">
        <f t="shared" si="17"/>
        <v>265</v>
      </c>
      <c r="G6" s="192">
        <f t="shared" si="17"/>
        <v>264</v>
      </c>
      <c r="H6" s="192">
        <f t="shared" si="17"/>
        <v>0</v>
      </c>
      <c r="I6" s="192">
        <f t="shared" si="17"/>
        <v>0</v>
      </c>
      <c r="J6" s="192">
        <f t="shared" si="17"/>
        <v>0</v>
      </c>
      <c r="K6" s="192">
        <f>BA22</f>
        <v>0</v>
      </c>
      <c r="L6" s="184">
        <f t="shared" si="6"/>
        <v>0</v>
      </c>
      <c r="M6" s="193">
        <f>L6/E6</f>
        <v>0</v>
      </c>
      <c r="N6" s="184">
        <f>AN22+AO22</f>
        <v>19</v>
      </c>
      <c r="O6" s="194">
        <f t="shared" si="1"/>
        <v>7.1969696969696975E-2</v>
      </c>
      <c r="P6" s="184">
        <f>SUM(AQ22:AR22)</f>
        <v>6</v>
      </c>
      <c r="Q6" s="194">
        <f t="shared" si="7"/>
        <v>2.2727272727272728E-2</v>
      </c>
      <c r="R6" s="184">
        <f>SUM(AT22:AU22)</f>
        <v>2</v>
      </c>
      <c r="S6" s="194">
        <f t="shared" si="2"/>
        <v>7.575757575757576E-3</v>
      </c>
      <c r="T6" s="184">
        <f>SUM(AW22:AX22)</f>
        <v>0</v>
      </c>
      <c r="U6" s="194">
        <f t="shared" si="3"/>
        <v>0</v>
      </c>
      <c r="V6" s="184">
        <f>AZ22</f>
        <v>27</v>
      </c>
      <c r="W6" s="184">
        <f>BB22</f>
        <v>27</v>
      </c>
      <c r="X6" s="301">
        <f t="shared" si="4"/>
        <v>0.10566037735849057</v>
      </c>
      <c r="Y6" s="304" t="s">
        <v>274</v>
      </c>
      <c r="Z6" s="302" t="s">
        <v>268</v>
      </c>
      <c r="AA6" s="195" t="s">
        <v>342</v>
      </c>
      <c r="AB6" s="207"/>
      <c r="AC6" s="232" t="s">
        <v>275</v>
      </c>
      <c r="AD6" s="233"/>
      <c r="AE6" s="233"/>
      <c r="AF6" s="234"/>
      <c r="AG6" s="234"/>
      <c r="AH6" s="235"/>
      <c r="AI6" s="234"/>
      <c r="AJ6" s="234"/>
      <c r="AK6" s="234"/>
      <c r="AL6" s="234"/>
      <c r="AM6" s="236" t="e">
        <f t="shared" si="9"/>
        <v>#DIV/0!</v>
      </c>
      <c r="AN6" s="234"/>
      <c r="AO6" s="234"/>
      <c r="AP6" s="237" t="e">
        <f t="shared" si="10"/>
        <v>#DIV/0!</v>
      </c>
      <c r="AQ6" s="234"/>
      <c r="AR6" s="234"/>
      <c r="AS6" s="237" t="e">
        <f t="shared" si="11"/>
        <v>#DIV/0!</v>
      </c>
      <c r="AT6" s="234"/>
      <c r="AU6" s="234"/>
      <c r="AV6" s="237" t="e">
        <f t="shared" si="12"/>
        <v>#DIV/0!</v>
      </c>
      <c r="AW6" s="234"/>
      <c r="AX6" s="234"/>
      <c r="AY6" s="237" t="e">
        <f t="shared" si="13"/>
        <v>#DIV/0!</v>
      </c>
      <c r="AZ6" s="238">
        <f t="shared" si="14"/>
        <v>0</v>
      </c>
      <c r="BA6" s="238">
        <f t="shared" si="14"/>
        <v>0</v>
      </c>
      <c r="BB6" s="238">
        <f t="shared" si="15"/>
        <v>0</v>
      </c>
      <c r="BC6" s="237">
        <f t="shared" si="16"/>
        <v>1</v>
      </c>
      <c r="BD6" s="239"/>
      <c r="BE6" s="239"/>
      <c r="BH6" s="17"/>
    </row>
    <row r="7" spans="1:60" ht="15" customHeight="1" x14ac:dyDescent="0.2">
      <c r="A7" s="189">
        <v>25</v>
      </c>
      <c r="B7" s="190">
        <v>46090</v>
      </c>
      <c r="C7" s="190">
        <v>46091</v>
      </c>
      <c r="D7" s="196">
        <v>1</v>
      </c>
      <c r="E7" s="192">
        <f t="shared" ref="E7:J7" si="18">AG27</f>
        <v>252</v>
      </c>
      <c r="F7" s="192">
        <f t="shared" si="18"/>
        <v>251</v>
      </c>
      <c r="G7" s="192">
        <f t="shared" si="18"/>
        <v>251</v>
      </c>
      <c r="H7" s="192">
        <f t="shared" si="17"/>
        <v>0</v>
      </c>
      <c r="I7" s="192">
        <f t="shared" si="18"/>
        <v>0</v>
      </c>
      <c r="J7" s="192">
        <f t="shared" si="18"/>
        <v>0</v>
      </c>
      <c r="K7" s="192">
        <f>BA27</f>
        <v>0</v>
      </c>
      <c r="L7" s="184">
        <f t="shared" si="6"/>
        <v>0</v>
      </c>
      <c r="M7" s="193">
        <f t="shared" ref="M7:M23" si="19">L7/E7</f>
        <v>0</v>
      </c>
      <c r="N7" s="184">
        <f>AN27+AO27</f>
        <v>18</v>
      </c>
      <c r="O7" s="194">
        <f t="shared" si="1"/>
        <v>7.1713147410358571E-2</v>
      </c>
      <c r="P7" s="184">
        <f>SUM(AQ27:AR27)</f>
        <v>4</v>
      </c>
      <c r="Q7" s="194">
        <f t="shared" si="7"/>
        <v>1.5936254980079681E-2</v>
      </c>
      <c r="R7" s="184">
        <f>SUM(AT27:AU27)</f>
        <v>4</v>
      </c>
      <c r="S7" s="194">
        <f t="shared" si="2"/>
        <v>1.5936254980079681E-2</v>
      </c>
      <c r="T7" s="184">
        <f>SUM(AW27:AX27)</f>
        <v>0</v>
      </c>
      <c r="U7" s="194">
        <f t="shared" si="3"/>
        <v>0</v>
      </c>
      <c r="V7" s="184">
        <f>AZ27</f>
        <v>26</v>
      </c>
      <c r="W7" s="184">
        <f>BB27</f>
        <v>26</v>
      </c>
      <c r="X7" s="301">
        <f t="shared" si="4"/>
        <v>0.10714285714285714</v>
      </c>
      <c r="Y7" s="304" t="s">
        <v>274</v>
      </c>
      <c r="Z7" s="302" t="s">
        <v>268</v>
      </c>
      <c r="AA7" s="195" t="s">
        <v>342</v>
      </c>
      <c r="AB7" s="207"/>
      <c r="AC7" s="7"/>
      <c r="AG7" s="240">
        <f>SUM(AG4:AG6)</f>
        <v>509</v>
      </c>
      <c r="AH7" s="240">
        <f>SUM(AH4:AH6)</f>
        <v>281</v>
      </c>
      <c r="AI7" s="240">
        <f t="shared" ref="AI7:AL7" si="20">SUM(AI4:AI6)</f>
        <v>279</v>
      </c>
      <c r="AJ7" s="240">
        <f t="shared" si="20"/>
        <v>228</v>
      </c>
      <c r="AK7" s="240">
        <f t="shared" si="20"/>
        <v>0</v>
      </c>
      <c r="AL7" s="240">
        <f t="shared" si="20"/>
        <v>2</v>
      </c>
      <c r="AM7" s="135"/>
      <c r="AN7" s="240">
        <f>SUM(AN4:AN6)</f>
        <v>8</v>
      </c>
      <c r="AO7" s="240">
        <f>SUM(AO4:AO6)</f>
        <v>0</v>
      </c>
      <c r="AP7" s="241"/>
      <c r="AQ7" s="240">
        <f>SUM(AQ4:AQ6)</f>
        <v>0</v>
      </c>
      <c r="AR7" s="240">
        <f>SUM(AR4:AR6)</f>
        <v>0</v>
      </c>
      <c r="AS7" s="241">
        <f ca="1">SUM(AS7:AT7)</f>
        <v>0</v>
      </c>
      <c r="AT7" s="240">
        <f>SUM(AT4:AT6)</f>
        <v>1</v>
      </c>
      <c r="AU7" s="240">
        <f>SUM(AU4:AU6)</f>
        <v>0</v>
      </c>
      <c r="AV7" s="241"/>
      <c r="AW7" s="240">
        <f>SUM(AW4:AW6)</f>
        <v>0</v>
      </c>
      <c r="AX7" s="240">
        <f>SUM(AX4:AX6)</f>
        <v>0</v>
      </c>
      <c r="AY7" s="241"/>
      <c r="AZ7" s="240">
        <f>SUM(AZ4:AZ6)</f>
        <v>9</v>
      </c>
      <c r="BA7" s="240">
        <f>SUM(BA4:BA6)</f>
        <v>0</v>
      </c>
      <c r="BB7" s="240">
        <f>SUM(AZ7:BA7)</f>
        <v>9</v>
      </c>
      <c r="BC7" s="242">
        <f>(BB7+1)/(AI7+1)</f>
        <v>3.5714285714285712E-2</v>
      </c>
      <c r="BD7" s="98"/>
      <c r="BE7" s="98"/>
      <c r="BH7" s="17"/>
    </row>
    <row r="8" spans="1:60" ht="12.75" x14ac:dyDescent="0.2">
      <c r="A8" s="189">
        <v>26</v>
      </c>
      <c r="B8" s="190">
        <v>46093</v>
      </c>
      <c r="C8" s="190">
        <v>46094</v>
      </c>
      <c r="D8" s="196">
        <v>1</v>
      </c>
      <c r="E8" s="192">
        <v>261</v>
      </c>
      <c r="F8" s="184">
        <v>261</v>
      </c>
      <c r="G8" s="184">
        <v>260</v>
      </c>
      <c r="H8" s="192">
        <f t="shared" si="17"/>
        <v>0</v>
      </c>
      <c r="I8" s="184">
        <f t="shared" ref="I8" si="21">AK32</f>
        <v>0</v>
      </c>
      <c r="J8" s="184">
        <v>1</v>
      </c>
      <c r="K8" s="184">
        <f>BA32</f>
        <v>0</v>
      </c>
      <c r="L8" s="184">
        <f t="shared" si="6"/>
        <v>1</v>
      </c>
      <c r="M8" s="193">
        <f t="shared" si="19"/>
        <v>3.8314176245210726E-3</v>
      </c>
      <c r="N8" s="184">
        <f>AN32+AO32</f>
        <v>15</v>
      </c>
      <c r="O8" s="194">
        <f t="shared" si="1"/>
        <v>5.7692307692307696E-2</v>
      </c>
      <c r="P8" s="184">
        <f>SUM(AQ32:AR32)</f>
        <v>2</v>
      </c>
      <c r="Q8" s="194">
        <f t="shared" si="7"/>
        <v>7.6923076923076927E-3</v>
      </c>
      <c r="R8" s="184">
        <f>SUM(AT32:AU32)</f>
        <v>0</v>
      </c>
      <c r="S8" s="194">
        <f t="shared" si="2"/>
        <v>0</v>
      </c>
      <c r="T8" s="184">
        <f>SUM(AW32:AX32)</f>
        <v>0</v>
      </c>
      <c r="U8" s="194">
        <f t="shared" si="3"/>
        <v>0</v>
      </c>
      <c r="V8" s="184">
        <f>AZ32</f>
        <v>17</v>
      </c>
      <c r="W8" s="184">
        <f>BB32</f>
        <v>17</v>
      </c>
      <c r="X8" s="301">
        <f t="shared" si="4"/>
        <v>6.8965517241379309E-2</v>
      </c>
      <c r="Y8" s="304" t="s">
        <v>274</v>
      </c>
      <c r="Z8" s="302" t="s">
        <v>268</v>
      </c>
      <c r="AA8" s="195" t="s">
        <v>342</v>
      </c>
      <c r="AB8" s="207"/>
      <c r="AC8" s="212" t="s">
        <v>302</v>
      </c>
      <c r="AD8" s="15"/>
      <c r="AE8" s="23"/>
      <c r="AF8" s="16"/>
      <c r="AG8" s="15"/>
      <c r="AH8" s="15"/>
      <c r="AI8" s="15"/>
      <c r="AJ8" s="15"/>
      <c r="AK8" s="15"/>
      <c r="AL8" s="22"/>
      <c r="AM8" s="213"/>
      <c r="AN8" s="23"/>
      <c r="AO8" s="23"/>
      <c r="AP8" s="7"/>
      <c r="AQ8" s="15"/>
      <c r="AR8" s="15"/>
      <c r="AS8" s="7"/>
      <c r="AT8" s="15"/>
      <c r="AU8" s="15"/>
      <c r="AV8" s="7"/>
      <c r="AW8" s="15"/>
      <c r="AX8" s="15"/>
      <c r="AY8" s="214"/>
      <c r="AZ8" s="215"/>
      <c r="BA8" s="10"/>
      <c r="BB8" s="7"/>
      <c r="BC8" s="7"/>
      <c r="BD8" s="7"/>
      <c r="BE8" s="7"/>
      <c r="BH8" s="17"/>
    </row>
    <row r="9" spans="1:60" ht="12.75" x14ac:dyDescent="0.2">
      <c r="A9" s="189">
        <v>27</v>
      </c>
      <c r="B9" s="190">
        <v>46093</v>
      </c>
      <c r="C9" s="190">
        <v>46094</v>
      </c>
      <c r="D9" s="196">
        <v>1</v>
      </c>
      <c r="E9" s="192">
        <v>237</v>
      </c>
      <c r="F9" s="197">
        <v>237</v>
      </c>
      <c r="G9" s="197">
        <v>237</v>
      </c>
      <c r="H9" s="192">
        <f t="shared" si="17"/>
        <v>0</v>
      </c>
      <c r="I9" s="197">
        <f t="shared" ref="I9:J9" si="22">AK37</f>
        <v>0</v>
      </c>
      <c r="J9" s="197">
        <f t="shared" si="22"/>
        <v>0</v>
      </c>
      <c r="K9" s="197">
        <f>BA37</f>
        <v>0</v>
      </c>
      <c r="L9" s="184">
        <f t="shared" si="6"/>
        <v>0</v>
      </c>
      <c r="M9" s="193">
        <f t="shared" si="19"/>
        <v>0</v>
      </c>
      <c r="N9" s="184">
        <f>AN37+AO37</f>
        <v>24</v>
      </c>
      <c r="O9" s="194">
        <f t="shared" si="1"/>
        <v>0.10126582278481013</v>
      </c>
      <c r="P9" s="184">
        <f>SUM(AQ37:AR37)</f>
        <v>11</v>
      </c>
      <c r="Q9" s="194">
        <f t="shared" si="7"/>
        <v>4.6413502109704644E-2</v>
      </c>
      <c r="R9" s="184">
        <f>SUM(AT37:AU37)</f>
        <v>0</v>
      </c>
      <c r="S9" s="194">
        <f t="shared" si="2"/>
        <v>0</v>
      </c>
      <c r="T9" s="184">
        <f>SUM(AW37:AX37)</f>
        <v>0</v>
      </c>
      <c r="U9" s="194">
        <f t="shared" si="3"/>
        <v>0</v>
      </c>
      <c r="V9" s="184">
        <f>AZ37</f>
        <v>35</v>
      </c>
      <c r="W9" s="184">
        <f>BB37</f>
        <v>35</v>
      </c>
      <c r="X9" s="301">
        <f t="shared" si="4"/>
        <v>0.15126050420168066</v>
      </c>
      <c r="Y9" s="304" t="s">
        <v>274</v>
      </c>
      <c r="Z9" s="302" t="s">
        <v>268</v>
      </c>
      <c r="AA9" s="195" t="s">
        <v>342</v>
      </c>
      <c r="AB9" s="207"/>
      <c r="AC9" s="216" t="s">
        <v>271</v>
      </c>
      <c r="AD9" s="217"/>
      <c r="AE9" s="217"/>
      <c r="AF9" s="218"/>
      <c r="AG9" s="218"/>
      <c r="AH9" s="219"/>
      <c r="AI9" s="218"/>
      <c r="AJ9" s="218"/>
      <c r="AK9" s="218"/>
      <c r="AL9" s="218"/>
      <c r="AM9" s="220" t="e">
        <f>SUM(AJ9:AL9)/AH9</f>
        <v>#DIV/0!</v>
      </c>
      <c r="AN9" s="218"/>
      <c r="AO9" s="218"/>
      <c r="AP9" s="221" t="e">
        <f>SUM(AN9:AO9)/AI9</f>
        <v>#DIV/0!</v>
      </c>
      <c r="AQ9" s="218"/>
      <c r="AR9" s="218"/>
      <c r="AS9" s="221" t="e">
        <f>(AQ9+AR9)/$AG9</f>
        <v>#DIV/0!</v>
      </c>
      <c r="AT9" s="218"/>
      <c r="AU9" s="218"/>
      <c r="AV9" s="221" t="e">
        <f>(AT9+AU9)/$AG9</f>
        <v>#DIV/0!</v>
      </c>
      <c r="AW9" s="218"/>
      <c r="AX9" s="218"/>
      <c r="AY9" s="221" t="e">
        <f>(AW9+AX9)/$AG9</f>
        <v>#DIV/0!</v>
      </c>
      <c r="AZ9" s="222">
        <f>SUM(AN9,AQ9,AT9,AW9)</f>
        <v>0</v>
      </c>
      <c r="BA9" s="222">
        <f>SUM(AO9,AR9,AU9,AX9)</f>
        <v>0</v>
      </c>
      <c r="BB9" s="222">
        <f>SUM(AZ9:BA9)</f>
        <v>0</v>
      </c>
      <c r="BC9" s="221">
        <f>(BB9+1)/(AI9+1)</f>
        <v>1</v>
      </c>
      <c r="BD9" s="223"/>
      <c r="BE9" s="223"/>
      <c r="BH9" s="17"/>
    </row>
    <row r="10" spans="1:60" ht="12.75" x14ac:dyDescent="0.2">
      <c r="A10" s="189">
        <v>28</v>
      </c>
      <c r="B10" s="190">
        <v>46097</v>
      </c>
      <c r="C10" s="190">
        <v>46098</v>
      </c>
      <c r="D10" s="196">
        <v>5</v>
      </c>
      <c r="E10" s="197">
        <f t="shared" ref="E10:J10" si="23">AG42</f>
        <v>261</v>
      </c>
      <c r="F10" s="197">
        <f t="shared" si="23"/>
        <v>260</v>
      </c>
      <c r="G10" s="197">
        <f t="shared" si="23"/>
        <v>260</v>
      </c>
      <c r="H10" s="192">
        <f t="shared" si="17"/>
        <v>1</v>
      </c>
      <c r="I10" s="197">
        <f t="shared" si="23"/>
        <v>0</v>
      </c>
      <c r="J10" s="197">
        <f t="shared" si="23"/>
        <v>0</v>
      </c>
      <c r="K10" s="197">
        <f>BA42</f>
        <v>0</v>
      </c>
      <c r="L10" s="184">
        <f t="shared" si="6"/>
        <v>1</v>
      </c>
      <c r="M10" s="193">
        <f t="shared" si="19"/>
        <v>3.8314176245210726E-3</v>
      </c>
      <c r="N10" s="184">
        <f>AN42+AO42</f>
        <v>52</v>
      </c>
      <c r="O10" s="194">
        <f t="shared" si="1"/>
        <v>0.2</v>
      </c>
      <c r="P10" s="184">
        <f>SUM(AQ42:AR42)</f>
        <v>3</v>
      </c>
      <c r="Q10" s="194">
        <f t="shared" si="7"/>
        <v>1.1538461538461539E-2</v>
      </c>
      <c r="R10" s="184">
        <f>SUM(AT42:AU42)</f>
        <v>0</v>
      </c>
      <c r="S10" s="194">
        <f t="shared" si="2"/>
        <v>0</v>
      </c>
      <c r="T10" s="184">
        <f>SUM(AW42:AX42)</f>
        <v>0</v>
      </c>
      <c r="U10" s="194">
        <f t="shared" si="3"/>
        <v>0</v>
      </c>
      <c r="V10" s="184">
        <f>AZ42</f>
        <v>55</v>
      </c>
      <c r="W10" s="184">
        <f>BB42</f>
        <v>55</v>
      </c>
      <c r="X10" s="301">
        <f t="shared" si="4"/>
        <v>0.21455938697318008</v>
      </c>
      <c r="Y10" s="304" t="s">
        <v>274</v>
      </c>
      <c r="Z10" s="302" t="s">
        <v>268</v>
      </c>
      <c r="AA10" s="195" t="s">
        <v>342</v>
      </c>
      <c r="AB10" s="207"/>
      <c r="AC10" s="224" t="s">
        <v>273</v>
      </c>
      <c r="AD10" s="225"/>
      <c r="AE10" s="225"/>
      <c r="AF10" s="226"/>
      <c r="AG10" s="226"/>
      <c r="AH10" s="227"/>
      <c r="AI10" s="226"/>
      <c r="AJ10" s="226"/>
      <c r="AK10" s="226"/>
      <c r="AL10" s="226"/>
      <c r="AM10" s="228" t="e">
        <f t="shared" ref="AM10:AM11" si="24">SUM(AJ10:AL10)/AH10</f>
        <v>#DIV/0!</v>
      </c>
      <c r="AN10" s="226"/>
      <c r="AO10" s="226"/>
      <c r="AP10" s="229" t="e">
        <f t="shared" ref="AP10:AP11" si="25">SUM(AN10:AO10)/AI10</f>
        <v>#DIV/0!</v>
      </c>
      <c r="AQ10" s="226"/>
      <c r="AR10" s="226"/>
      <c r="AS10" s="229" t="e">
        <f t="shared" ref="AS10:AS11" si="26">(AQ10+AR10)/$AG10</f>
        <v>#DIV/0!</v>
      </c>
      <c r="AT10" s="226"/>
      <c r="AU10" s="226"/>
      <c r="AV10" s="229" t="e">
        <f t="shared" ref="AV10:AV11" si="27">(AT10+AU10)/$AG10</f>
        <v>#DIV/0!</v>
      </c>
      <c r="AW10" s="226"/>
      <c r="AX10" s="226"/>
      <c r="AY10" s="229" t="e">
        <f t="shared" ref="AY10:AY11" si="28">(AW10+AX10)/$AG10</f>
        <v>#DIV/0!</v>
      </c>
      <c r="AZ10" s="230">
        <f t="shared" ref="AZ10:BA11" si="29">SUM(AN10,AQ10,AT10,AW10)</f>
        <v>0</v>
      </c>
      <c r="BA10" s="230">
        <f t="shared" si="29"/>
        <v>0</v>
      </c>
      <c r="BB10" s="230">
        <f t="shared" ref="BB10:BB11" si="30">SUM(AZ10:BA10)</f>
        <v>0</v>
      </c>
      <c r="BC10" s="229">
        <f t="shared" ref="BC10:BC11" si="31">(BB10+1)/(AI10+1)</f>
        <v>1</v>
      </c>
      <c r="BD10" s="231"/>
      <c r="BE10" s="231"/>
      <c r="BH10" s="17"/>
    </row>
    <row r="11" spans="1:60" ht="15" customHeight="1" x14ac:dyDescent="0.2">
      <c r="A11" s="189">
        <v>29</v>
      </c>
      <c r="B11" s="190">
        <v>46097</v>
      </c>
      <c r="C11" s="190">
        <v>46098</v>
      </c>
      <c r="D11" s="196">
        <v>5</v>
      </c>
      <c r="E11" s="197">
        <f t="shared" ref="E11:J11" si="32">AG47</f>
        <v>251</v>
      </c>
      <c r="F11" s="197">
        <f t="shared" si="32"/>
        <v>250</v>
      </c>
      <c r="G11" s="197">
        <f t="shared" si="32"/>
        <v>248</v>
      </c>
      <c r="H11" s="192">
        <f t="shared" si="17"/>
        <v>1</v>
      </c>
      <c r="I11" s="197">
        <f t="shared" si="32"/>
        <v>0</v>
      </c>
      <c r="J11" s="197">
        <f t="shared" si="32"/>
        <v>0</v>
      </c>
      <c r="K11" s="197">
        <f>BA47</f>
        <v>0</v>
      </c>
      <c r="L11" s="184">
        <f t="shared" si="6"/>
        <v>1</v>
      </c>
      <c r="M11" s="193">
        <f t="shared" si="19"/>
        <v>3.9840637450199202E-3</v>
      </c>
      <c r="N11" s="184">
        <f>AN47+AO47</f>
        <v>27</v>
      </c>
      <c r="O11" s="194">
        <f t="shared" si="1"/>
        <v>0.10887096774193548</v>
      </c>
      <c r="P11" s="184">
        <f>SUM(AQ47:AR47)</f>
        <v>3</v>
      </c>
      <c r="Q11" s="194">
        <f t="shared" si="7"/>
        <v>1.2096774193548387E-2</v>
      </c>
      <c r="R11" s="184">
        <f>SUM(AT47:AU47)</f>
        <v>0</v>
      </c>
      <c r="S11" s="194">
        <f t="shared" si="2"/>
        <v>0</v>
      </c>
      <c r="T11" s="184">
        <f>SUM(AW47:AX47)</f>
        <v>0</v>
      </c>
      <c r="U11" s="194">
        <f t="shared" si="3"/>
        <v>0</v>
      </c>
      <c r="V11" s="184">
        <f>AZ47</f>
        <v>30</v>
      </c>
      <c r="W11" s="184">
        <f>BB47</f>
        <v>30</v>
      </c>
      <c r="X11" s="301">
        <f t="shared" si="4"/>
        <v>0.12449799196787148</v>
      </c>
      <c r="Y11" s="304" t="s">
        <v>274</v>
      </c>
      <c r="Z11" s="302" t="s">
        <v>268</v>
      </c>
      <c r="AA11" s="195" t="s">
        <v>342</v>
      </c>
      <c r="AB11" s="207"/>
      <c r="AC11" s="232" t="s">
        <v>275</v>
      </c>
      <c r="AD11" s="233">
        <v>46085</v>
      </c>
      <c r="AE11" s="233">
        <v>46086</v>
      </c>
      <c r="AF11" s="234">
        <v>1</v>
      </c>
      <c r="AG11" s="234">
        <v>252</v>
      </c>
      <c r="AH11" s="235">
        <v>252</v>
      </c>
      <c r="AI11" s="234">
        <v>251</v>
      </c>
      <c r="AJ11" s="234">
        <v>1</v>
      </c>
      <c r="AK11" s="234">
        <v>0</v>
      </c>
      <c r="AL11" s="234">
        <v>1</v>
      </c>
      <c r="AM11" s="236">
        <f t="shared" si="24"/>
        <v>7.9365079365079361E-3</v>
      </c>
      <c r="AN11" s="234">
        <v>26</v>
      </c>
      <c r="AO11" s="234">
        <v>0</v>
      </c>
      <c r="AP11" s="237">
        <f t="shared" si="25"/>
        <v>0.10358565737051793</v>
      </c>
      <c r="AQ11" s="234">
        <v>0</v>
      </c>
      <c r="AR11" s="234">
        <v>0</v>
      </c>
      <c r="AS11" s="237">
        <f t="shared" si="26"/>
        <v>0</v>
      </c>
      <c r="AT11" s="234">
        <v>0</v>
      </c>
      <c r="AU11" s="234">
        <v>0</v>
      </c>
      <c r="AV11" s="237">
        <f t="shared" si="27"/>
        <v>0</v>
      </c>
      <c r="AW11" s="234">
        <v>0</v>
      </c>
      <c r="AX11" s="234">
        <v>0</v>
      </c>
      <c r="AY11" s="237">
        <f t="shared" si="28"/>
        <v>0</v>
      </c>
      <c r="AZ11" s="238">
        <f t="shared" si="29"/>
        <v>26</v>
      </c>
      <c r="BA11" s="238">
        <f t="shared" si="29"/>
        <v>0</v>
      </c>
      <c r="BB11" s="238">
        <f t="shared" si="30"/>
        <v>26</v>
      </c>
      <c r="BC11" s="237">
        <f t="shared" si="31"/>
        <v>0.10714285714285714</v>
      </c>
      <c r="BD11" s="239"/>
      <c r="BE11" s="239"/>
      <c r="BH11" s="17"/>
    </row>
    <row r="12" spans="1:60" ht="15" customHeight="1" x14ac:dyDescent="0.2">
      <c r="A12" s="189">
        <v>30</v>
      </c>
      <c r="B12" s="190">
        <v>46100</v>
      </c>
      <c r="C12" s="190">
        <v>46101</v>
      </c>
      <c r="D12" s="196">
        <v>1</v>
      </c>
      <c r="E12" s="197">
        <f t="shared" ref="E12:J12" si="33">AG52</f>
        <v>250</v>
      </c>
      <c r="F12" s="197">
        <f t="shared" si="33"/>
        <v>250</v>
      </c>
      <c r="G12" s="197">
        <f t="shared" si="33"/>
        <v>249</v>
      </c>
      <c r="H12" s="197">
        <f t="shared" si="33"/>
        <v>0</v>
      </c>
      <c r="I12" s="197">
        <f t="shared" si="33"/>
        <v>0</v>
      </c>
      <c r="J12" s="197">
        <f t="shared" si="33"/>
        <v>1</v>
      </c>
      <c r="K12" s="197">
        <f>BA52</f>
        <v>0</v>
      </c>
      <c r="L12" s="184">
        <f t="shared" si="6"/>
        <v>1</v>
      </c>
      <c r="M12" s="193">
        <f t="shared" si="19"/>
        <v>4.0000000000000001E-3</v>
      </c>
      <c r="N12" s="184">
        <f>AN52+AO52</f>
        <v>28</v>
      </c>
      <c r="O12" s="194">
        <f t="shared" si="1"/>
        <v>0.11244979919678715</v>
      </c>
      <c r="P12" s="184">
        <f>SUM(AQ52:AR52)</f>
        <v>1</v>
      </c>
      <c r="Q12" s="194">
        <f t="shared" si="7"/>
        <v>4.0160642570281121E-3</v>
      </c>
      <c r="R12" s="184">
        <f>SUM(AT52:AU52)</f>
        <v>0</v>
      </c>
      <c r="S12" s="194">
        <f t="shared" si="2"/>
        <v>0</v>
      </c>
      <c r="T12" s="184">
        <f>SUM(AW52:AX52)</f>
        <v>1</v>
      </c>
      <c r="U12" s="194">
        <f t="shared" si="3"/>
        <v>4.0160642570281121E-3</v>
      </c>
      <c r="V12" s="184">
        <f>AZ52</f>
        <v>30</v>
      </c>
      <c r="W12" s="184">
        <f>BB52</f>
        <v>30</v>
      </c>
      <c r="X12" s="301">
        <f t="shared" si="4"/>
        <v>0.124</v>
      </c>
      <c r="Y12" s="304" t="s">
        <v>274</v>
      </c>
      <c r="Z12" s="302" t="s">
        <v>268</v>
      </c>
      <c r="AA12" s="195" t="s">
        <v>342</v>
      </c>
      <c r="AB12" s="207"/>
      <c r="AC12" s="7"/>
      <c r="AG12" s="240">
        <f>SUM(AG9:AG11)</f>
        <v>252</v>
      </c>
      <c r="AH12" s="240">
        <f>SUM(AH9:AH11)</f>
        <v>252</v>
      </c>
      <c r="AI12" s="240">
        <f t="shared" ref="AI12:AL12" si="34">SUM(AI9:AI11)</f>
        <v>251</v>
      </c>
      <c r="AJ12" s="240">
        <f t="shared" si="34"/>
        <v>1</v>
      </c>
      <c r="AK12" s="240">
        <f t="shared" si="34"/>
        <v>0</v>
      </c>
      <c r="AL12" s="240">
        <f t="shared" si="34"/>
        <v>1</v>
      </c>
      <c r="AM12" s="135"/>
      <c r="AN12" s="240">
        <f>SUM(AN9:AN11)</f>
        <v>26</v>
      </c>
      <c r="AO12" s="240">
        <f>SUM(AO9:AO11)</f>
        <v>0</v>
      </c>
      <c r="AP12" s="241"/>
      <c r="AQ12" s="240">
        <f>SUM(AQ9:AQ11)</f>
        <v>0</v>
      </c>
      <c r="AR12" s="240">
        <f>SUM(AR9:AR11)</f>
        <v>0</v>
      </c>
      <c r="AS12" s="241"/>
      <c r="AT12" s="240">
        <f>SUM(AT9:AT11)</f>
        <v>0</v>
      </c>
      <c r="AU12" s="240">
        <f>SUM(AU9:AU11)</f>
        <v>0</v>
      </c>
      <c r="AV12" s="241"/>
      <c r="AW12" s="240">
        <f>SUM(AW9:AW11)</f>
        <v>0</v>
      </c>
      <c r="AX12" s="240">
        <f>SUM(AX9:AX11)</f>
        <v>0</v>
      </c>
      <c r="AY12" s="241"/>
      <c r="AZ12" s="240">
        <f>SUM(AZ9:AZ11)</f>
        <v>26</v>
      </c>
      <c r="BA12" s="240">
        <f>SUM(BA9:BA11)</f>
        <v>0</v>
      </c>
      <c r="BB12" s="240">
        <f>SUM(AZ12:BA12)</f>
        <v>26</v>
      </c>
      <c r="BC12" s="242">
        <f>(BB12+1)/(AI12+1)</f>
        <v>0.10714285714285714</v>
      </c>
      <c r="BD12" s="98"/>
      <c r="BE12" s="98"/>
      <c r="BH12" s="17"/>
    </row>
    <row r="13" spans="1:60" ht="15" customHeight="1" x14ac:dyDescent="0.2">
      <c r="A13" s="189">
        <v>31</v>
      </c>
      <c r="B13" s="190">
        <v>46100</v>
      </c>
      <c r="C13" s="190">
        <v>46101</v>
      </c>
      <c r="D13" s="196">
        <v>1</v>
      </c>
      <c r="E13" s="197">
        <f t="shared" ref="E13:J13" si="35">AG57</f>
        <v>247</v>
      </c>
      <c r="F13" s="197">
        <f t="shared" si="35"/>
        <v>240</v>
      </c>
      <c r="G13" s="197">
        <f t="shared" si="35"/>
        <v>239</v>
      </c>
      <c r="H13" s="197">
        <f t="shared" si="35"/>
        <v>0</v>
      </c>
      <c r="I13" s="197">
        <f t="shared" si="35"/>
        <v>5</v>
      </c>
      <c r="J13" s="197">
        <f t="shared" si="35"/>
        <v>1</v>
      </c>
      <c r="K13" s="197">
        <f>BA57</f>
        <v>0</v>
      </c>
      <c r="L13" s="184">
        <f t="shared" si="6"/>
        <v>6</v>
      </c>
      <c r="M13" s="193">
        <f t="shared" si="19"/>
        <v>2.4291497975708502E-2</v>
      </c>
      <c r="N13" s="184">
        <f>AN57+AO57</f>
        <v>26</v>
      </c>
      <c r="O13" s="194">
        <f t="shared" si="1"/>
        <v>0.10878661087866109</v>
      </c>
      <c r="P13" s="184">
        <f>SUM(AQ57:AR57)</f>
        <v>1</v>
      </c>
      <c r="Q13" s="194">
        <f t="shared" si="7"/>
        <v>4.1841004184100415E-3</v>
      </c>
      <c r="R13" s="184">
        <f>SUM(AT57:AU57)</f>
        <v>0</v>
      </c>
      <c r="S13" s="194">
        <f t="shared" si="2"/>
        <v>0</v>
      </c>
      <c r="T13" s="184">
        <f>SUM(AW57:AX57)</f>
        <v>0</v>
      </c>
      <c r="U13" s="194">
        <f t="shared" si="3"/>
        <v>0</v>
      </c>
      <c r="V13" s="184">
        <f>AZ57</f>
        <v>27</v>
      </c>
      <c r="W13" s="184">
        <f>BB57</f>
        <v>27</v>
      </c>
      <c r="X13" s="301">
        <f t="shared" si="4"/>
        <v>0.11666666666666667</v>
      </c>
      <c r="Y13" s="304" t="s">
        <v>274</v>
      </c>
      <c r="Z13" s="302" t="s">
        <v>268</v>
      </c>
      <c r="AA13" s="195" t="s">
        <v>342</v>
      </c>
      <c r="AB13" s="207"/>
      <c r="AC13" s="212" t="s">
        <v>303</v>
      </c>
      <c r="AD13" s="15"/>
      <c r="AE13" s="23"/>
      <c r="AF13" s="16"/>
      <c r="AG13" s="15"/>
      <c r="AH13" s="15"/>
      <c r="AI13" s="15"/>
      <c r="AJ13" s="15"/>
      <c r="AK13" s="15"/>
      <c r="AL13" s="22"/>
      <c r="AM13" s="213"/>
      <c r="AN13" s="23"/>
      <c r="AO13" s="23"/>
      <c r="AP13" s="7"/>
      <c r="AQ13" s="15"/>
      <c r="AR13" s="15"/>
      <c r="AS13" s="7"/>
      <c r="AT13" s="15"/>
      <c r="AU13" s="15"/>
      <c r="AV13" s="7"/>
      <c r="AW13" s="15"/>
      <c r="AX13" s="15"/>
      <c r="AY13" s="214"/>
      <c r="AZ13" s="215"/>
      <c r="BA13" s="10"/>
      <c r="BB13" s="7"/>
      <c r="BC13" s="7"/>
      <c r="BD13" s="7"/>
      <c r="BE13" s="7"/>
      <c r="BH13" s="17"/>
    </row>
    <row r="14" spans="1:60" ht="15" customHeight="1" x14ac:dyDescent="0.2">
      <c r="A14" s="189">
        <v>32</v>
      </c>
      <c r="B14" s="190">
        <v>46107</v>
      </c>
      <c r="C14" s="190">
        <v>46108</v>
      </c>
      <c r="D14" s="196">
        <v>1</v>
      </c>
      <c r="E14" s="197">
        <v>256</v>
      </c>
      <c r="F14" s="197">
        <v>256</v>
      </c>
      <c r="G14" s="197">
        <f t="shared" ref="G14:J14" si="36">AI62</f>
        <v>252</v>
      </c>
      <c r="H14" s="197">
        <f t="shared" si="36"/>
        <v>0</v>
      </c>
      <c r="I14" s="197">
        <f t="shared" si="36"/>
        <v>0</v>
      </c>
      <c r="J14" s="197">
        <f t="shared" si="36"/>
        <v>0</v>
      </c>
      <c r="K14" s="197">
        <f>BA62</f>
        <v>0</v>
      </c>
      <c r="L14" s="184">
        <f t="shared" si="6"/>
        <v>0</v>
      </c>
      <c r="M14" s="193">
        <f t="shared" si="19"/>
        <v>0</v>
      </c>
      <c r="N14" s="184">
        <f>AN62+AO62</f>
        <v>21</v>
      </c>
      <c r="O14" s="194">
        <f t="shared" si="1"/>
        <v>8.3333333333333329E-2</v>
      </c>
      <c r="P14" s="184">
        <f>SUM(AQ62:AR62)</f>
        <v>2</v>
      </c>
      <c r="Q14" s="194">
        <f t="shared" si="7"/>
        <v>7.9365079365079361E-3</v>
      </c>
      <c r="R14" s="184">
        <f>SUM(AT62:AU62)</f>
        <v>5</v>
      </c>
      <c r="S14" s="194">
        <f t="shared" si="2"/>
        <v>1.984126984126984E-2</v>
      </c>
      <c r="T14" s="184">
        <f>SUM(AW62:AX62)</f>
        <v>0</v>
      </c>
      <c r="U14" s="194">
        <f t="shared" si="3"/>
        <v>0</v>
      </c>
      <c r="V14" s="184">
        <f>AZ62</f>
        <v>28</v>
      </c>
      <c r="W14" s="184">
        <f>BB62</f>
        <v>28</v>
      </c>
      <c r="X14" s="301">
        <f t="shared" si="4"/>
        <v>0.11462450592885376</v>
      </c>
      <c r="Y14" s="304" t="s">
        <v>274</v>
      </c>
      <c r="Z14" s="302" t="s">
        <v>268</v>
      </c>
      <c r="AA14" s="195" t="s">
        <v>342</v>
      </c>
      <c r="AB14" s="207"/>
      <c r="AC14" s="216" t="s">
        <v>271</v>
      </c>
      <c r="AD14" s="217"/>
      <c r="AE14" s="217"/>
      <c r="AF14" s="218"/>
      <c r="AG14" s="218"/>
      <c r="AH14" s="219"/>
      <c r="AI14" s="218"/>
      <c r="AJ14" s="218"/>
      <c r="AK14" s="218"/>
      <c r="AL14" s="218"/>
      <c r="AM14" s="220" t="e">
        <f>SUM(AJ14:AL14)/AH14</f>
        <v>#DIV/0!</v>
      </c>
      <c r="AN14" s="218"/>
      <c r="AO14" s="218"/>
      <c r="AP14" s="221" t="e">
        <f>SUM(AN14:AO14)/AI14</f>
        <v>#DIV/0!</v>
      </c>
      <c r="AQ14" s="218"/>
      <c r="AR14" s="218"/>
      <c r="AS14" s="221" t="e">
        <f>(AQ14+AR14)/$AG14</f>
        <v>#DIV/0!</v>
      </c>
      <c r="AT14" s="218"/>
      <c r="AU14" s="218"/>
      <c r="AV14" s="221" t="e">
        <f>(AT14+AU14)/$AG14</f>
        <v>#DIV/0!</v>
      </c>
      <c r="AW14" s="218"/>
      <c r="AX14" s="218"/>
      <c r="AY14" s="221" t="e">
        <f>(AW14+AX14)/$AG14</f>
        <v>#DIV/0!</v>
      </c>
      <c r="AZ14" s="222">
        <f>SUM(AN14,AQ14,AT14,AW14)</f>
        <v>0</v>
      </c>
      <c r="BA14" s="222">
        <f>SUM(AO14,AR14,AU14,AX14)</f>
        <v>0</v>
      </c>
      <c r="BB14" s="222">
        <f>SUM(AZ14:BA14)</f>
        <v>0</v>
      </c>
      <c r="BC14" s="221">
        <f>(BB14+1)/(AI14+1)</f>
        <v>1</v>
      </c>
      <c r="BD14" s="223"/>
      <c r="BE14" s="223"/>
      <c r="BH14" s="17"/>
    </row>
    <row r="15" spans="1:60" ht="15" customHeight="1" x14ac:dyDescent="0.2">
      <c r="A15" s="189">
        <v>33</v>
      </c>
      <c r="B15" s="190">
        <v>46107</v>
      </c>
      <c r="C15" s="190">
        <v>46108</v>
      </c>
      <c r="D15" s="196">
        <v>1</v>
      </c>
      <c r="E15" s="197">
        <v>250</v>
      </c>
      <c r="F15" s="197">
        <v>250</v>
      </c>
      <c r="G15" s="197">
        <f t="shared" ref="G15:J15" si="37">AI67</f>
        <v>250</v>
      </c>
      <c r="H15" s="197">
        <f t="shared" si="37"/>
        <v>0</v>
      </c>
      <c r="I15" s="197">
        <f t="shared" si="37"/>
        <v>0</v>
      </c>
      <c r="J15" s="197">
        <f t="shared" si="37"/>
        <v>0</v>
      </c>
      <c r="K15" s="197">
        <f>BA67</f>
        <v>0</v>
      </c>
      <c r="L15" s="184">
        <f t="shared" si="6"/>
        <v>0</v>
      </c>
      <c r="M15" s="193">
        <f t="shared" si="19"/>
        <v>0</v>
      </c>
      <c r="N15" s="184">
        <f>AN67+AO67</f>
        <v>19</v>
      </c>
      <c r="O15" s="194">
        <f t="shared" si="1"/>
        <v>7.5999999999999998E-2</v>
      </c>
      <c r="P15" s="184">
        <f>SUM(AQ67:AR67)</f>
        <v>4</v>
      </c>
      <c r="Q15" s="194">
        <f t="shared" si="7"/>
        <v>1.6E-2</v>
      </c>
      <c r="R15" s="184">
        <f>SUM(AT67:AU67)</f>
        <v>2</v>
      </c>
      <c r="S15" s="194">
        <f t="shared" si="2"/>
        <v>8.0000000000000002E-3</v>
      </c>
      <c r="T15" s="184">
        <f>SUM(AW67:AX67)</f>
        <v>0</v>
      </c>
      <c r="U15" s="194">
        <f t="shared" si="3"/>
        <v>0</v>
      </c>
      <c r="V15" s="184">
        <f>AZ67</f>
        <v>25</v>
      </c>
      <c r="W15" s="184">
        <f>BB67</f>
        <v>25</v>
      </c>
      <c r="X15" s="301">
        <f t="shared" si="4"/>
        <v>0.10358565737051793</v>
      </c>
      <c r="Y15" s="304" t="s">
        <v>274</v>
      </c>
      <c r="Z15" s="302" t="s">
        <v>268</v>
      </c>
      <c r="AA15" s="195" t="s">
        <v>342</v>
      </c>
      <c r="AB15" s="207"/>
      <c r="AC15" s="224" t="s">
        <v>273</v>
      </c>
      <c r="AD15" s="225">
        <v>46085</v>
      </c>
      <c r="AE15" s="225">
        <v>46086</v>
      </c>
      <c r="AF15" s="226">
        <v>1</v>
      </c>
      <c r="AG15" s="226">
        <v>253</v>
      </c>
      <c r="AH15" s="227">
        <v>253</v>
      </c>
      <c r="AI15" s="226">
        <v>253</v>
      </c>
      <c r="AJ15" s="226">
        <v>0</v>
      </c>
      <c r="AK15" s="226">
        <v>0</v>
      </c>
      <c r="AL15" s="226">
        <v>0</v>
      </c>
      <c r="AM15" s="228">
        <f t="shared" ref="AM15:AM16" si="38">SUM(AJ15:AL15)/AH15</f>
        <v>0</v>
      </c>
      <c r="AN15" s="226">
        <v>19</v>
      </c>
      <c r="AO15" s="226">
        <v>0</v>
      </c>
      <c r="AP15" s="229">
        <f t="shared" ref="AP15:AP16" si="39">SUM(AN15:AO15)/AI15</f>
        <v>7.5098814229249009E-2</v>
      </c>
      <c r="AQ15" s="226">
        <v>0</v>
      </c>
      <c r="AR15" s="226">
        <v>0</v>
      </c>
      <c r="AS15" s="229">
        <f t="shared" ref="AS15:AS16" si="40">(AQ15+AR15)/$AG15</f>
        <v>0</v>
      </c>
      <c r="AT15" s="226">
        <v>0</v>
      </c>
      <c r="AU15" s="226">
        <v>0</v>
      </c>
      <c r="AV15" s="229">
        <f t="shared" ref="AV15:AV16" si="41">(AT15+AU15)/$AG15</f>
        <v>0</v>
      </c>
      <c r="AW15" s="226">
        <v>0</v>
      </c>
      <c r="AX15" s="226">
        <v>0</v>
      </c>
      <c r="AY15" s="229">
        <f t="shared" ref="AY15:AY16" si="42">(AW15+AX15)/$AG15</f>
        <v>0</v>
      </c>
      <c r="AZ15" s="230">
        <f t="shared" ref="AZ15:BA16" si="43">SUM(AN15,AQ15,AT15,AW15)</f>
        <v>19</v>
      </c>
      <c r="BA15" s="230">
        <f t="shared" si="43"/>
        <v>0</v>
      </c>
      <c r="BB15" s="230">
        <f t="shared" ref="BB15:BB16" si="44">SUM(AZ15:BA15)</f>
        <v>19</v>
      </c>
      <c r="BC15" s="229">
        <f t="shared" ref="BC15:BC16" si="45">(BB15+1)/(AI15+1)</f>
        <v>7.874015748031496E-2</v>
      </c>
      <c r="BD15" s="231"/>
      <c r="BE15" s="231"/>
      <c r="BH15" s="17"/>
    </row>
    <row r="16" spans="1:60" ht="15" customHeight="1" x14ac:dyDescent="0.2">
      <c r="A16" s="189">
        <v>34</v>
      </c>
      <c r="B16" s="190">
        <v>46111</v>
      </c>
      <c r="C16" s="190">
        <v>46112</v>
      </c>
      <c r="D16" s="196">
        <v>1</v>
      </c>
      <c r="E16" s="197">
        <f t="shared" ref="E16:J16" si="46">AG72</f>
        <v>244</v>
      </c>
      <c r="F16" s="197">
        <f t="shared" si="46"/>
        <v>244</v>
      </c>
      <c r="G16" s="197">
        <f t="shared" si="46"/>
        <v>245</v>
      </c>
      <c r="H16" s="197">
        <f t="shared" si="46"/>
        <v>0</v>
      </c>
      <c r="I16" s="197">
        <f t="shared" si="46"/>
        <v>0</v>
      </c>
      <c r="J16" s="197">
        <f t="shared" si="46"/>
        <v>1</v>
      </c>
      <c r="K16" s="197">
        <f>BA72</f>
        <v>0</v>
      </c>
      <c r="L16" s="184">
        <f t="shared" si="6"/>
        <v>1</v>
      </c>
      <c r="M16" s="193">
        <f t="shared" si="19"/>
        <v>4.0983606557377051E-3</v>
      </c>
      <c r="N16" s="184">
        <f>AN72+AO72</f>
        <v>25</v>
      </c>
      <c r="O16" s="194">
        <f t="shared" si="1"/>
        <v>0.10204081632653061</v>
      </c>
      <c r="P16" s="184">
        <f>SUM(AQ72:AR72)</f>
        <v>6</v>
      </c>
      <c r="Q16" s="194">
        <f t="shared" si="7"/>
        <v>2.4489795918367346E-2</v>
      </c>
      <c r="R16" s="184">
        <f>SUM(AT72:AU72)</f>
        <v>2</v>
      </c>
      <c r="S16" s="194">
        <f t="shared" si="2"/>
        <v>8.1632653061224497E-3</v>
      </c>
      <c r="T16" s="184">
        <f>SUM(AW72:AX72)</f>
        <v>0</v>
      </c>
      <c r="U16" s="194">
        <f t="shared" si="3"/>
        <v>0</v>
      </c>
      <c r="V16" s="184">
        <f>AZ72</f>
        <v>33</v>
      </c>
      <c r="W16" s="184">
        <f>BB72</f>
        <v>33</v>
      </c>
      <c r="X16" s="301">
        <f t="shared" si="4"/>
        <v>0.13821138211382114</v>
      </c>
      <c r="Y16" s="304" t="s">
        <v>274</v>
      </c>
      <c r="Z16" s="302" t="s">
        <v>268</v>
      </c>
      <c r="AA16" s="195" t="s">
        <v>342</v>
      </c>
      <c r="AB16" s="207"/>
      <c r="AC16" s="232" t="s">
        <v>275</v>
      </c>
      <c r="AD16" s="233"/>
      <c r="AE16" s="233"/>
      <c r="AF16" s="234"/>
      <c r="AG16" s="234"/>
      <c r="AH16" s="235"/>
      <c r="AI16" s="234"/>
      <c r="AJ16" s="234"/>
      <c r="AK16" s="234"/>
      <c r="AL16" s="234"/>
      <c r="AM16" s="236" t="e">
        <f t="shared" si="38"/>
        <v>#DIV/0!</v>
      </c>
      <c r="AN16" s="234"/>
      <c r="AO16" s="234"/>
      <c r="AP16" s="237" t="e">
        <f t="shared" si="39"/>
        <v>#DIV/0!</v>
      </c>
      <c r="AQ16" s="234"/>
      <c r="AR16" s="234"/>
      <c r="AS16" s="237" t="e">
        <f t="shared" si="40"/>
        <v>#DIV/0!</v>
      </c>
      <c r="AT16" s="234"/>
      <c r="AU16" s="234"/>
      <c r="AV16" s="237" t="e">
        <f t="shared" si="41"/>
        <v>#DIV/0!</v>
      </c>
      <c r="AW16" s="234"/>
      <c r="AX16" s="234"/>
      <c r="AY16" s="237" t="e">
        <f t="shared" si="42"/>
        <v>#DIV/0!</v>
      </c>
      <c r="AZ16" s="238">
        <f t="shared" si="43"/>
        <v>0</v>
      </c>
      <c r="BA16" s="238">
        <f t="shared" si="43"/>
        <v>0</v>
      </c>
      <c r="BB16" s="238">
        <f t="shared" si="44"/>
        <v>0</v>
      </c>
      <c r="BC16" s="237">
        <f t="shared" si="45"/>
        <v>1</v>
      </c>
      <c r="BD16" s="239"/>
      <c r="BE16" s="239"/>
      <c r="BH16" s="17"/>
    </row>
    <row r="17" spans="1:60" ht="15" customHeight="1" x14ac:dyDescent="0.2">
      <c r="A17" s="189">
        <v>35</v>
      </c>
      <c r="B17" s="190">
        <v>46111</v>
      </c>
      <c r="C17" s="190">
        <v>46112</v>
      </c>
      <c r="D17" s="196">
        <v>1</v>
      </c>
      <c r="E17" s="197">
        <f t="shared" ref="E17:J17" si="47">AG77</f>
        <v>257</v>
      </c>
      <c r="F17" s="197">
        <f t="shared" si="47"/>
        <v>257</v>
      </c>
      <c r="G17" s="197">
        <f t="shared" si="47"/>
        <v>257</v>
      </c>
      <c r="H17" s="197">
        <f t="shared" si="47"/>
        <v>0</v>
      </c>
      <c r="I17" s="197">
        <f t="shared" si="47"/>
        <v>0</v>
      </c>
      <c r="J17" s="197">
        <f t="shared" si="47"/>
        <v>0</v>
      </c>
      <c r="K17" s="197">
        <f>BA77</f>
        <v>0</v>
      </c>
      <c r="L17" s="184">
        <f t="shared" si="6"/>
        <v>0</v>
      </c>
      <c r="M17" s="193">
        <f t="shared" si="19"/>
        <v>0</v>
      </c>
      <c r="N17" s="184">
        <f>AN77+AO77</f>
        <v>21</v>
      </c>
      <c r="O17" s="194">
        <f t="shared" si="1"/>
        <v>8.171206225680934E-2</v>
      </c>
      <c r="P17" s="184">
        <f>SUM(AQ77:AR77)</f>
        <v>5</v>
      </c>
      <c r="Q17" s="194">
        <f t="shared" si="7"/>
        <v>1.9455252918287938E-2</v>
      </c>
      <c r="R17" s="184">
        <f>SUM(AT77:AU77)</f>
        <v>3</v>
      </c>
      <c r="S17" s="194">
        <f t="shared" si="2"/>
        <v>1.1673151750972763E-2</v>
      </c>
      <c r="T17" s="184">
        <f>SUM(AW77:AX77)</f>
        <v>0</v>
      </c>
      <c r="U17" s="194">
        <f t="shared" si="3"/>
        <v>0</v>
      </c>
      <c r="V17" s="184">
        <f>AZ77</f>
        <v>29</v>
      </c>
      <c r="W17" s="184">
        <f>BB77</f>
        <v>29</v>
      </c>
      <c r="X17" s="301">
        <f t="shared" si="4"/>
        <v>0.11627906976744186</v>
      </c>
      <c r="Y17" s="304" t="s">
        <v>274</v>
      </c>
      <c r="Z17" s="302" t="s">
        <v>268</v>
      </c>
      <c r="AA17" s="195" t="s">
        <v>342</v>
      </c>
      <c r="AB17" s="207"/>
      <c r="AC17" s="7"/>
      <c r="AG17" s="240">
        <f>SUM(AG14:AG16)</f>
        <v>253</v>
      </c>
      <c r="AH17" s="240">
        <f>SUM(AH14:AH16)</f>
        <v>253</v>
      </c>
      <c r="AI17" s="240">
        <f t="shared" ref="AI17:AL17" si="48">SUM(AI14:AI16)</f>
        <v>253</v>
      </c>
      <c r="AJ17" s="240">
        <f t="shared" si="48"/>
        <v>0</v>
      </c>
      <c r="AK17" s="240">
        <f t="shared" si="48"/>
        <v>0</v>
      </c>
      <c r="AL17" s="240">
        <f t="shared" si="48"/>
        <v>0</v>
      </c>
      <c r="AM17" s="135"/>
      <c r="AN17" s="240">
        <f>SUM(AN14:AN16)</f>
        <v>19</v>
      </c>
      <c r="AO17" s="240">
        <f>SUM(AO14:AO16)</f>
        <v>0</v>
      </c>
      <c r="AP17" s="241"/>
      <c r="AQ17" s="240">
        <f>SUM(AQ14:AQ16)</f>
        <v>0</v>
      </c>
      <c r="AR17" s="240">
        <f>SUM(AR14:AR16)</f>
        <v>0</v>
      </c>
      <c r="AS17" s="241"/>
      <c r="AT17" s="240">
        <f>SUM(AT14:AT16)</f>
        <v>0</v>
      </c>
      <c r="AU17" s="240">
        <f>SUM(AU14:AU16)</f>
        <v>0</v>
      </c>
      <c r="AV17" s="241"/>
      <c r="AW17" s="240">
        <f>SUM(AW14:AW16)</f>
        <v>0</v>
      </c>
      <c r="AX17" s="240">
        <f>SUM(AX14:AX16)</f>
        <v>0</v>
      </c>
      <c r="AY17" s="241"/>
      <c r="AZ17" s="240">
        <f>SUM(AZ14:AZ16)</f>
        <v>19</v>
      </c>
      <c r="BA17" s="240">
        <f>SUM(BA14:BA16)</f>
        <v>0</v>
      </c>
      <c r="BB17" s="240">
        <f>SUM(AZ17:BA17)</f>
        <v>19</v>
      </c>
      <c r="BC17" s="242">
        <f>(BB17+1)/(AI17+1)</f>
        <v>7.874015748031496E-2</v>
      </c>
      <c r="BD17" s="98"/>
      <c r="BE17" s="98"/>
      <c r="BH17" s="17"/>
    </row>
    <row r="18" spans="1:60" ht="15" customHeight="1" x14ac:dyDescent="0.2">
      <c r="A18" s="189">
        <v>36</v>
      </c>
      <c r="B18" s="190">
        <v>46114</v>
      </c>
      <c r="C18" s="190">
        <v>46115</v>
      </c>
      <c r="D18" s="196">
        <v>1</v>
      </c>
      <c r="E18" s="197">
        <f>AG82</f>
        <v>250</v>
      </c>
      <c r="F18" s="197">
        <f>AH82</f>
        <v>249</v>
      </c>
      <c r="G18" s="197">
        <f t="shared" ref="G18:J18" si="49">AI82</f>
        <v>249</v>
      </c>
      <c r="H18" s="197">
        <f t="shared" si="49"/>
        <v>1</v>
      </c>
      <c r="I18" s="197">
        <f t="shared" si="49"/>
        <v>0</v>
      </c>
      <c r="J18" s="197">
        <f t="shared" si="49"/>
        <v>0</v>
      </c>
      <c r="K18" s="197">
        <f>BA82</f>
        <v>0</v>
      </c>
      <c r="L18" s="184">
        <f t="shared" si="6"/>
        <v>1</v>
      </c>
      <c r="M18" s="193">
        <f t="shared" si="19"/>
        <v>4.0000000000000001E-3</v>
      </c>
      <c r="N18" s="184">
        <f>AN82+AO82</f>
        <v>22</v>
      </c>
      <c r="O18" s="194">
        <f t="shared" si="1"/>
        <v>8.8353413654618476E-2</v>
      </c>
      <c r="P18" s="184">
        <f>SUM(AQ82:AR82)</f>
        <v>3</v>
      </c>
      <c r="Q18" s="194">
        <f t="shared" si="7"/>
        <v>1.2048192771084338E-2</v>
      </c>
      <c r="R18" s="184">
        <f>SUM(AT82:AU82)</f>
        <v>0</v>
      </c>
      <c r="S18" s="194">
        <f t="shared" si="2"/>
        <v>0</v>
      </c>
      <c r="T18" s="184">
        <f>SUM(AW82:AX82)</f>
        <v>1</v>
      </c>
      <c r="U18" s="194">
        <f t="shared" si="3"/>
        <v>4.0160642570281121E-3</v>
      </c>
      <c r="V18" s="184">
        <f>AZ82</f>
        <v>26</v>
      </c>
      <c r="W18" s="184">
        <f>BB82</f>
        <v>26</v>
      </c>
      <c r="X18" s="301">
        <f t="shared" si="4"/>
        <v>0.108</v>
      </c>
      <c r="Y18" s="304" t="s">
        <v>274</v>
      </c>
      <c r="Z18" s="302" t="s">
        <v>268</v>
      </c>
      <c r="AA18" s="195" t="s">
        <v>342</v>
      </c>
      <c r="AB18" s="207"/>
      <c r="AC18" s="212" t="s">
        <v>304</v>
      </c>
      <c r="AD18" s="15"/>
      <c r="AE18" s="23"/>
      <c r="AF18" s="16"/>
      <c r="AG18" s="15"/>
      <c r="AH18" s="15"/>
      <c r="AI18" s="15"/>
      <c r="AJ18" s="15"/>
      <c r="AK18" s="15"/>
      <c r="AL18" s="22"/>
      <c r="AM18" s="213"/>
      <c r="AN18" s="23"/>
      <c r="AO18" s="23"/>
      <c r="AP18" s="7"/>
      <c r="AQ18" s="15"/>
      <c r="AR18" s="15"/>
      <c r="AS18" s="7"/>
      <c r="AT18" s="15"/>
      <c r="AU18" s="15"/>
      <c r="AV18" s="7"/>
      <c r="AW18" s="15"/>
      <c r="AX18" s="15"/>
      <c r="AY18" s="214"/>
      <c r="AZ18" s="215"/>
      <c r="BA18" s="10"/>
      <c r="BB18" s="7"/>
      <c r="BC18" s="7"/>
      <c r="BD18" s="7"/>
      <c r="BE18" s="7"/>
    </row>
    <row r="19" spans="1:60" ht="15" customHeight="1" x14ac:dyDescent="0.2">
      <c r="A19" s="189">
        <v>37</v>
      </c>
      <c r="B19" s="190">
        <v>46114</v>
      </c>
      <c r="C19" s="190">
        <v>46115</v>
      </c>
      <c r="D19" s="196">
        <v>1</v>
      </c>
      <c r="E19" s="197">
        <f>AG87</f>
        <v>252</v>
      </c>
      <c r="F19" s="197">
        <f>AH87</f>
        <v>252</v>
      </c>
      <c r="G19" s="197">
        <f>AI87</f>
        <v>251</v>
      </c>
      <c r="H19" s="197">
        <f>AJ87</f>
        <v>0</v>
      </c>
      <c r="I19" s="197">
        <f>AK87</f>
        <v>0</v>
      </c>
      <c r="J19" s="197">
        <f>AL886</f>
        <v>0</v>
      </c>
      <c r="K19" s="197">
        <f>BA87</f>
        <v>0</v>
      </c>
      <c r="L19" s="184">
        <f t="shared" si="6"/>
        <v>0</v>
      </c>
      <c r="M19" s="193">
        <f t="shared" si="19"/>
        <v>0</v>
      </c>
      <c r="N19" s="184">
        <f>AN87+AO87</f>
        <v>24</v>
      </c>
      <c r="O19" s="194">
        <f t="shared" si="1"/>
        <v>9.5617529880478086E-2</v>
      </c>
      <c r="P19" s="184">
        <f>SUM(AQ87:AR87)</f>
        <v>0</v>
      </c>
      <c r="Q19" s="194">
        <f t="shared" si="7"/>
        <v>0</v>
      </c>
      <c r="R19" s="184">
        <f>SUM(AT87:AU87)</f>
        <v>0</v>
      </c>
      <c r="S19" s="194">
        <f t="shared" si="2"/>
        <v>0</v>
      </c>
      <c r="T19" s="184">
        <f>SUM(AW87:AX87)</f>
        <v>7</v>
      </c>
      <c r="U19" s="194">
        <f t="shared" si="3"/>
        <v>2.7888446215139442E-2</v>
      </c>
      <c r="V19" s="184">
        <f>AZ87</f>
        <v>31</v>
      </c>
      <c r="W19" s="184">
        <f>BB87</f>
        <v>31</v>
      </c>
      <c r="X19" s="301">
        <f t="shared" si="4"/>
        <v>0.12698412698412698</v>
      </c>
      <c r="Y19" s="304" t="s">
        <v>274</v>
      </c>
      <c r="Z19" s="302" t="s">
        <v>268</v>
      </c>
      <c r="AA19" s="195" t="s">
        <v>342</v>
      </c>
      <c r="AB19" s="207"/>
      <c r="AC19" s="216" t="s">
        <v>271</v>
      </c>
      <c r="AD19" s="217"/>
      <c r="AE19" s="217"/>
      <c r="AF19" s="218"/>
      <c r="AG19" s="218"/>
      <c r="AH19" s="219"/>
      <c r="AI19" s="218"/>
      <c r="AJ19" s="218"/>
      <c r="AK19" s="218"/>
      <c r="AL19" s="218"/>
      <c r="AM19" s="220" t="e">
        <f>SUM(AJ19:AL19)/AH19</f>
        <v>#DIV/0!</v>
      </c>
      <c r="AN19" s="218"/>
      <c r="AO19" s="218"/>
      <c r="AP19" s="221" t="e">
        <f>SUM(AN19:AO19)/AI19</f>
        <v>#DIV/0!</v>
      </c>
      <c r="AQ19" s="218"/>
      <c r="AR19" s="218"/>
      <c r="AS19" s="221" t="e">
        <f>(AQ19+AR19)/$AG19</f>
        <v>#DIV/0!</v>
      </c>
      <c r="AT19" s="218"/>
      <c r="AU19" s="218"/>
      <c r="AV19" s="221" t="e">
        <f>(AT19+AU19)/$AG19</f>
        <v>#DIV/0!</v>
      </c>
      <c r="AW19" s="218"/>
      <c r="AX19" s="218"/>
      <c r="AY19" s="221" t="e">
        <f>(AW19+AX19)/$AG19</f>
        <v>#DIV/0!</v>
      </c>
      <c r="AZ19" s="222">
        <f>SUM(AN19,AQ19,AT19,AW19)</f>
        <v>0</v>
      </c>
      <c r="BA19" s="222">
        <f>SUM(AO19,AR19,AU19,AX19)</f>
        <v>0</v>
      </c>
      <c r="BB19" s="222">
        <f>SUM(AZ19:BA19)</f>
        <v>0</v>
      </c>
      <c r="BC19" s="221">
        <f>(BB19+1)/(AI19+1)</f>
        <v>1</v>
      </c>
      <c r="BD19" s="223"/>
      <c r="BE19" s="223"/>
    </row>
    <row r="20" spans="1:60" ht="15" customHeight="1" x14ac:dyDescent="0.2">
      <c r="A20" s="189">
        <v>38</v>
      </c>
      <c r="B20" s="190">
        <v>46118</v>
      </c>
      <c r="C20" s="190">
        <v>46119</v>
      </c>
      <c r="D20" s="196">
        <v>5</v>
      </c>
      <c r="E20" s="197">
        <f>AG92</f>
        <v>504</v>
      </c>
      <c r="F20" s="197">
        <f>AH92</f>
        <v>504</v>
      </c>
      <c r="G20" s="197">
        <f t="shared" ref="G20:J20" si="50">AI92</f>
        <v>478</v>
      </c>
      <c r="H20" s="197">
        <f t="shared" si="50"/>
        <v>0</v>
      </c>
      <c r="I20" s="197">
        <f t="shared" si="50"/>
        <v>4</v>
      </c>
      <c r="J20" s="197">
        <f t="shared" si="50"/>
        <v>26</v>
      </c>
      <c r="K20" s="197">
        <f>BA92</f>
        <v>0</v>
      </c>
      <c r="L20" s="184">
        <f t="shared" si="6"/>
        <v>30</v>
      </c>
      <c r="M20" s="193">
        <f t="shared" si="19"/>
        <v>5.9523809523809521E-2</v>
      </c>
      <c r="N20" s="184">
        <f>AN92+AO92</f>
        <v>47</v>
      </c>
      <c r="O20" s="194">
        <f t="shared" si="1"/>
        <v>9.832635983263599E-2</v>
      </c>
      <c r="P20" s="184">
        <f>SUM(AQ92:AR92)</f>
        <v>8</v>
      </c>
      <c r="Q20" s="194">
        <f t="shared" si="7"/>
        <v>1.6736401673640166E-2</v>
      </c>
      <c r="R20" s="184">
        <f>SUM(AT92:AU92)</f>
        <v>1</v>
      </c>
      <c r="S20" s="194">
        <f t="shared" si="2"/>
        <v>2.0920502092050207E-3</v>
      </c>
      <c r="T20" s="184">
        <f>SUM(AW92:AX92)</f>
        <v>5</v>
      </c>
      <c r="U20" s="194">
        <f t="shared" si="3"/>
        <v>1.0460251046025104E-2</v>
      </c>
      <c r="V20" s="184">
        <f>AZ92</f>
        <v>61</v>
      </c>
      <c r="W20" s="184">
        <f>BB92</f>
        <v>61</v>
      </c>
      <c r="X20" s="301">
        <f t="shared" si="4"/>
        <v>0.12943632567849686</v>
      </c>
      <c r="Y20" s="304" t="s">
        <v>274</v>
      </c>
      <c r="Z20" s="302" t="s">
        <v>268</v>
      </c>
      <c r="AA20" s="195" t="s">
        <v>342</v>
      </c>
      <c r="AB20" s="207"/>
      <c r="AC20" s="224" t="s">
        <v>273</v>
      </c>
      <c r="AD20" s="225">
        <v>46090</v>
      </c>
      <c r="AE20" s="225">
        <v>46091</v>
      </c>
      <c r="AF20" s="226">
        <v>1</v>
      </c>
      <c r="AG20" s="226">
        <v>266</v>
      </c>
      <c r="AH20" s="227">
        <v>265</v>
      </c>
      <c r="AI20" s="226">
        <v>264</v>
      </c>
      <c r="AJ20" s="226">
        <v>0</v>
      </c>
      <c r="AK20" s="226">
        <v>0</v>
      </c>
      <c r="AL20" s="226">
        <v>0</v>
      </c>
      <c r="AM20" s="228">
        <f t="shared" ref="AM20:AM21" si="51">SUM(AJ20:AL20)/AH20</f>
        <v>0</v>
      </c>
      <c r="AN20" s="226">
        <v>19</v>
      </c>
      <c r="AO20" s="226">
        <v>0</v>
      </c>
      <c r="AP20" s="229">
        <f t="shared" ref="AP20:AP21" si="52">SUM(AN20:AO20)/AI20</f>
        <v>7.1969696969696975E-2</v>
      </c>
      <c r="AQ20" s="226">
        <v>6</v>
      </c>
      <c r="AR20" s="226">
        <v>0</v>
      </c>
      <c r="AS20" s="229">
        <f t="shared" ref="AS20:AS21" si="53">(AQ20+AR20)/$AG20</f>
        <v>2.2556390977443608E-2</v>
      </c>
      <c r="AT20" s="226">
        <v>2</v>
      </c>
      <c r="AU20" s="226">
        <v>0</v>
      </c>
      <c r="AV20" s="229">
        <f t="shared" ref="AV20:AV21" si="54">(AT20+AU20)/$AG20</f>
        <v>7.5187969924812026E-3</v>
      </c>
      <c r="AW20" s="226">
        <v>0</v>
      </c>
      <c r="AX20" s="226">
        <v>0</v>
      </c>
      <c r="AY20" s="229">
        <f t="shared" ref="AY20:AY21" si="55">(AW20+AX20)/$AG20</f>
        <v>0</v>
      </c>
      <c r="AZ20" s="230">
        <f t="shared" ref="AZ20:BA21" si="56">SUM(AN20,AQ20,AT20,AW20)</f>
        <v>27</v>
      </c>
      <c r="BA20" s="230">
        <f t="shared" si="56"/>
        <v>0</v>
      </c>
      <c r="BB20" s="230">
        <f t="shared" ref="BB20:BB21" si="57">SUM(AZ20:BA20)</f>
        <v>27</v>
      </c>
      <c r="BC20" s="229">
        <f t="shared" ref="BC20:BC21" si="58">(BB20+1)/(AI20+1)</f>
        <v>0.10566037735849057</v>
      </c>
      <c r="BD20" s="231"/>
      <c r="BE20" s="231"/>
    </row>
    <row r="21" spans="1:60" ht="15" customHeight="1" x14ac:dyDescent="0.2">
      <c r="A21" s="189">
        <v>39</v>
      </c>
      <c r="B21" s="190">
        <v>46132</v>
      </c>
      <c r="C21" s="190">
        <v>46133</v>
      </c>
      <c r="D21" s="196">
        <v>1</v>
      </c>
      <c r="E21" s="197">
        <f>AG97</f>
        <v>495</v>
      </c>
      <c r="F21" s="197">
        <f>AH97</f>
        <v>495</v>
      </c>
      <c r="G21" s="197">
        <f t="shared" ref="G21:J21" si="59">AI97</f>
        <v>487</v>
      </c>
      <c r="H21" s="197">
        <f t="shared" si="59"/>
        <v>3</v>
      </c>
      <c r="I21" s="197">
        <f t="shared" si="59"/>
        <v>1</v>
      </c>
      <c r="J21" s="197">
        <f t="shared" si="59"/>
        <v>3</v>
      </c>
      <c r="K21" s="197">
        <f>BA97</f>
        <v>12</v>
      </c>
      <c r="L21" s="184">
        <f t="shared" si="6"/>
        <v>19</v>
      </c>
      <c r="M21" s="193">
        <f t="shared" si="19"/>
        <v>3.8383838383838381E-2</v>
      </c>
      <c r="N21" s="184">
        <f>AN97+AO97</f>
        <v>14</v>
      </c>
      <c r="O21" s="194">
        <f t="shared" si="1"/>
        <v>2.8747433264887063E-2</v>
      </c>
      <c r="P21" s="184">
        <f>SUM(AQ97:AR97)</f>
        <v>0</v>
      </c>
      <c r="Q21" s="194">
        <f t="shared" si="7"/>
        <v>0</v>
      </c>
      <c r="R21" s="184">
        <f>SUM(AT97:AU97)</f>
        <v>0</v>
      </c>
      <c r="S21" s="194">
        <f t="shared" si="2"/>
        <v>0</v>
      </c>
      <c r="T21" s="184">
        <f>SUM(AW97:AX97)</f>
        <v>0</v>
      </c>
      <c r="U21" s="194">
        <f t="shared" si="3"/>
        <v>0</v>
      </c>
      <c r="V21" s="184">
        <f>AZ97</f>
        <v>2</v>
      </c>
      <c r="W21" s="184">
        <f>AC97</f>
        <v>0</v>
      </c>
      <c r="X21" s="301">
        <f t="shared" si="4"/>
        <v>2.0491803278688526E-3</v>
      </c>
      <c r="Y21" s="304" t="s">
        <v>283</v>
      </c>
      <c r="Z21" s="302" t="s">
        <v>268</v>
      </c>
      <c r="AA21" s="195" t="s">
        <v>342</v>
      </c>
      <c r="AB21" s="207"/>
      <c r="AC21" s="232" t="s">
        <v>275</v>
      </c>
      <c r="AD21" s="233"/>
      <c r="AE21" s="233"/>
      <c r="AF21" s="234"/>
      <c r="AG21" s="234"/>
      <c r="AH21" s="235"/>
      <c r="AI21" s="234"/>
      <c r="AJ21" s="234"/>
      <c r="AK21" s="234"/>
      <c r="AL21" s="234"/>
      <c r="AM21" s="236" t="e">
        <f t="shared" si="51"/>
        <v>#DIV/0!</v>
      </c>
      <c r="AN21" s="234"/>
      <c r="AO21" s="234"/>
      <c r="AP21" s="237" t="e">
        <f t="shared" si="52"/>
        <v>#DIV/0!</v>
      </c>
      <c r="AQ21" s="234"/>
      <c r="AR21" s="234"/>
      <c r="AS21" s="237" t="e">
        <f t="shared" si="53"/>
        <v>#DIV/0!</v>
      </c>
      <c r="AT21" s="234"/>
      <c r="AU21" s="234"/>
      <c r="AV21" s="237" t="e">
        <f t="shared" si="54"/>
        <v>#DIV/0!</v>
      </c>
      <c r="AW21" s="234"/>
      <c r="AX21" s="234"/>
      <c r="AY21" s="237" t="e">
        <f t="shared" si="55"/>
        <v>#DIV/0!</v>
      </c>
      <c r="AZ21" s="238">
        <f t="shared" si="56"/>
        <v>0</v>
      </c>
      <c r="BA21" s="238">
        <f t="shared" si="56"/>
        <v>0</v>
      </c>
      <c r="BB21" s="238">
        <f t="shared" si="57"/>
        <v>0</v>
      </c>
      <c r="BC21" s="237">
        <f t="shared" si="58"/>
        <v>1</v>
      </c>
      <c r="BD21" s="239"/>
      <c r="BE21" s="239"/>
    </row>
    <row r="22" spans="1:60" ht="15" customHeight="1" x14ac:dyDescent="0.2">
      <c r="A22" s="198">
        <v>40</v>
      </c>
      <c r="B22" s="199">
        <v>46168</v>
      </c>
      <c r="C22" s="199">
        <v>46169</v>
      </c>
      <c r="D22" s="200">
        <v>1</v>
      </c>
      <c r="E22" s="201">
        <f t="shared" ref="E22:J22" si="60">AG102</f>
        <v>328</v>
      </c>
      <c r="F22" s="201">
        <f t="shared" si="60"/>
        <v>327</v>
      </c>
      <c r="G22" s="201">
        <f t="shared" si="60"/>
        <v>328</v>
      </c>
      <c r="H22" s="201">
        <f t="shared" si="60"/>
        <v>1</v>
      </c>
      <c r="I22" s="201">
        <f t="shared" si="60"/>
        <v>0</v>
      </c>
      <c r="J22" s="201">
        <f t="shared" si="60"/>
        <v>4</v>
      </c>
      <c r="K22" s="201">
        <f>BA102</f>
        <v>0</v>
      </c>
      <c r="L22" s="202">
        <f t="shared" si="6"/>
        <v>5</v>
      </c>
      <c r="M22" s="203">
        <f t="shared" si="19"/>
        <v>1.524390243902439E-2</v>
      </c>
      <c r="N22" s="202">
        <f>AN102+AO102</f>
        <v>47</v>
      </c>
      <c r="O22" s="204">
        <f t="shared" si="1"/>
        <v>0.14329268292682926</v>
      </c>
      <c r="P22" s="202">
        <f>SUM(AQ102:AR102)</f>
        <v>14</v>
      </c>
      <c r="Q22" s="204">
        <f t="shared" si="7"/>
        <v>4.2682926829268296E-2</v>
      </c>
      <c r="R22" s="202">
        <f>SUM(AT102:AU102)</f>
        <v>0</v>
      </c>
      <c r="S22" s="204">
        <f t="shared" si="2"/>
        <v>0</v>
      </c>
      <c r="T22" s="202">
        <f>SUM(AW102:AX102)</f>
        <v>0</v>
      </c>
      <c r="U22" s="204">
        <f t="shared" si="3"/>
        <v>0</v>
      </c>
      <c r="V22" s="202">
        <f>AZ102</f>
        <v>61</v>
      </c>
      <c r="W22" s="202">
        <f>BB102</f>
        <v>61</v>
      </c>
      <c r="X22" s="307">
        <f t="shared" si="4"/>
        <v>0.18844984802431611</v>
      </c>
      <c r="Y22" s="305" t="s">
        <v>283</v>
      </c>
      <c r="Z22" s="309" t="s">
        <v>268</v>
      </c>
      <c r="AA22" s="205" t="s">
        <v>342</v>
      </c>
      <c r="AB22" s="207"/>
      <c r="AC22" s="7"/>
      <c r="AG22" s="240">
        <f>SUM(AG19:AG21)</f>
        <v>266</v>
      </c>
      <c r="AH22" s="240">
        <f>SUM(AH19:AH21)</f>
        <v>265</v>
      </c>
      <c r="AI22" s="240">
        <f t="shared" ref="AI22:AL22" si="61">SUM(AI19:AI21)</f>
        <v>264</v>
      </c>
      <c r="AJ22" s="240">
        <f t="shared" si="61"/>
        <v>0</v>
      </c>
      <c r="AK22" s="240">
        <f t="shared" si="61"/>
        <v>0</v>
      </c>
      <c r="AL22" s="240">
        <f t="shared" si="61"/>
        <v>0</v>
      </c>
      <c r="AM22" s="135"/>
      <c r="AN22" s="240">
        <f>SUM(AN19:AN21)</f>
        <v>19</v>
      </c>
      <c r="AO22" s="240">
        <f>SUM(AO19:AO21)</f>
        <v>0</v>
      </c>
      <c r="AP22" s="241"/>
      <c r="AQ22" s="240">
        <f>SUM(AQ19:AQ21)</f>
        <v>6</v>
      </c>
      <c r="AR22" s="240">
        <f>SUM(AR19:AR21)</f>
        <v>0</v>
      </c>
      <c r="AS22" s="241"/>
      <c r="AT22" s="240">
        <f>SUM(AT19:AT21)</f>
        <v>2</v>
      </c>
      <c r="AU22" s="240">
        <f>SUM(AU19:AU21)</f>
        <v>0</v>
      </c>
      <c r="AV22" s="241"/>
      <c r="AW22" s="240">
        <f>SUM(AW19:AW21)</f>
        <v>0</v>
      </c>
      <c r="AX22" s="240">
        <f>SUM(AX19:AX21)</f>
        <v>0</v>
      </c>
      <c r="AY22" s="241"/>
      <c r="AZ22" s="240">
        <f>SUM(AZ19:AZ21)</f>
        <v>27</v>
      </c>
      <c r="BA22" s="240">
        <f>SUM(BA19:BA21)</f>
        <v>0</v>
      </c>
      <c r="BB22" s="240">
        <f>SUM(AZ22:BA22)</f>
        <v>27</v>
      </c>
      <c r="BC22" s="242">
        <f>(BB22+1)/(AI22+1)</f>
        <v>0.10566037735849057</v>
      </c>
      <c r="BD22" s="98"/>
      <c r="BE22" s="98"/>
    </row>
    <row r="23" spans="1:60" ht="15" customHeight="1" x14ac:dyDescent="0.2">
      <c r="D23" s="24"/>
      <c r="E23" s="99">
        <f t="shared" ref="E23:K23" si="62">SUM(E3:E22)</f>
        <v>5875</v>
      </c>
      <c r="F23" s="99">
        <f t="shared" si="62"/>
        <v>5634</v>
      </c>
      <c r="G23" s="99">
        <f t="shared" si="62"/>
        <v>5588</v>
      </c>
      <c r="H23" s="99">
        <f t="shared" si="62"/>
        <v>236</v>
      </c>
      <c r="I23" s="99">
        <f t="shared" si="62"/>
        <v>10</v>
      </c>
      <c r="J23" s="99">
        <f t="shared" si="62"/>
        <v>40</v>
      </c>
      <c r="K23" s="99">
        <f t="shared" si="62"/>
        <v>12</v>
      </c>
      <c r="L23" s="99">
        <f t="shared" si="6"/>
        <v>298</v>
      </c>
      <c r="M23" s="101">
        <f t="shared" si="19"/>
        <v>5.0723404255319147E-2</v>
      </c>
      <c r="N23" s="99">
        <f>SUM(N3:N22)</f>
        <v>502</v>
      </c>
      <c r="O23" s="100">
        <f t="shared" si="1"/>
        <v>8.9835361488904794E-2</v>
      </c>
      <c r="P23" s="99">
        <f>SUM(P3:P22)</f>
        <v>73</v>
      </c>
      <c r="Q23" s="100">
        <f t="shared" si="7"/>
        <v>1.3063707945597709E-2</v>
      </c>
      <c r="R23" s="99">
        <f>SUM(R3:R22)</f>
        <v>20</v>
      </c>
      <c r="S23" s="100">
        <f t="shared" si="2"/>
        <v>3.5790980672870437E-3</v>
      </c>
      <c r="T23" s="99">
        <f>SUM(T3:T6)</f>
        <v>0</v>
      </c>
      <c r="U23" s="100">
        <f t="shared" si="3"/>
        <v>0</v>
      </c>
      <c r="V23" s="99">
        <f>SUM(V3:V22)</f>
        <v>597</v>
      </c>
      <c r="W23" s="99">
        <f>SUM(W3:W22)</f>
        <v>576</v>
      </c>
      <c r="X23" s="99">
        <f>SUM(X3:X22)</f>
        <v>2.1871675484787279</v>
      </c>
      <c r="Y23" s="100"/>
      <c r="Z23" s="101"/>
      <c r="AA23" s="101"/>
      <c r="AB23" s="101"/>
      <c r="AC23" s="212" t="s">
        <v>305</v>
      </c>
      <c r="AD23" s="15"/>
      <c r="AE23" s="23"/>
      <c r="AF23" s="16"/>
      <c r="AG23" s="15"/>
      <c r="AH23" s="15"/>
      <c r="AI23" s="15"/>
      <c r="AJ23" s="15"/>
      <c r="AK23" s="15"/>
      <c r="AL23" s="22"/>
      <c r="AM23" s="213"/>
      <c r="AN23" s="23"/>
      <c r="AO23" s="23"/>
      <c r="AP23" s="7"/>
      <c r="AQ23" s="15"/>
      <c r="AR23" s="15"/>
      <c r="AS23" s="7"/>
      <c r="AT23" s="15"/>
      <c r="AU23" s="15"/>
      <c r="AV23" s="7"/>
      <c r="AW23" s="15"/>
      <c r="AX23" s="15"/>
      <c r="AY23" s="214"/>
      <c r="AZ23" s="215"/>
      <c r="BA23" s="10"/>
      <c r="BB23" s="7"/>
      <c r="BC23" s="7"/>
      <c r="BD23" s="7"/>
      <c r="BE23" s="7"/>
    </row>
    <row r="24" spans="1:60" ht="15" customHeight="1" x14ac:dyDescent="0.2">
      <c r="O24" s="18"/>
      <c r="Q24" s="18"/>
      <c r="S24" s="18"/>
      <c r="U24" s="18"/>
      <c r="Y24" s="23"/>
      <c r="Z24" s="18"/>
      <c r="AA24" s="18"/>
      <c r="AB24" s="18"/>
      <c r="AC24" s="216" t="s">
        <v>271</v>
      </c>
      <c r="AD24" s="217"/>
      <c r="AE24" s="217"/>
      <c r="AF24" s="218"/>
      <c r="AG24" s="218"/>
      <c r="AH24" s="219"/>
      <c r="AI24" s="218"/>
      <c r="AJ24" s="218"/>
      <c r="AK24" s="218"/>
      <c r="AL24" s="218"/>
      <c r="AM24" s="220" t="e">
        <f>SUM(AJ24:AL24)/AH24</f>
        <v>#DIV/0!</v>
      </c>
      <c r="AN24" s="218"/>
      <c r="AO24" s="218"/>
      <c r="AP24" s="221" t="e">
        <f>SUM(AN24:AO24)/AI24</f>
        <v>#DIV/0!</v>
      </c>
      <c r="AQ24" s="218"/>
      <c r="AR24" s="218"/>
      <c r="AS24" s="221" t="e">
        <f>(AQ24+AR24)/$AG24</f>
        <v>#DIV/0!</v>
      </c>
      <c r="AT24" s="218"/>
      <c r="AU24" s="218"/>
      <c r="AV24" s="221" t="e">
        <f>(AT24+AU24)/$AG24</f>
        <v>#DIV/0!</v>
      </c>
      <c r="AW24" s="218"/>
      <c r="AX24" s="218"/>
      <c r="AY24" s="221" t="e">
        <f>(AW24+AX24)/$AG24</f>
        <v>#DIV/0!</v>
      </c>
      <c r="AZ24" s="222">
        <f>SUM(AN24,AQ24,AT24,AW24)</f>
        <v>0</v>
      </c>
      <c r="BA24" s="222">
        <f>SUM(AO24,AR24,AU24,AX24)</f>
        <v>0</v>
      </c>
      <c r="BB24" s="222">
        <f>SUM(AZ24:BA24)</f>
        <v>0</v>
      </c>
      <c r="BC24" s="221">
        <f>(BB24+1)/(AI24+1)</f>
        <v>1</v>
      </c>
      <c r="BD24" s="223"/>
      <c r="BE24" s="223"/>
    </row>
    <row r="25" spans="1:60" ht="15" customHeight="1" x14ac:dyDescent="0.2">
      <c r="Y25" s="23"/>
      <c r="Z25" s="18"/>
      <c r="AA25" s="18"/>
      <c r="AB25" s="18"/>
      <c r="AC25" s="224" t="s">
        <v>273</v>
      </c>
      <c r="AD25" s="225"/>
      <c r="AE25" s="225"/>
      <c r="AF25" s="226"/>
      <c r="AG25" s="226"/>
      <c r="AH25" s="227"/>
      <c r="AI25" s="226"/>
      <c r="AJ25" s="226"/>
      <c r="AK25" s="226"/>
      <c r="AL25" s="226"/>
      <c r="AM25" s="228" t="e">
        <f t="shared" ref="AM25:AM26" si="63">SUM(AJ25:AL25)/AH25</f>
        <v>#DIV/0!</v>
      </c>
      <c r="AN25" s="226"/>
      <c r="AO25" s="226"/>
      <c r="AP25" s="229" t="e">
        <f t="shared" ref="AP25:AP26" si="64">SUM(AN25:AO25)/AI25</f>
        <v>#DIV/0!</v>
      </c>
      <c r="AQ25" s="226"/>
      <c r="AR25" s="226"/>
      <c r="AS25" s="229" t="e">
        <f t="shared" ref="AS25:AS26" si="65">(AQ25+AR25)/$AG25</f>
        <v>#DIV/0!</v>
      </c>
      <c r="AT25" s="226"/>
      <c r="AU25" s="226"/>
      <c r="AV25" s="229" t="e">
        <f t="shared" ref="AV25:AV26" si="66">(AT25+AU25)/$AG25</f>
        <v>#DIV/0!</v>
      </c>
      <c r="AW25" s="226"/>
      <c r="AX25" s="226"/>
      <c r="AY25" s="229" t="e">
        <f t="shared" ref="AY25:AY26" si="67">(AW25+AX25)/$AG25</f>
        <v>#DIV/0!</v>
      </c>
      <c r="AZ25" s="230">
        <f t="shared" ref="AZ25:BA26" si="68">SUM(AN25,AQ25,AT25,AW25)</f>
        <v>0</v>
      </c>
      <c r="BA25" s="230">
        <f t="shared" si="68"/>
        <v>0</v>
      </c>
      <c r="BB25" s="230">
        <f t="shared" ref="BB25:BB26" si="69">SUM(AZ25:BA25)</f>
        <v>0</v>
      </c>
      <c r="BC25" s="229">
        <f t="shared" ref="BC25:BC26" si="70">(BB25+1)/(AI25+1)</f>
        <v>1</v>
      </c>
      <c r="BD25" s="231"/>
      <c r="BE25" s="231"/>
    </row>
    <row r="26" spans="1:60" ht="15" customHeight="1" x14ac:dyDescent="0.2">
      <c r="Y26" s="23"/>
      <c r="Z26" s="18"/>
      <c r="AA26" s="18"/>
      <c r="AB26" s="18"/>
      <c r="AC26" s="232" t="s">
        <v>275</v>
      </c>
      <c r="AD26" s="233">
        <v>46090</v>
      </c>
      <c r="AE26" s="233">
        <v>46091</v>
      </c>
      <c r="AF26" s="234">
        <v>1</v>
      </c>
      <c r="AG26" s="234">
        <v>252</v>
      </c>
      <c r="AH26" s="235">
        <v>251</v>
      </c>
      <c r="AI26" s="234">
        <v>251</v>
      </c>
      <c r="AJ26" s="234">
        <v>1</v>
      </c>
      <c r="AK26" s="234">
        <v>0</v>
      </c>
      <c r="AL26" s="234">
        <v>0</v>
      </c>
      <c r="AM26" s="236">
        <f t="shared" si="63"/>
        <v>3.9840637450199202E-3</v>
      </c>
      <c r="AN26" s="234">
        <v>18</v>
      </c>
      <c r="AO26" s="234">
        <v>0</v>
      </c>
      <c r="AP26" s="237">
        <f t="shared" si="64"/>
        <v>7.1713147410358571E-2</v>
      </c>
      <c r="AQ26" s="234">
        <v>4</v>
      </c>
      <c r="AR26" s="234">
        <v>0</v>
      </c>
      <c r="AS26" s="237">
        <f t="shared" si="65"/>
        <v>1.5873015873015872E-2</v>
      </c>
      <c r="AT26" s="234">
        <v>4</v>
      </c>
      <c r="AU26" s="234">
        <v>0</v>
      </c>
      <c r="AV26" s="237">
        <f t="shared" si="66"/>
        <v>1.5873015873015872E-2</v>
      </c>
      <c r="AW26" s="234">
        <v>0</v>
      </c>
      <c r="AX26" s="234">
        <v>0</v>
      </c>
      <c r="AY26" s="237">
        <f t="shared" si="67"/>
        <v>0</v>
      </c>
      <c r="AZ26" s="238">
        <f t="shared" si="68"/>
        <v>26</v>
      </c>
      <c r="BA26" s="238">
        <f t="shared" si="68"/>
        <v>0</v>
      </c>
      <c r="BB26" s="238">
        <f t="shared" si="69"/>
        <v>26</v>
      </c>
      <c r="BC26" s="237">
        <f t="shared" si="70"/>
        <v>0.10714285714285714</v>
      </c>
      <c r="BD26" s="239"/>
      <c r="BE26" s="239"/>
    </row>
    <row r="27" spans="1:60" ht="12.75" x14ac:dyDescent="0.2">
      <c r="O27" s="18"/>
      <c r="Q27" s="18"/>
      <c r="S27" s="18"/>
      <c r="U27" s="18"/>
      <c r="Y27" s="23"/>
      <c r="Z27" s="18"/>
      <c r="AA27" s="18"/>
      <c r="AB27" s="18"/>
      <c r="AC27" s="7"/>
      <c r="AG27" s="240">
        <f>SUM(AG24:AG26)</f>
        <v>252</v>
      </c>
      <c r="AH27" s="240">
        <f>SUM(AH24:AH26)</f>
        <v>251</v>
      </c>
      <c r="AI27" s="240">
        <f t="shared" ref="AI27:AL27" si="71">SUM(AI24:AI26)</f>
        <v>251</v>
      </c>
      <c r="AJ27" s="240">
        <f t="shared" si="71"/>
        <v>1</v>
      </c>
      <c r="AK27" s="240">
        <f t="shared" si="71"/>
        <v>0</v>
      </c>
      <c r="AL27" s="240">
        <f t="shared" si="71"/>
        <v>0</v>
      </c>
      <c r="AM27" s="135"/>
      <c r="AN27" s="240">
        <f>SUM(AN24:AN26)</f>
        <v>18</v>
      </c>
      <c r="AO27" s="240">
        <f>SUM(AO24:AO26)</f>
        <v>0</v>
      </c>
      <c r="AP27" s="241"/>
      <c r="AQ27" s="240">
        <f>SUM(AQ24:AQ26)</f>
        <v>4</v>
      </c>
      <c r="AR27" s="240">
        <f>SUM(AR24:AR26)</f>
        <v>0</v>
      </c>
      <c r="AS27" s="241"/>
      <c r="AT27" s="240">
        <f>SUM(AT24:AT26)</f>
        <v>4</v>
      </c>
      <c r="AU27" s="240">
        <f>SUM(AU24:AU26)</f>
        <v>0</v>
      </c>
      <c r="AV27" s="241"/>
      <c r="AW27" s="240">
        <f>SUM(AW24:AW26)</f>
        <v>0</v>
      </c>
      <c r="AX27" s="240">
        <f>SUM(AX24:AX26)</f>
        <v>0</v>
      </c>
      <c r="AY27" s="241"/>
      <c r="AZ27" s="240">
        <f>SUM(AZ24:AZ26)</f>
        <v>26</v>
      </c>
      <c r="BA27" s="240">
        <f>SUM(BA24:BA26)</f>
        <v>0</v>
      </c>
      <c r="BB27" s="240">
        <f>SUM(AZ27:BA27)</f>
        <v>26</v>
      </c>
      <c r="BC27" s="242">
        <f>(BB27+1)/(AI27+1)</f>
        <v>0.10714285714285714</v>
      </c>
      <c r="BD27" s="98"/>
      <c r="BE27" s="98"/>
    </row>
    <row r="28" spans="1:60" ht="12.75" x14ac:dyDescent="0.2">
      <c r="I28" s="116" t="s">
        <v>291</v>
      </c>
      <c r="J28" s="3" t="s">
        <v>292</v>
      </c>
      <c r="K28" s="116" t="s">
        <v>293</v>
      </c>
      <c r="L28" s="115"/>
      <c r="M28" s="115"/>
      <c r="N28" s="115"/>
      <c r="O28" s="115"/>
      <c r="P28" s="115"/>
      <c r="Q28" s="115"/>
      <c r="U28" s="31"/>
      <c r="V28" s="133"/>
      <c r="W28" s="133"/>
      <c r="X28" s="133"/>
      <c r="Z28" s="18"/>
      <c r="AA28" s="18"/>
      <c r="AB28" s="18"/>
      <c r="AC28" s="212" t="s">
        <v>306</v>
      </c>
      <c r="AD28" s="15"/>
      <c r="AE28" s="23"/>
      <c r="AF28" s="16"/>
      <c r="AG28" s="15"/>
      <c r="AH28" s="15"/>
      <c r="AI28" s="15"/>
      <c r="AJ28" s="15"/>
      <c r="AK28" s="15"/>
      <c r="AL28" s="22"/>
      <c r="AM28" s="213"/>
      <c r="AN28" s="23"/>
      <c r="AO28" s="23"/>
      <c r="AP28" s="7"/>
      <c r="AQ28" s="15"/>
      <c r="AR28" s="15"/>
      <c r="AS28" s="7"/>
      <c r="AT28" s="15"/>
      <c r="AU28" s="15"/>
      <c r="AV28" s="7"/>
      <c r="AW28" s="15"/>
      <c r="AX28" s="15"/>
      <c r="AY28" s="214"/>
      <c r="AZ28" s="215"/>
      <c r="BA28" s="10"/>
      <c r="BB28" s="7"/>
      <c r="BC28" s="7"/>
      <c r="BD28" s="7"/>
      <c r="BE28" s="7"/>
    </row>
    <row r="29" spans="1:60" ht="12.75" x14ac:dyDescent="0.2">
      <c r="D29" s="117"/>
      <c r="E29" s="117"/>
      <c r="F29" s="118"/>
      <c r="I29" s="119">
        <f>ROUND(AVERAGE(G3),0)</f>
        <v>279</v>
      </c>
      <c r="J29" s="5">
        <f>AVERAGE(W3)</f>
        <v>9</v>
      </c>
      <c r="K29" s="148">
        <f>(J29+1)/(I29+1)</f>
        <v>3.5714285714285712E-2</v>
      </c>
      <c r="L29" s="115"/>
      <c r="M29" s="115"/>
      <c r="N29" s="115"/>
      <c r="O29" s="115"/>
      <c r="P29" s="115"/>
      <c r="Q29" s="115"/>
      <c r="Y29" s="17"/>
      <c r="Z29" s="18"/>
      <c r="AA29" s="18"/>
      <c r="AB29" s="18"/>
      <c r="AC29" s="216" t="s">
        <v>271</v>
      </c>
      <c r="AD29" s="217"/>
      <c r="AE29" s="217"/>
      <c r="AF29" s="218"/>
      <c r="AG29" s="218"/>
      <c r="AH29" s="219"/>
      <c r="AI29" s="218"/>
      <c r="AJ29" s="218"/>
      <c r="AK29" s="218"/>
      <c r="AL29" s="218"/>
      <c r="AM29" s="220" t="e">
        <f>SUM(AJ29:AL29)/AH29</f>
        <v>#DIV/0!</v>
      </c>
      <c r="AN29" s="218"/>
      <c r="AO29" s="218"/>
      <c r="AP29" s="221" t="e">
        <f>SUM(AN29:AO29)/AI29</f>
        <v>#DIV/0!</v>
      </c>
      <c r="AQ29" s="218"/>
      <c r="AR29" s="218"/>
      <c r="AS29" s="221" t="e">
        <f>(AQ29+AR29)/$AG29</f>
        <v>#DIV/0!</v>
      </c>
      <c r="AT29" s="218"/>
      <c r="AU29" s="218"/>
      <c r="AV29" s="221" t="e">
        <f>(AT29+AU29)/$AG29</f>
        <v>#DIV/0!</v>
      </c>
      <c r="AW29" s="218"/>
      <c r="AX29" s="218"/>
      <c r="AY29" s="221" t="e">
        <f>(AW29+AX29)/$AG29</f>
        <v>#DIV/0!</v>
      </c>
      <c r="AZ29" s="222">
        <f>SUM(AN29,AQ29,AT29,AW29)</f>
        <v>0</v>
      </c>
      <c r="BA29" s="222">
        <f>SUM(AO29,AR29,AU29,AX29)</f>
        <v>0</v>
      </c>
      <c r="BB29" s="222">
        <f>SUM(AZ29:BA29)</f>
        <v>0</v>
      </c>
      <c r="BC29" s="221">
        <f>(BB29+1)/(AI29+1)</f>
        <v>1</v>
      </c>
      <c r="BD29" s="223"/>
      <c r="BE29" s="223"/>
    </row>
    <row r="30" spans="1:60" ht="15" customHeight="1" x14ac:dyDescent="0.2">
      <c r="I30" s="120" t="s">
        <v>294</v>
      </c>
      <c r="J30" s="115"/>
      <c r="K30" s="120"/>
      <c r="L30" s="115"/>
      <c r="M30" s="115"/>
      <c r="N30" s="115"/>
      <c r="O30" s="115"/>
      <c r="P30" s="115"/>
      <c r="Q30" s="115"/>
      <c r="Y30" s="17"/>
      <c r="Z30" s="18"/>
      <c r="AA30" s="18"/>
      <c r="AB30" s="18"/>
      <c r="AC30" s="224" t="s">
        <v>273</v>
      </c>
      <c r="AD30" s="225"/>
      <c r="AE30" s="225"/>
      <c r="AF30" s="226"/>
      <c r="AG30" s="226"/>
      <c r="AH30" s="227"/>
      <c r="AI30" s="226"/>
      <c r="AJ30" s="226"/>
      <c r="AK30" s="226"/>
      <c r="AL30" s="226"/>
      <c r="AM30" s="228" t="e">
        <f t="shared" ref="AM30:AM31" si="72">SUM(AJ30:AL30)/AH30</f>
        <v>#DIV/0!</v>
      </c>
      <c r="AN30" s="226"/>
      <c r="AO30" s="226"/>
      <c r="AP30" s="229" t="e">
        <f t="shared" ref="AP30:AP31" si="73">SUM(AN30:AO30)/AI30</f>
        <v>#DIV/0!</v>
      </c>
      <c r="AQ30" s="226"/>
      <c r="AR30" s="226"/>
      <c r="AS30" s="229" t="e">
        <f t="shared" ref="AS30:AS31" si="74">(AQ30+AR30)/$AG30</f>
        <v>#DIV/0!</v>
      </c>
      <c r="AT30" s="226"/>
      <c r="AU30" s="226"/>
      <c r="AV30" s="229" t="e">
        <f t="shared" ref="AV30:AV31" si="75">(AT30+AU30)/$AG30</f>
        <v>#DIV/0!</v>
      </c>
      <c r="AW30" s="226"/>
      <c r="AX30" s="226"/>
      <c r="AY30" s="229" t="e">
        <f t="shared" ref="AY30:AY31" si="76">(AW30+AX30)/$AG30</f>
        <v>#DIV/0!</v>
      </c>
      <c r="AZ30" s="230">
        <f t="shared" ref="AZ30:BA31" si="77">SUM(AN30,AQ30,AT30,AW30)</f>
        <v>0</v>
      </c>
      <c r="BA30" s="230">
        <f t="shared" si="77"/>
        <v>0</v>
      </c>
      <c r="BB30" s="230">
        <f t="shared" ref="BB30:BB31" si="78">SUM(AZ30:BA30)</f>
        <v>0</v>
      </c>
      <c r="BC30" s="229">
        <f t="shared" ref="BC30:BC31" si="79">(BB30+1)/(AI30+1)</f>
        <v>1</v>
      </c>
      <c r="BD30" s="231"/>
      <c r="BE30" s="231"/>
    </row>
    <row r="31" spans="1:60" ht="15" customHeight="1" x14ac:dyDescent="0.2">
      <c r="J31" s="121"/>
      <c r="K31" s="121"/>
      <c r="L31" s="121"/>
      <c r="M31" s="38"/>
      <c r="Y31" s="17"/>
      <c r="Z31" s="18"/>
      <c r="AA31" s="18"/>
      <c r="AB31" s="18"/>
      <c r="AC31" s="232" t="s">
        <v>275</v>
      </c>
      <c r="AD31" s="233">
        <v>46093</v>
      </c>
      <c r="AE31" s="233">
        <v>46094</v>
      </c>
      <c r="AF31" s="234">
        <v>1</v>
      </c>
      <c r="AG31" s="234">
        <v>261</v>
      </c>
      <c r="AH31" s="235">
        <v>261</v>
      </c>
      <c r="AI31" s="234">
        <v>260</v>
      </c>
      <c r="AJ31" s="234">
        <v>0</v>
      </c>
      <c r="AK31" s="234">
        <v>0</v>
      </c>
      <c r="AL31" s="234">
        <v>1</v>
      </c>
      <c r="AM31" s="236">
        <f t="shared" si="72"/>
        <v>3.8314176245210726E-3</v>
      </c>
      <c r="AN31" s="234">
        <v>15</v>
      </c>
      <c r="AO31" s="234">
        <v>0</v>
      </c>
      <c r="AP31" s="237">
        <f t="shared" si="73"/>
        <v>5.7692307692307696E-2</v>
      </c>
      <c r="AQ31" s="234">
        <v>2</v>
      </c>
      <c r="AR31" s="234">
        <v>0</v>
      </c>
      <c r="AS31" s="237">
        <f t="shared" si="74"/>
        <v>7.6628352490421452E-3</v>
      </c>
      <c r="AT31" s="234">
        <v>0</v>
      </c>
      <c r="AU31" s="234">
        <v>0</v>
      </c>
      <c r="AV31" s="237">
        <f t="shared" si="75"/>
        <v>0</v>
      </c>
      <c r="AW31" s="234">
        <v>0</v>
      </c>
      <c r="AX31" s="234">
        <v>0</v>
      </c>
      <c r="AY31" s="237">
        <f t="shared" si="76"/>
        <v>0</v>
      </c>
      <c r="AZ31" s="238">
        <f t="shared" si="77"/>
        <v>17</v>
      </c>
      <c r="BA31" s="238">
        <f t="shared" si="77"/>
        <v>0</v>
      </c>
      <c r="BB31" s="238">
        <f t="shared" si="78"/>
        <v>17</v>
      </c>
      <c r="BC31" s="237">
        <f t="shared" si="79"/>
        <v>6.8965517241379309E-2</v>
      </c>
      <c r="BD31" s="239"/>
      <c r="BE31" s="239"/>
    </row>
    <row r="32" spans="1:60" ht="15" customHeight="1" x14ac:dyDescent="0.2">
      <c r="J32" s="121"/>
      <c r="K32" s="121"/>
      <c r="L32" s="121"/>
      <c r="M32" s="38"/>
      <c r="O32" s="18"/>
      <c r="Q32" s="18"/>
      <c r="S32" s="18"/>
      <c r="Y32" s="17"/>
      <c r="AC32" s="7"/>
      <c r="AG32" s="240">
        <f>SUM(AG29:AG31)</f>
        <v>261</v>
      </c>
      <c r="AH32" s="240">
        <f>SUM(AH29:AH31)</f>
        <v>261</v>
      </c>
      <c r="AI32" s="240">
        <f t="shared" ref="AI32:AL32" si="80">SUM(AI29:AI31)</f>
        <v>260</v>
      </c>
      <c r="AJ32" s="240">
        <f t="shared" si="80"/>
        <v>0</v>
      </c>
      <c r="AK32" s="240">
        <f t="shared" si="80"/>
        <v>0</v>
      </c>
      <c r="AL32" s="240">
        <f t="shared" si="80"/>
        <v>1</v>
      </c>
      <c r="AM32" s="135"/>
      <c r="AN32" s="240">
        <f>SUM(AN29:AN31)</f>
        <v>15</v>
      </c>
      <c r="AO32" s="240">
        <f>SUM(AO29:AO31)</f>
        <v>0</v>
      </c>
      <c r="AP32" s="241"/>
      <c r="AQ32" s="240">
        <f>SUM(AQ29:AQ31)</f>
        <v>2</v>
      </c>
      <c r="AR32" s="240">
        <f>SUM(AR29:AR31)</f>
        <v>0</v>
      </c>
      <c r="AS32" s="241"/>
      <c r="AT32" s="240">
        <f>SUM(AT29:AT31)</f>
        <v>0</v>
      </c>
      <c r="AU32" s="240">
        <f>SUM(AU29:AU31)</f>
        <v>0</v>
      </c>
      <c r="AV32" s="241"/>
      <c r="AW32" s="240">
        <f>SUM(AW29:AW31)</f>
        <v>0</v>
      </c>
      <c r="AX32" s="240">
        <f>SUM(AX29:AX31)</f>
        <v>0</v>
      </c>
      <c r="AY32" s="241"/>
      <c r="AZ32" s="240">
        <f>SUM(AZ29:AZ31)</f>
        <v>17</v>
      </c>
      <c r="BA32" s="240">
        <f>SUM(BA29:BA31)</f>
        <v>0</v>
      </c>
      <c r="BB32" s="240">
        <f>SUM(AZ32:BA32)</f>
        <v>17</v>
      </c>
      <c r="BC32" s="242">
        <f>(BB32+1)/(AI32+1)</f>
        <v>6.8965517241379309E-2</v>
      </c>
      <c r="BD32" s="98"/>
      <c r="BE32" s="98"/>
    </row>
    <row r="33" spans="3:59" ht="15" customHeight="1" x14ac:dyDescent="0.2">
      <c r="D33" s="105"/>
      <c r="E33" s="105"/>
      <c r="F33" s="105"/>
      <c r="G33" s="105"/>
      <c r="H33" s="105"/>
      <c r="I33" s="105"/>
      <c r="J33" s="105"/>
      <c r="K33" s="105"/>
      <c r="L33" s="105"/>
      <c r="M33" s="105"/>
      <c r="N33" s="105"/>
      <c r="O33" s="105"/>
      <c r="P33" s="105"/>
      <c r="Q33" s="105"/>
      <c r="R33" s="105"/>
      <c r="S33" s="105"/>
      <c r="T33" s="105"/>
      <c r="U33" s="18"/>
      <c r="Y33" s="18"/>
      <c r="AC33" s="212" t="s">
        <v>307</v>
      </c>
      <c r="AD33" s="15"/>
      <c r="AE33" s="23"/>
      <c r="AF33" s="16"/>
      <c r="AG33" s="15"/>
      <c r="AH33" s="15"/>
      <c r="AI33" s="15"/>
      <c r="AJ33" s="15"/>
      <c r="AK33" s="15"/>
      <c r="AL33" s="22"/>
      <c r="AM33" s="213"/>
      <c r="AN33" s="23"/>
      <c r="AO33" s="23"/>
      <c r="AP33" s="7"/>
      <c r="AQ33" s="15"/>
      <c r="AR33" s="15"/>
      <c r="AS33" s="7"/>
      <c r="AT33" s="15"/>
      <c r="AU33" s="15"/>
      <c r="AV33" s="7"/>
      <c r="AW33" s="15"/>
      <c r="AX33" s="15"/>
      <c r="AY33" s="214"/>
      <c r="AZ33" s="215"/>
      <c r="BA33" s="10"/>
      <c r="BB33" s="7"/>
      <c r="BC33" s="7"/>
      <c r="BD33" s="7"/>
      <c r="BE33" s="7"/>
    </row>
    <row r="34" spans="3:59" ht="15" customHeight="1" x14ac:dyDescent="0.25">
      <c r="C34" s="108"/>
      <c r="D34" s="126"/>
      <c r="E34" s="126"/>
      <c r="F34" s="127"/>
      <c r="G34" s="128"/>
      <c r="H34" s="128"/>
      <c r="I34" s="128"/>
      <c r="J34" s="121"/>
      <c r="K34" s="121"/>
      <c r="L34" s="121"/>
      <c r="M34" s="38"/>
      <c r="S34" s="18"/>
      <c r="U34" s="43"/>
      <c r="V34" s="134"/>
      <c r="W34" s="134"/>
      <c r="X34" s="134"/>
      <c r="AC34" s="216" t="s">
        <v>271</v>
      </c>
      <c r="AD34" s="217">
        <v>46093</v>
      </c>
      <c r="AE34" s="217">
        <v>46094</v>
      </c>
      <c r="AF34" s="218">
        <v>1</v>
      </c>
      <c r="AG34" s="218">
        <v>237</v>
      </c>
      <c r="AH34" s="219">
        <v>237</v>
      </c>
      <c r="AI34" s="218">
        <v>237</v>
      </c>
      <c r="AJ34" s="218">
        <v>0</v>
      </c>
      <c r="AK34" s="218">
        <v>0</v>
      </c>
      <c r="AL34" s="218">
        <v>0</v>
      </c>
      <c r="AM34" s="220">
        <f>SUM(AJ34:AL34)/AH34</f>
        <v>0</v>
      </c>
      <c r="AN34" s="218">
        <v>24</v>
      </c>
      <c r="AO34" s="218">
        <v>0</v>
      </c>
      <c r="AP34" s="221">
        <f>SUM(AN34:AO34)/AI34</f>
        <v>0.10126582278481013</v>
      </c>
      <c r="AQ34" s="218">
        <v>11</v>
      </c>
      <c r="AR34" s="218">
        <v>0</v>
      </c>
      <c r="AS34" s="221">
        <f>(AQ34+AR34)/$AG34</f>
        <v>4.6413502109704644E-2</v>
      </c>
      <c r="AT34" s="218">
        <v>0</v>
      </c>
      <c r="AU34" s="218">
        <v>0</v>
      </c>
      <c r="AV34" s="221">
        <f>(AT34+AU34)/$AG34</f>
        <v>0</v>
      </c>
      <c r="AW34" s="218">
        <v>0</v>
      </c>
      <c r="AX34" s="218">
        <v>0</v>
      </c>
      <c r="AY34" s="221">
        <f>(AW34+AX34)/$AG34</f>
        <v>0</v>
      </c>
      <c r="AZ34" s="222">
        <f>SUM(AN34,AQ34,AT34,AW34)</f>
        <v>35</v>
      </c>
      <c r="BA34" s="222">
        <f>SUM(AO34,AR34,AU34,AX34)</f>
        <v>0</v>
      </c>
      <c r="BB34" s="222">
        <f>SUM(AZ34:BA34)</f>
        <v>35</v>
      </c>
      <c r="BC34" s="221">
        <f>(BB34+1)/(AI34+1)</f>
        <v>0.15126050420168066</v>
      </c>
      <c r="BD34" s="223"/>
      <c r="BE34" s="223"/>
    </row>
    <row r="35" spans="3:59" ht="15" customHeight="1" x14ac:dyDescent="0.2">
      <c r="S35" s="18"/>
      <c r="U35" s="43"/>
      <c r="V35" s="134"/>
      <c r="W35" s="134"/>
      <c r="X35" s="134"/>
      <c r="AC35" s="224" t="s">
        <v>273</v>
      </c>
      <c r="AD35" s="225"/>
      <c r="AE35" s="225"/>
      <c r="AF35" s="226"/>
      <c r="AG35" s="226"/>
      <c r="AH35" s="227"/>
      <c r="AI35" s="226"/>
      <c r="AJ35" s="226"/>
      <c r="AK35" s="226"/>
      <c r="AL35" s="226"/>
      <c r="AM35" s="228" t="e">
        <f t="shared" ref="AM35:AM36" si="81">SUM(AJ35:AL35)/AH35</f>
        <v>#DIV/0!</v>
      </c>
      <c r="AN35" s="226"/>
      <c r="AO35" s="226"/>
      <c r="AP35" s="229" t="e">
        <f t="shared" ref="AP35:AP36" si="82">SUM(AN35:AO35)/AI35</f>
        <v>#DIV/0!</v>
      </c>
      <c r="AQ35" s="226"/>
      <c r="AR35" s="226"/>
      <c r="AS35" s="229" t="e">
        <f t="shared" ref="AS35:AS36" si="83">(AQ35+AR35)/$AG35</f>
        <v>#DIV/0!</v>
      </c>
      <c r="AT35" s="226"/>
      <c r="AU35" s="226"/>
      <c r="AV35" s="229" t="e">
        <f t="shared" ref="AV35:AV36" si="84">(AT35+AU35)/$AG35</f>
        <v>#DIV/0!</v>
      </c>
      <c r="AW35" s="226"/>
      <c r="AX35" s="226"/>
      <c r="AY35" s="229" t="e">
        <f t="shared" ref="AY35:AY36" si="85">(AW35+AX35)/$AG35</f>
        <v>#DIV/0!</v>
      </c>
      <c r="AZ35" s="230">
        <f t="shared" ref="AZ35:BA36" si="86">SUM(AN35,AQ35,AT35,AW35)</f>
        <v>0</v>
      </c>
      <c r="BA35" s="230">
        <f t="shared" si="86"/>
        <v>0</v>
      </c>
      <c r="BB35" s="230">
        <f t="shared" ref="BB35:BB36" si="87">SUM(AZ35:BA35)</f>
        <v>0</v>
      </c>
      <c r="BC35" s="229">
        <f t="shared" ref="BC35:BC36" si="88">(BB35+1)/(AI35+1)</f>
        <v>1</v>
      </c>
      <c r="BD35" s="231"/>
      <c r="BE35" s="231"/>
    </row>
    <row r="36" spans="3:59" ht="15" customHeight="1" x14ac:dyDescent="0.2">
      <c r="S36" s="18"/>
      <c r="U36" s="43"/>
      <c r="V36" s="134"/>
      <c r="W36" s="134"/>
      <c r="X36" s="134"/>
      <c r="AC36" s="232" t="s">
        <v>275</v>
      </c>
      <c r="AD36" s="233"/>
      <c r="AE36" s="233"/>
      <c r="AF36" s="234"/>
      <c r="AG36" s="234"/>
      <c r="AH36" s="235"/>
      <c r="AI36" s="234"/>
      <c r="AJ36" s="234"/>
      <c r="AK36" s="234"/>
      <c r="AL36" s="234"/>
      <c r="AM36" s="236" t="e">
        <f t="shared" si="81"/>
        <v>#DIV/0!</v>
      </c>
      <c r="AN36" s="234"/>
      <c r="AO36" s="234"/>
      <c r="AP36" s="237" t="e">
        <f t="shared" si="82"/>
        <v>#DIV/0!</v>
      </c>
      <c r="AQ36" s="234"/>
      <c r="AR36" s="234"/>
      <c r="AS36" s="237" t="e">
        <f t="shared" si="83"/>
        <v>#DIV/0!</v>
      </c>
      <c r="AT36" s="234"/>
      <c r="AU36" s="234"/>
      <c r="AV36" s="237" t="e">
        <f t="shared" si="84"/>
        <v>#DIV/0!</v>
      </c>
      <c r="AW36" s="234"/>
      <c r="AX36" s="234"/>
      <c r="AY36" s="237" t="e">
        <f t="shared" si="85"/>
        <v>#DIV/0!</v>
      </c>
      <c r="AZ36" s="238">
        <f t="shared" si="86"/>
        <v>0</v>
      </c>
      <c r="BA36" s="238">
        <f t="shared" si="86"/>
        <v>0</v>
      </c>
      <c r="BB36" s="238">
        <f t="shared" si="87"/>
        <v>0</v>
      </c>
      <c r="BC36" s="237">
        <f t="shared" si="88"/>
        <v>1</v>
      </c>
      <c r="BD36" s="239"/>
      <c r="BE36" s="239"/>
    </row>
    <row r="37" spans="3:59" ht="15" customHeight="1" x14ac:dyDescent="0.2">
      <c r="S37" s="18"/>
      <c r="U37" s="43"/>
      <c r="V37" s="134"/>
      <c r="W37" s="134"/>
      <c r="X37" s="134"/>
      <c r="Z37" s="18"/>
      <c r="AA37" s="18"/>
      <c r="AB37" s="18"/>
      <c r="AC37" s="7"/>
      <c r="AG37" s="240">
        <f>SUM(AG34:AG36)</f>
        <v>237</v>
      </c>
      <c r="AH37" s="240">
        <f>SUM(AH34:AH36)</f>
        <v>237</v>
      </c>
      <c r="AI37" s="240">
        <f t="shared" ref="AI37:AL37" si="89">SUM(AI34:AI36)</f>
        <v>237</v>
      </c>
      <c r="AJ37" s="240">
        <f t="shared" si="89"/>
        <v>0</v>
      </c>
      <c r="AK37" s="240">
        <f t="shared" si="89"/>
        <v>0</v>
      </c>
      <c r="AL37" s="240">
        <f t="shared" si="89"/>
        <v>0</v>
      </c>
      <c r="AM37" s="135"/>
      <c r="AN37" s="240">
        <f>SUM(AN34:AN36)</f>
        <v>24</v>
      </c>
      <c r="AO37" s="240">
        <f>SUM(AO34:AO36)</f>
        <v>0</v>
      </c>
      <c r="AP37" s="241"/>
      <c r="AQ37" s="240">
        <f>SUM(AQ34:AQ36)</f>
        <v>11</v>
      </c>
      <c r="AR37" s="240">
        <f>SUM(AR34:AR36)</f>
        <v>0</v>
      </c>
      <c r="AS37" s="241"/>
      <c r="AT37" s="240">
        <f>SUM(AT34:AT36)</f>
        <v>0</v>
      </c>
      <c r="AU37" s="240">
        <f>SUM(AU34:AU36)</f>
        <v>0</v>
      </c>
      <c r="AV37" s="241"/>
      <c r="AW37" s="240">
        <f>SUM(AW34:AW36)</f>
        <v>0</v>
      </c>
      <c r="AX37" s="240">
        <f>SUM(AX34:AX36)</f>
        <v>0</v>
      </c>
      <c r="AY37" s="241"/>
      <c r="AZ37" s="240">
        <f>SUM(AZ34:AZ36)</f>
        <v>35</v>
      </c>
      <c r="BA37" s="240">
        <f>SUM(BA34:BA36)</f>
        <v>0</v>
      </c>
      <c r="BB37" s="240">
        <f>SUM(AZ37:BA37)</f>
        <v>35</v>
      </c>
      <c r="BC37" s="242">
        <f>(BB37+1)/(AI37+1)</f>
        <v>0.15126050420168066</v>
      </c>
      <c r="BD37" s="98"/>
      <c r="BE37" s="98"/>
    </row>
    <row r="38" spans="3:59" ht="15" customHeight="1" x14ac:dyDescent="0.2">
      <c r="AC38" s="212" t="s">
        <v>308</v>
      </c>
      <c r="AD38" s="15"/>
      <c r="AE38" s="23"/>
      <c r="AF38" s="16"/>
      <c r="AG38" s="15"/>
      <c r="AH38" s="15"/>
      <c r="AI38" s="15"/>
      <c r="AJ38" s="15"/>
      <c r="AK38" s="15"/>
      <c r="AL38" s="22"/>
      <c r="AM38" s="213"/>
      <c r="AN38" s="23"/>
      <c r="AO38" s="23"/>
      <c r="AP38" s="7"/>
      <c r="AQ38" s="15"/>
      <c r="AR38" s="15"/>
      <c r="AS38" s="7"/>
      <c r="AT38" s="15"/>
      <c r="AU38" s="15"/>
      <c r="AV38" s="7"/>
      <c r="AW38" s="15"/>
      <c r="AX38" s="15"/>
      <c r="AY38" s="214"/>
      <c r="AZ38" s="215"/>
      <c r="BA38" s="10"/>
      <c r="BB38" s="7"/>
      <c r="BC38" s="7"/>
      <c r="BD38" s="7"/>
      <c r="BE38" s="7"/>
    </row>
    <row r="39" spans="3:59" ht="15" customHeight="1" x14ac:dyDescent="0.2">
      <c r="AC39" s="216" t="s">
        <v>271</v>
      </c>
      <c r="AD39" s="217">
        <v>46097</v>
      </c>
      <c r="AE39" s="217"/>
      <c r="AF39" s="218">
        <v>5</v>
      </c>
      <c r="AG39" s="218">
        <v>261</v>
      </c>
      <c r="AH39" s="219">
        <v>260</v>
      </c>
      <c r="AI39" s="218">
        <v>260</v>
      </c>
      <c r="AJ39" s="218">
        <v>1</v>
      </c>
      <c r="AK39" s="218">
        <v>0</v>
      </c>
      <c r="AL39" s="218">
        <v>0</v>
      </c>
      <c r="AM39" s="220">
        <f>SUM(AJ39:AL39)/AH39</f>
        <v>3.8461538461538464E-3</v>
      </c>
      <c r="AN39" s="218">
        <v>52</v>
      </c>
      <c r="AO39" s="218">
        <v>0</v>
      </c>
      <c r="AP39" s="221">
        <f>SUM(AN39:AO39)/AI39</f>
        <v>0.2</v>
      </c>
      <c r="AQ39" s="218">
        <v>3</v>
      </c>
      <c r="AR39" s="218">
        <v>0</v>
      </c>
      <c r="AS39" s="221">
        <f>(AQ39+AR39)/$AG39</f>
        <v>1.1494252873563218E-2</v>
      </c>
      <c r="AT39" s="218">
        <v>0</v>
      </c>
      <c r="AU39" s="218">
        <v>0</v>
      </c>
      <c r="AV39" s="221">
        <f>(AT39+AU39)/$AG39</f>
        <v>0</v>
      </c>
      <c r="AW39" s="218">
        <v>0</v>
      </c>
      <c r="AX39" s="218">
        <v>0</v>
      </c>
      <c r="AY39" s="221">
        <f>(AW39+AX39)/$AG39</f>
        <v>0</v>
      </c>
      <c r="AZ39" s="222">
        <f>SUM(AN39,AQ39,AT39,AW39)</f>
        <v>55</v>
      </c>
      <c r="BA39" s="222">
        <f>SUM(AO39,AR39,AU39,AX39)</f>
        <v>0</v>
      </c>
      <c r="BB39" s="222">
        <f>SUM(AZ39:BA39)</f>
        <v>55</v>
      </c>
      <c r="BC39" s="221">
        <f>(BB39+1)/(AI39+1)</f>
        <v>0.21455938697318008</v>
      </c>
      <c r="BD39" s="223"/>
      <c r="BE39" s="223"/>
    </row>
    <row r="40" spans="3:59" ht="15" customHeight="1" x14ac:dyDescent="0.2">
      <c r="AC40" s="224" t="s">
        <v>273</v>
      </c>
      <c r="AD40" s="225"/>
      <c r="AE40" s="225"/>
      <c r="AF40" s="226"/>
      <c r="AG40" s="226"/>
      <c r="AH40" s="227"/>
      <c r="AI40" s="226"/>
      <c r="AJ40" s="226"/>
      <c r="AK40" s="226"/>
      <c r="AL40" s="226"/>
      <c r="AM40" s="228" t="e">
        <f t="shared" ref="AM40:AM41" si="90">SUM(AJ40:AL40)/AH40</f>
        <v>#DIV/0!</v>
      </c>
      <c r="AN40" s="226"/>
      <c r="AO40" s="226"/>
      <c r="AP40" s="229" t="e">
        <f t="shared" ref="AP40:AP41" si="91">SUM(AN40:AO40)/AI40</f>
        <v>#DIV/0!</v>
      </c>
      <c r="AQ40" s="226"/>
      <c r="AR40" s="226"/>
      <c r="AS40" s="229" t="e">
        <f t="shared" ref="AS40:AS41" si="92">(AQ40+AR40)/$AG40</f>
        <v>#DIV/0!</v>
      </c>
      <c r="AT40" s="226"/>
      <c r="AU40" s="226"/>
      <c r="AV40" s="229" t="e">
        <f t="shared" ref="AV40:AV41" si="93">(AT40+AU40)/$AG40</f>
        <v>#DIV/0!</v>
      </c>
      <c r="AW40" s="226"/>
      <c r="AX40" s="226"/>
      <c r="AY40" s="229" t="e">
        <f t="shared" ref="AY40:AY41" si="94">(AW40+AX40)/$AG40</f>
        <v>#DIV/0!</v>
      </c>
      <c r="AZ40" s="230">
        <f t="shared" ref="AZ40:BA41" si="95">SUM(AN40,AQ40,AT40,AW40)</f>
        <v>0</v>
      </c>
      <c r="BA40" s="230">
        <f t="shared" si="95"/>
        <v>0</v>
      </c>
      <c r="BB40" s="230">
        <f t="shared" ref="BB40:BB41" si="96">SUM(AZ40:BA40)</f>
        <v>0</v>
      </c>
      <c r="BC40" s="229">
        <f t="shared" ref="BC40:BC41" si="97">(BB40+1)/(AI40+1)</f>
        <v>1</v>
      </c>
      <c r="BD40" s="231"/>
      <c r="BE40" s="231"/>
    </row>
    <row r="41" spans="3:59" ht="15" customHeight="1" x14ac:dyDescent="0.2">
      <c r="Z41" s="18"/>
      <c r="AA41" s="18"/>
      <c r="AB41" s="18"/>
      <c r="AC41" s="232" t="s">
        <v>275</v>
      </c>
      <c r="AD41" s="233"/>
      <c r="AE41" s="233"/>
      <c r="AF41" s="234"/>
      <c r="AG41" s="234"/>
      <c r="AH41" s="235"/>
      <c r="AI41" s="234"/>
      <c r="AJ41" s="234"/>
      <c r="AK41" s="234"/>
      <c r="AL41" s="234"/>
      <c r="AM41" s="236" t="e">
        <f t="shared" si="90"/>
        <v>#DIV/0!</v>
      </c>
      <c r="AN41" s="234"/>
      <c r="AO41" s="234"/>
      <c r="AP41" s="237" t="e">
        <f t="shared" si="91"/>
        <v>#DIV/0!</v>
      </c>
      <c r="AQ41" s="234"/>
      <c r="AR41" s="234"/>
      <c r="AS41" s="237" t="e">
        <f t="shared" si="92"/>
        <v>#DIV/0!</v>
      </c>
      <c r="AT41" s="234"/>
      <c r="AU41" s="234"/>
      <c r="AV41" s="237" t="e">
        <f t="shared" si="93"/>
        <v>#DIV/0!</v>
      </c>
      <c r="AW41" s="234"/>
      <c r="AX41" s="234"/>
      <c r="AY41" s="237" t="e">
        <f t="shared" si="94"/>
        <v>#DIV/0!</v>
      </c>
      <c r="AZ41" s="238">
        <f t="shared" si="95"/>
        <v>0</v>
      </c>
      <c r="BA41" s="238">
        <f t="shared" si="95"/>
        <v>0</v>
      </c>
      <c r="BB41" s="238">
        <f t="shared" si="96"/>
        <v>0</v>
      </c>
      <c r="BC41" s="237">
        <f t="shared" si="97"/>
        <v>1</v>
      </c>
      <c r="BD41" s="239"/>
      <c r="BE41" s="239"/>
    </row>
    <row r="42" spans="3:59" ht="15" customHeight="1" x14ac:dyDescent="0.2">
      <c r="AC42" s="7"/>
      <c r="AG42" s="240">
        <f>SUM(AG39:AG41)</f>
        <v>261</v>
      </c>
      <c r="AH42" s="240">
        <f>SUM(AH39:AH41)</f>
        <v>260</v>
      </c>
      <c r="AI42" s="240">
        <f t="shared" ref="AI42:AL42" si="98">SUM(AI39:AI41)</f>
        <v>260</v>
      </c>
      <c r="AJ42" s="240">
        <f t="shared" si="98"/>
        <v>1</v>
      </c>
      <c r="AK42" s="240">
        <f t="shared" si="98"/>
        <v>0</v>
      </c>
      <c r="AL42" s="240">
        <f t="shared" si="98"/>
        <v>0</v>
      </c>
      <c r="AM42" s="135"/>
      <c r="AN42" s="240">
        <f>SUM(AN39:AN41)</f>
        <v>52</v>
      </c>
      <c r="AO42" s="240">
        <f>SUM(AO39:AO41)</f>
        <v>0</v>
      </c>
      <c r="AP42" s="241"/>
      <c r="AQ42" s="240">
        <f>SUM(AQ39:AQ41)</f>
        <v>3</v>
      </c>
      <c r="AR42" s="240">
        <f>SUM(AR39:AR41)</f>
        <v>0</v>
      </c>
      <c r="AS42" s="241"/>
      <c r="AT42" s="240">
        <f>SUM(AT39:AT41)</f>
        <v>0</v>
      </c>
      <c r="AU42" s="240">
        <f>SUM(AU39:AU41)</f>
        <v>0</v>
      </c>
      <c r="AV42" s="241"/>
      <c r="AW42" s="240">
        <f>SUM(AW39:AW41)</f>
        <v>0</v>
      </c>
      <c r="AX42" s="240">
        <f>SUM(AX39:AX41)</f>
        <v>0</v>
      </c>
      <c r="AY42" s="241"/>
      <c r="AZ42" s="240">
        <f>SUM(AZ39:AZ41)</f>
        <v>55</v>
      </c>
      <c r="BA42" s="240">
        <f>SUM(BA39:BA41)</f>
        <v>0</v>
      </c>
      <c r="BB42" s="240">
        <f>SUM(AZ42:BA42)</f>
        <v>55</v>
      </c>
      <c r="BC42" s="242">
        <f>(BB42+1)/(AI42+1)</f>
        <v>0.21455938697318008</v>
      </c>
      <c r="BD42" s="98"/>
      <c r="BE42" s="98"/>
    </row>
    <row r="43" spans="3:59" ht="15" customHeight="1" x14ac:dyDescent="0.2">
      <c r="AC43" s="212" t="s">
        <v>309</v>
      </c>
      <c r="AD43" s="15"/>
      <c r="AE43" s="23"/>
      <c r="AF43" s="16"/>
      <c r="AG43" s="15"/>
      <c r="AH43" s="15"/>
      <c r="AI43" s="15"/>
      <c r="AJ43" s="15"/>
      <c r="AK43" s="15"/>
      <c r="AL43" s="22"/>
      <c r="AM43" s="213"/>
      <c r="AN43" s="23"/>
      <c r="AO43" s="23"/>
      <c r="AP43" s="7"/>
      <c r="AQ43" s="15"/>
      <c r="AR43" s="15"/>
      <c r="AS43" s="7"/>
      <c r="AT43" s="15"/>
      <c r="AU43" s="15"/>
      <c r="AV43" s="7"/>
      <c r="AW43" s="15"/>
      <c r="AX43" s="15"/>
      <c r="AY43" s="214"/>
      <c r="AZ43" s="215"/>
      <c r="BA43" s="10"/>
      <c r="BB43" s="7"/>
      <c r="BC43" s="7"/>
      <c r="BD43" s="7"/>
      <c r="BE43" s="7"/>
    </row>
    <row r="44" spans="3:59" ht="15" customHeight="1" x14ac:dyDescent="0.2">
      <c r="AC44" s="216" t="s">
        <v>271</v>
      </c>
      <c r="AD44" s="217"/>
      <c r="AE44" s="217"/>
      <c r="AF44" s="218"/>
      <c r="AG44" s="218"/>
      <c r="AH44" s="219"/>
      <c r="AI44" s="218"/>
      <c r="AJ44" s="218"/>
      <c r="AK44" s="218"/>
      <c r="AL44" s="218"/>
      <c r="AM44" s="220" t="e">
        <f>SUM(AJ44:AL44)/AH44</f>
        <v>#DIV/0!</v>
      </c>
      <c r="AN44" s="218"/>
      <c r="AO44" s="218"/>
      <c r="AP44" s="221" t="e">
        <f>SUM(AN44:AO44)/AI44</f>
        <v>#DIV/0!</v>
      </c>
      <c r="AQ44" s="218"/>
      <c r="AR44" s="218"/>
      <c r="AS44" s="221" t="e">
        <f>(AQ44+AR44)/$AG44</f>
        <v>#DIV/0!</v>
      </c>
      <c r="AT44" s="218"/>
      <c r="AU44" s="218"/>
      <c r="AV44" s="221" t="e">
        <f>(AT44+AU44)/$AG44</f>
        <v>#DIV/0!</v>
      </c>
      <c r="AW44" s="218"/>
      <c r="AX44" s="218"/>
      <c r="AY44" s="221" t="e">
        <f>(AW44+AX44)/$AG44</f>
        <v>#DIV/0!</v>
      </c>
      <c r="AZ44" s="222">
        <f>SUM(AN44,AQ44,AT44,AW44)</f>
        <v>0</v>
      </c>
      <c r="BA44" s="222">
        <f>SUM(AO44,AR44,AU44,AX44)</f>
        <v>0</v>
      </c>
      <c r="BB44" s="222">
        <f>SUM(AZ44:BA44)</f>
        <v>0</v>
      </c>
      <c r="BC44" s="221">
        <f>(BB44+1)/(AI44+1)</f>
        <v>1</v>
      </c>
      <c r="BD44" s="223"/>
      <c r="BE44" s="223"/>
    </row>
    <row r="45" spans="3:59" ht="15" customHeight="1" x14ac:dyDescent="0.2">
      <c r="AC45" s="224" t="s">
        <v>273</v>
      </c>
      <c r="AD45" s="225"/>
      <c r="AE45" s="225"/>
      <c r="AF45" s="226"/>
      <c r="AG45" s="226"/>
      <c r="AH45" s="227"/>
      <c r="AI45" s="226"/>
      <c r="AJ45" s="226"/>
      <c r="AK45" s="226"/>
      <c r="AL45" s="226"/>
      <c r="AM45" s="228" t="e">
        <f t="shared" ref="AM45:AM46" si="99">SUM(AJ45:AL45)/AH45</f>
        <v>#DIV/0!</v>
      </c>
      <c r="AN45" s="226"/>
      <c r="AO45" s="226"/>
      <c r="AP45" s="229" t="e">
        <f t="shared" ref="AP45:AP46" si="100">SUM(AN45:AO45)/AI45</f>
        <v>#DIV/0!</v>
      </c>
      <c r="AQ45" s="226"/>
      <c r="AR45" s="226"/>
      <c r="AS45" s="229" t="e">
        <f t="shared" ref="AS45:AS46" si="101">(AQ45+AR45)/$AG45</f>
        <v>#DIV/0!</v>
      </c>
      <c r="AT45" s="226"/>
      <c r="AU45" s="226"/>
      <c r="AV45" s="229" t="e">
        <f t="shared" ref="AV45:AV46" si="102">(AT45+AU45)/$AG45</f>
        <v>#DIV/0!</v>
      </c>
      <c r="AW45" s="226"/>
      <c r="AX45" s="226"/>
      <c r="AY45" s="229" t="e">
        <f t="shared" ref="AY45:AY46" si="103">(AW45+AX45)/$AG45</f>
        <v>#DIV/0!</v>
      </c>
      <c r="AZ45" s="230">
        <f t="shared" ref="AZ45:BA46" si="104">SUM(AN45,AQ45,AT45,AW45)</f>
        <v>0</v>
      </c>
      <c r="BA45" s="230">
        <f t="shared" si="104"/>
        <v>0</v>
      </c>
      <c r="BB45" s="230">
        <f t="shared" ref="BB45:BB46" si="105">SUM(AZ45:BA45)</f>
        <v>0</v>
      </c>
      <c r="BC45" s="229">
        <f t="shared" ref="BC45:BC46" si="106">(BB45+1)/(AI45+1)</f>
        <v>1</v>
      </c>
      <c r="BD45" s="231"/>
      <c r="BE45" s="231"/>
    </row>
    <row r="46" spans="3:59" ht="15" customHeight="1" x14ac:dyDescent="0.2">
      <c r="AC46" s="232" t="s">
        <v>275</v>
      </c>
      <c r="AD46" s="233">
        <v>46097</v>
      </c>
      <c r="AE46" s="233"/>
      <c r="AF46" s="234">
        <v>5</v>
      </c>
      <c r="AG46" s="234">
        <v>251</v>
      </c>
      <c r="AH46" s="235">
        <v>250</v>
      </c>
      <c r="AI46" s="234">
        <v>248</v>
      </c>
      <c r="AJ46" s="234">
        <v>0</v>
      </c>
      <c r="AK46" s="234">
        <v>0</v>
      </c>
      <c r="AL46" s="234">
        <v>0</v>
      </c>
      <c r="AM46" s="236">
        <f t="shared" si="99"/>
        <v>0</v>
      </c>
      <c r="AN46" s="234">
        <v>27</v>
      </c>
      <c r="AO46" s="234">
        <v>0</v>
      </c>
      <c r="AP46" s="237">
        <f t="shared" si="100"/>
        <v>0.10887096774193548</v>
      </c>
      <c r="AQ46" s="234">
        <v>3</v>
      </c>
      <c r="AR46" s="234">
        <v>0</v>
      </c>
      <c r="AS46" s="237">
        <f t="shared" si="101"/>
        <v>1.1952191235059761E-2</v>
      </c>
      <c r="AT46" s="234">
        <v>0</v>
      </c>
      <c r="AU46" s="234">
        <v>0</v>
      </c>
      <c r="AV46" s="237">
        <f t="shared" si="102"/>
        <v>0</v>
      </c>
      <c r="AW46" s="234">
        <v>0</v>
      </c>
      <c r="AX46" s="234">
        <v>0</v>
      </c>
      <c r="AY46" s="237">
        <f t="shared" si="103"/>
        <v>0</v>
      </c>
      <c r="AZ46" s="238">
        <f t="shared" si="104"/>
        <v>30</v>
      </c>
      <c r="BA46" s="238">
        <f t="shared" si="104"/>
        <v>0</v>
      </c>
      <c r="BB46" s="238">
        <f t="shared" si="105"/>
        <v>30</v>
      </c>
      <c r="BC46" s="237">
        <f t="shared" si="106"/>
        <v>0.12449799196787148</v>
      </c>
      <c r="BD46" s="239"/>
      <c r="BE46" s="239"/>
    </row>
    <row r="47" spans="3:59" ht="12.75" x14ac:dyDescent="0.2">
      <c r="AC47" s="7"/>
      <c r="AG47" s="240">
        <f>SUM(AG44:AG46)</f>
        <v>251</v>
      </c>
      <c r="AH47" s="240">
        <f>SUM(AH44:AH46)</f>
        <v>250</v>
      </c>
      <c r="AI47" s="240">
        <f t="shared" ref="AI47:AL47" si="107">SUM(AI44:AI46)</f>
        <v>248</v>
      </c>
      <c r="AJ47" s="240">
        <f t="shared" si="107"/>
        <v>0</v>
      </c>
      <c r="AK47" s="240">
        <f t="shared" si="107"/>
        <v>0</v>
      </c>
      <c r="AL47" s="240">
        <f t="shared" si="107"/>
        <v>0</v>
      </c>
      <c r="AM47" s="135"/>
      <c r="AN47" s="240">
        <f>SUM(AN44:AN46)</f>
        <v>27</v>
      </c>
      <c r="AO47" s="240">
        <f>SUM(AO44:AO46)</f>
        <v>0</v>
      </c>
      <c r="AP47" s="241"/>
      <c r="AQ47" s="240">
        <f>SUM(AQ44:AQ46)</f>
        <v>3</v>
      </c>
      <c r="AR47" s="240">
        <f>SUM(AR44:AR46)</f>
        <v>0</v>
      </c>
      <c r="AS47" s="241"/>
      <c r="AT47" s="240">
        <f>SUM(AT44:AT46)</f>
        <v>0</v>
      </c>
      <c r="AU47" s="240">
        <f>SUM(AU44:AU46)</f>
        <v>0</v>
      </c>
      <c r="AV47" s="241"/>
      <c r="AW47" s="240">
        <f>SUM(AW44:AW46)</f>
        <v>0</v>
      </c>
      <c r="AX47" s="240">
        <f>SUM(AX44:AX46)</f>
        <v>0</v>
      </c>
      <c r="AY47" s="241"/>
      <c r="AZ47" s="240">
        <f>SUM(AZ44:AZ46)</f>
        <v>30</v>
      </c>
      <c r="BA47" s="240">
        <f>SUM(BA44:BA46)</f>
        <v>0</v>
      </c>
      <c r="BB47" s="240">
        <f>SUM(AZ47:BA47)</f>
        <v>30</v>
      </c>
      <c r="BC47" s="242">
        <f>(BB47+1)/(AI47+1)</f>
        <v>0.12449799196787148</v>
      </c>
      <c r="BD47" s="98"/>
      <c r="BE47" s="98"/>
      <c r="BG47" s="17"/>
    </row>
    <row r="48" spans="3:59" ht="15" customHeight="1" x14ac:dyDescent="0.2">
      <c r="AC48" s="212" t="s">
        <v>310</v>
      </c>
      <c r="AD48" s="15"/>
      <c r="AE48" s="23"/>
      <c r="AF48" s="16"/>
      <c r="AG48" s="15"/>
      <c r="AH48" s="15"/>
      <c r="AI48" s="15"/>
      <c r="AJ48" s="15"/>
      <c r="AK48" s="15"/>
      <c r="AL48" s="22"/>
      <c r="AM48" s="213"/>
      <c r="AN48" s="23"/>
      <c r="AO48" s="23"/>
      <c r="AP48" s="7"/>
      <c r="AQ48" s="15"/>
      <c r="AR48" s="15"/>
      <c r="AS48" s="7"/>
      <c r="AT48" s="15"/>
      <c r="AU48" s="15"/>
      <c r="AV48" s="7"/>
      <c r="AW48" s="15"/>
      <c r="AX48" s="15"/>
      <c r="AY48" s="214"/>
      <c r="AZ48" s="215"/>
      <c r="BA48" s="10"/>
      <c r="BB48" s="7"/>
      <c r="BC48" s="7"/>
      <c r="BD48" s="7"/>
      <c r="BE48" s="7"/>
      <c r="BG48" s="17"/>
    </row>
    <row r="49" spans="19:60" ht="15" customHeight="1" x14ac:dyDescent="0.2">
      <c r="AC49" s="216" t="s">
        <v>271</v>
      </c>
      <c r="AD49" s="217">
        <v>46100</v>
      </c>
      <c r="AE49" s="217">
        <v>46101</v>
      </c>
      <c r="AF49" s="218">
        <v>1</v>
      </c>
      <c r="AG49" s="218">
        <v>250</v>
      </c>
      <c r="AH49" s="219">
        <v>250</v>
      </c>
      <c r="AI49" s="218">
        <v>249</v>
      </c>
      <c r="AJ49" s="218">
        <v>0</v>
      </c>
      <c r="AK49" s="218">
        <v>0</v>
      </c>
      <c r="AL49" s="218">
        <v>1</v>
      </c>
      <c r="AM49" s="220">
        <f>SUM(AJ49:AL49)/AH49</f>
        <v>4.0000000000000001E-3</v>
      </c>
      <c r="AN49" s="218">
        <v>28</v>
      </c>
      <c r="AO49" s="218">
        <v>0</v>
      </c>
      <c r="AP49" s="221">
        <f>SUM(AN49:AO49)/AI49</f>
        <v>0.11244979919678715</v>
      </c>
      <c r="AQ49" s="218">
        <v>1</v>
      </c>
      <c r="AR49" s="218">
        <v>0</v>
      </c>
      <c r="AS49" s="221">
        <f>(AQ49+AR49)/$AG49</f>
        <v>4.0000000000000001E-3</v>
      </c>
      <c r="AT49" s="218">
        <v>0</v>
      </c>
      <c r="AU49" s="218">
        <v>0</v>
      </c>
      <c r="AV49" s="221">
        <f>(AT49+AU49)/$AG49</f>
        <v>0</v>
      </c>
      <c r="AW49" s="218">
        <v>1</v>
      </c>
      <c r="AX49" s="218">
        <v>0</v>
      </c>
      <c r="AY49" s="221">
        <f>(AW49+AX49)/$AG49</f>
        <v>4.0000000000000001E-3</v>
      </c>
      <c r="AZ49" s="222">
        <f>SUM(AN49,AQ49,AT49,AW49)</f>
        <v>30</v>
      </c>
      <c r="BA49" s="222">
        <f>SUM(AO49,AR49,AU49,AX49)</f>
        <v>0</v>
      </c>
      <c r="BB49" s="222">
        <f>SUM(AZ49:BA49)</f>
        <v>30</v>
      </c>
      <c r="BC49" s="221">
        <f>(BB49+1)/(AI49+1)</f>
        <v>0.124</v>
      </c>
      <c r="BD49" s="223"/>
      <c r="BE49" s="223"/>
      <c r="BG49" s="17"/>
    </row>
    <row r="50" spans="19:60" ht="15" customHeight="1" x14ac:dyDescent="0.2">
      <c r="AC50" s="224" t="s">
        <v>273</v>
      </c>
      <c r="AD50" s="225"/>
      <c r="AE50" s="225"/>
      <c r="AF50" s="226"/>
      <c r="AG50" s="226"/>
      <c r="AH50" s="227"/>
      <c r="AI50" s="226"/>
      <c r="AJ50" s="226"/>
      <c r="AK50" s="226"/>
      <c r="AL50" s="226"/>
      <c r="AM50" s="228" t="e">
        <f t="shared" ref="AM50:AM51" si="108">SUM(AJ50:AL50)/AH50</f>
        <v>#DIV/0!</v>
      </c>
      <c r="AN50" s="226"/>
      <c r="AO50" s="226"/>
      <c r="AP50" s="229" t="e">
        <f t="shared" ref="AP50:AP51" si="109">SUM(AN50:AO50)/AI50</f>
        <v>#DIV/0!</v>
      </c>
      <c r="AQ50" s="226"/>
      <c r="AR50" s="226"/>
      <c r="AS50" s="229" t="e">
        <f t="shared" ref="AS50:AS51" si="110">(AQ50+AR50)/$AG50</f>
        <v>#DIV/0!</v>
      </c>
      <c r="AT50" s="226"/>
      <c r="AU50" s="226"/>
      <c r="AV50" s="229" t="e">
        <f t="shared" ref="AV50:AV51" si="111">(AT50+AU50)/$AG50</f>
        <v>#DIV/0!</v>
      </c>
      <c r="AW50" s="226"/>
      <c r="AX50" s="226"/>
      <c r="AY50" s="229" t="e">
        <f t="shared" ref="AY50:AY51" si="112">(AW50+AX50)/$AG50</f>
        <v>#DIV/0!</v>
      </c>
      <c r="AZ50" s="230">
        <f t="shared" ref="AZ50:BA51" si="113">SUM(AN50,AQ50,AT50,AW50)</f>
        <v>0</v>
      </c>
      <c r="BA50" s="230">
        <f t="shared" si="113"/>
        <v>0</v>
      </c>
      <c r="BB50" s="230">
        <f t="shared" ref="BB50:BB51" si="114">SUM(AZ50:BA50)</f>
        <v>0</v>
      </c>
      <c r="BC50" s="229">
        <f t="shared" ref="BC50:BC51" si="115">(BB50+1)/(AI50+1)</f>
        <v>1</v>
      </c>
      <c r="BD50" s="231"/>
      <c r="BE50" s="231"/>
      <c r="BG50" s="17"/>
    </row>
    <row r="51" spans="19:60" ht="15" customHeight="1" x14ac:dyDescent="0.2">
      <c r="U51" s="18"/>
      <c r="AC51" s="232" t="s">
        <v>275</v>
      </c>
      <c r="AD51" s="233"/>
      <c r="AE51" s="233"/>
      <c r="AF51" s="234"/>
      <c r="AG51" s="234"/>
      <c r="AH51" s="235"/>
      <c r="AI51" s="234"/>
      <c r="AJ51" s="234"/>
      <c r="AK51" s="234"/>
      <c r="AL51" s="234"/>
      <c r="AM51" s="236" t="e">
        <f t="shared" si="108"/>
        <v>#DIV/0!</v>
      </c>
      <c r="AN51" s="234"/>
      <c r="AO51" s="234"/>
      <c r="AP51" s="237" t="e">
        <f t="shared" si="109"/>
        <v>#DIV/0!</v>
      </c>
      <c r="AQ51" s="234"/>
      <c r="AR51" s="234"/>
      <c r="AS51" s="237" t="e">
        <f t="shared" si="110"/>
        <v>#DIV/0!</v>
      </c>
      <c r="AT51" s="234"/>
      <c r="AU51" s="234"/>
      <c r="AV51" s="237" t="e">
        <f t="shared" si="111"/>
        <v>#DIV/0!</v>
      </c>
      <c r="AW51" s="234"/>
      <c r="AX51" s="234"/>
      <c r="AY51" s="237" t="e">
        <f t="shared" si="112"/>
        <v>#DIV/0!</v>
      </c>
      <c r="AZ51" s="238">
        <f t="shared" si="113"/>
        <v>0</v>
      </c>
      <c r="BA51" s="238">
        <f t="shared" si="113"/>
        <v>0</v>
      </c>
      <c r="BB51" s="238">
        <f t="shared" si="114"/>
        <v>0</v>
      </c>
      <c r="BC51" s="237">
        <f t="shared" si="115"/>
        <v>1</v>
      </c>
      <c r="BD51" s="239"/>
      <c r="BE51" s="239"/>
      <c r="BG51" s="17"/>
    </row>
    <row r="52" spans="19:60" ht="15" customHeight="1" x14ac:dyDescent="0.2">
      <c r="AC52" s="7"/>
      <c r="AG52" s="240">
        <f>SUM(AG49:AG51)</f>
        <v>250</v>
      </c>
      <c r="AH52" s="240">
        <f>SUM(AH49:AH51)</f>
        <v>250</v>
      </c>
      <c r="AI52" s="240">
        <f t="shared" ref="AI52:AL52" si="116">SUM(AI49:AI51)</f>
        <v>249</v>
      </c>
      <c r="AJ52" s="240">
        <f t="shared" si="116"/>
        <v>0</v>
      </c>
      <c r="AK52" s="240">
        <f t="shared" si="116"/>
        <v>0</v>
      </c>
      <c r="AL52" s="240">
        <f t="shared" si="116"/>
        <v>1</v>
      </c>
      <c r="AM52" s="135"/>
      <c r="AN52" s="240">
        <f>SUM(AN49:AN51)</f>
        <v>28</v>
      </c>
      <c r="AO52" s="240">
        <f>SUM(AO49:AO51)</f>
        <v>0</v>
      </c>
      <c r="AP52" s="241"/>
      <c r="AQ52" s="240">
        <f>SUM(AQ49:AQ51)</f>
        <v>1</v>
      </c>
      <c r="AR52" s="240">
        <f>SUM(AR49:AR51)</f>
        <v>0</v>
      </c>
      <c r="AS52" s="241"/>
      <c r="AT52" s="240">
        <f>SUM(AT49:AT51)</f>
        <v>0</v>
      </c>
      <c r="AU52" s="240">
        <f>SUM(AU49:AU51)</f>
        <v>0</v>
      </c>
      <c r="AV52" s="241"/>
      <c r="AW52" s="240">
        <f>SUM(AW49:AW51)</f>
        <v>1</v>
      </c>
      <c r="AX52" s="240">
        <f>SUM(AX49:AX51)</f>
        <v>0</v>
      </c>
      <c r="AY52" s="241"/>
      <c r="AZ52" s="240">
        <f>SUM(AZ49:AZ51)</f>
        <v>30</v>
      </c>
      <c r="BA52" s="240">
        <f>SUM(BA49:BA51)</f>
        <v>0</v>
      </c>
      <c r="BB52" s="240">
        <f>SUM(AZ52:BA52)</f>
        <v>30</v>
      </c>
      <c r="BC52" s="242">
        <f>(BB52+1)/(AI52+1)</f>
        <v>0.124</v>
      </c>
      <c r="BD52" s="98"/>
      <c r="BE52" s="98"/>
      <c r="BG52" s="17"/>
    </row>
    <row r="53" spans="19:60" ht="15" customHeight="1" x14ac:dyDescent="0.2">
      <c r="AC53" s="212" t="s">
        <v>311</v>
      </c>
      <c r="AD53" s="15"/>
      <c r="AE53" s="23"/>
      <c r="AF53" s="16"/>
      <c r="AG53" s="15"/>
      <c r="AH53" s="15"/>
      <c r="AI53" s="15"/>
      <c r="AJ53" s="15"/>
      <c r="AK53" s="15"/>
      <c r="AL53" s="22"/>
      <c r="AM53" s="213"/>
      <c r="AN53" s="23"/>
      <c r="AO53" s="23"/>
      <c r="AP53" s="7"/>
      <c r="AQ53" s="15"/>
      <c r="AR53" s="15"/>
      <c r="AS53" s="7"/>
      <c r="AT53" s="15"/>
      <c r="AU53" s="15"/>
      <c r="AV53" s="7"/>
      <c r="AW53" s="15"/>
      <c r="AX53" s="15"/>
      <c r="AY53" s="214"/>
      <c r="AZ53" s="215"/>
      <c r="BA53" s="10"/>
      <c r="BB53" s="7"/>
      <c r="BC53" s="7"/>
      <c r="BD53" s="7"/>
      <c r="BE53" s="7"/>
      <c r="BF53" s="17"/>
    </row>
    <row r="54" spans="19:60" ht="15" customHeight="1" x14ac:dyDescent="0.2">
      <c r="AC54" s="216" t="s">
        <v>271</v>
      </c>
      <c r="AD54" s="217"/>
      <c r="AE54" s="217"/>
      <c r="AF54" s="218"/>
      <c r="AG54" s="218"/>
      <c r="AH54" s="219"/>
      <c r="AI54" s="218"/>
      <c r="AJ54" s="218"/>
      <c r="AK54" s="218"/>
      <c r="AL54" s="218"/>
      <c r="AM54" s="220" t="e">
        <f>SUM(AJ54:AL54)/AH54</f>
        <v>#DIV/0!</v>
      </c>
      <c r="AN54" s="218"/>
      <c r="AO54" s="218"/>
      <c r="AP54" s="221" t="e">
        <f>SUM(AN54:AO54)/AI54</f>
        <v>#DIV/0!</v>
      </c>
      <c r="AQ54" s="218"/>
      <c r="AR54" s="218"/>
      <c r="AS54" s="221" t="e">
        <f>(AQ54+AR54)/$AG54</f>
        <v>#DIV/0!</v>
      </c>
      <c r="AT54" s="218"/>
      <c r="AU54" s="218"/>
      <c r="AV54" s="221" t="e">
        <f>(AT54+AU54)/$AG54</f>
        <v>#DIV/0!</v>
      </c>
      <c r="AW54" s="218"/>
      <c r="AX54" s="218"/>
      <c r="AY54" s="221" t="e">
        <f>(AW54+AX54)/$AG54</f>
        <v>#DIV/0!</v>
      </c>
      <c r="AZ54" s="222">
        <f>SUM(AN54,AQ54,AT54,AW54)</f>
        <v>0</v>
      </c>
      <c r="BA54" s="222">
        <f>SUM(AO54,AR54,AU54,AX54)</f>
        <v>0</v>
      </c>
      <c r="BB54" s="222">
        <f>SUM(AZ54:BA54)</f>
        <v>0</v>
      </c>
      <c r="BC54" s="221">
        <f>(BB54+1)/(AI54+1)</f>
        <v>1</v>
      </c>
      <c r="BD54" s="223"/>
      <c r="BE54" s="223"/>
      <c r="BH54" s="17"/>
    </row>
    <row r="55" spans="19:60" ht="15" customHeight="1" x14ac:dyDescent="0.2">
      <c r="AC55" s="224" t="s">
        <v>273</v>
      </c>
      <c r="AD55" s="225"/>
      <c r="AE55" s="225"/>
      <c r="AF55" s="226"/>
      <c r="AG55" s="226"/>
      <c r="AH55" s="227"/>
      <c r="AI55" s="226"/>
      <c r="AJ55" s="226"/>
      <c r="AK55" s="226"/>
      <c r="AL55" s="226"/>
      <c r="AM55" s="228" t="e">
        <f t="shared" ref="AM55:AM56" si="117">SUM(AJ55:AL55)/AH55</f>
        <v>#DIV/0!</v>
      </c>
      <c r="AN55" s="226"/>
      <c r="AO55" s="226"/>
      <c r="AP55" s="229" t="e">
        <f t="shared" ref="AP55:AP56" si="118">SUM(AN55:AO55)/AI55</f>
        <v>#DIV/0!</v>
      </c>
      <c r="AQ55" s="226"/>
      <c r="AR55" s="226"/>
      <c r="AS55" s="229" t="e">
        <f t="shared" ref="AS55:AS56" si="119">(AQ55+AR55)/$AG55</f>
        <v>#DIV/0!</v>
      </c>
      <c r="AT55" s="226"/>
      <c r="AU55" s="226"/>
      <c r="AV55" s="229" t="e">
        <f t="shared" ref="AV55:AV56" si="120">(AT55+AU55)/$AG55</f>
        <v>#DIV/0!</v>
      </c>
      <c r="AW55" s="226"/>
      <c r="AX55" s="226"/>
      <c r="AY55" s="229" t="e">
        <f t="shared" ref="AY55:AY56" si="121">(AW55+AX55)/$AG55</f>
        <v>#DIV/0!</v>
      </c>
      <c r="AZ55" s="230">
        <f t="shared" ref="AZ55:BA56" si="122">SUM(AN55,AQ55,AT55,AW55)</f>
        <v>0</v>
      </c>
      <c r="BA55" s="230">
        <f t="shared" si="122"/>
        <v>0</v>
      </c>
      <c r="BB55" s="230">
        <f t="shared" ref="BB55:BB56" si="123">SUM(AZ55:BA55)</f>
        <v>0</v>
      </c>
      <c r="BC55" s="229">
        <f t="shared" ref="BC55:BC56" si="124">(BB55+1)/(AI55+1)</f>
        <v>1</v>
      </c>
      <c r="BD55" s="231"/>
      <c r="BE55" s="231"/>
      <c r="BH55" s="17"/>
    </row>
    <row r="56" spans="19:60" ht="15" customHeight="1" x14ac:dyDescent="0.2">
      <c r="AC56" s="232" t="s">
        <v>275</v>
      </c>
      <c r="AD56" s="233">
        <v>46100</v>
      </c>
      <c r="AE56" s="233">
        <v>46101</v>
      </c>
      <c r="AF56" s="234">
        <v>1</v>
      </c>
      <c r="AG56" s="234">
        <v>247</v>
      </c>
      <c r="AH56" s="235">
        <v>240</v>
      </c>
      <c r="AI56" s="234">
        <v>239</v>
      </c>
      <c r="AJ56" s="234">
        <v>0</v>
      </c>
      <c r="AK56" s="234">
        <v>5</v>
      </c>
      <c r="AL56" s="234">
        <v>1</v>
      </c>
      <c r="AM56" s="236">
        <f t="shared" si="117"/>
        <v>2.5000000000000001E-2</v>
      </c>
      <c r="AN56" s="234">
        <v>26</v>
      </c>
      <c r="AO56" s="234">
        <v>0</v>
      </c>
      <c r="AP56" s="237">
        <f t="shared" si="118"/>
        <v>0.10878661087866109</v>
      </c>
      <c r="AQ56" s="234">
        <v>1</v>
      </c>
      <c r="AR56" s="234">
        <v>0</v>
      </c>
      <c r="AS56" s="237">
        <f t="shared" si="119"/>
        <v>4.048582995951417E-3</v>
      </c>
      <c r="AT56" s="234">
        <v>0</v>
      </c>
      <c r="AU56" s="234">
        <v>0</v>
      </c>
      <c r="AV56" s="237">
        <f t="shared" si="120"/>
        <v>0</v>
      </c>
      <c r="AW56" s="234">
        <v>0</v>
      </c>
      <c r="AX56" s="234">
        <v>0</v>
      </c>
      <c r="AY56" s="237">
        <f t="shared" si="121"/>
        <v>0</v>
      </c>
      <c r="AZ56" s="238">
        <f t="shared" si="122"/>
        <v>27</v>
      </c>
      <c r="BA56" s="238">
        <f t="shared" si="122"/>
        <v>0</v>
      </c>
      <c r="BB56" s="238">
        <f t="shared" si="123"/>
        <v>27</v>
      </c>
      <c r="BC56" s="237">
        <f t="shared" si="124"/>
        <v>0.11666666666666667</v>
      </c>
      <c r="BD56" s="239"/>
      <c r="BE56" s="239"/>
      <c r="BH56" s="17"/>
    </row>
    <row r="57" spans="19:60" ht="15" customHeight="1" x14ac:dyDescent="0.2">
      <c r="AC57" s="7"/>
      <c r="AG57" s="240">
        <f>SUM(AG54:AG56)</f>
        <v>247</v>
      </c>
      <c r="AH57" s="240">
        <f>SUM(AH54:AH56)</f>
        <v>240</v>
      </c>
      <c r="AI57" s="240">
        <f t="shared" ref="AI57:AL57" si="125">SUM(AI54:AI56)</f>
        <v>239</v>
      </c>
      <c r="AJ57" s="240">
        <f t="shared" si="125"/>
        <v>0</v>
      </c>
      <c r="AK57" s="240">
        <f t="shared" si="125"/>
        <v>5</v>
      </c>
      <c r="AL57" s="240">
        <f t="shared" si="125"/>
        <v>1</v>
      </c>
      <c r="AM57" s="135"/>
      <c r="AN57" s="240">
        <f>SUM(AN54:AN56)</f>
        <v>26</v>
      </c>
      <c r="AO57" s="240">
        <f>SUM(AO54:AO56)</f>
        <v>0</v>
      </c>
      <c r="AP57" s="241"/>
      <c r="AQ57" s="240">
        <f>SUM(AQ54:AQ56)</f>
        <v>1</v>
      </c>
      <c r="AR57" s="240">
        <f>SUM(AR54:AR56)</f>
        <v>0</v>
      </c>
      <c r="AS57" s="241"/>
      <c r="AT57" s="240">
        <f>SUM(AT54:AT56)</f>
        <v>0</v>
      </c>
      <c r="AU57" s="240">
        <f>SUM(AU54:AU56)</f>
        <v>0</v>
      </c>
      <c r="AV57" s="241"/>
      <c r="AW57" s="240">
        <f>SUM(AW54:AW56)</f>
        <v>0</v>
      </c>
      <c r="AX57" s="240">
        <f>SUM(AX54:AX56)</f>
        <v>0</v>
      </c>
      <c r="AY57" s="241"/>
      <c r="AZ57" s="240">
        <f>SUM(AZ54:AZ56)</f>
        <v>27</v>
      </c>
      <c r="BA57" s="240">
        <f>SUM(BA54:BA56)</f>
        <v>0</v>
      </c>
      <c r="BB57" s="240">
        <f>SUM(AZ57:BA57)</f>
        <v>27</v>
      </c>
      <c r="BC57" s="242">
        <f>(BB57+1)/(AI57+1)</f>
        <v>0.11666666666666667</v>
      </c>
      <c r="BD57" s="98"/>
      <c r="BE57" s="98"/>
      <c r="BH57" s="17"/>
    </row>
    <row r="58" spans="19:60" ht="15" customHeight="1" x14ac:dyDescent="0.2">
      <c r="AC58" s="212" t="s">
        <v>312</v>
      </c>
      <c r="AD58" s="15"/>
      <c r="AE58" s="23"/>
      <c r="AF58" s="16"/>
      <c r="AG58" s="15"/>
      <c r="AH58" s="15"/>
      <c r="AI58" s="15"/>
      <c r="AJ58" s="15"/>
      <c r="AK58" s="15"/>
      <c r="AL58" s="22"/>
      <c r="AM58" s="213"/>
      <c r="AN58" s="23"/>
      <c r="AO58" s="23"/>
      <c r="AP58" s="7"/>
      <c r="AQ58" s="15"/>
      <c r="AR58" s="15"/>
      <c r="AS58" s="7"/>
      <c r="AT58" s="15"/>
      <c r="AU58" s="15"/>
      <c r="AV58" s="7"/>
      <c r="AW58" s="15"/>
      <c r="AX58" s="15"/>
      <c r="AY58" s="214"/>
      <c r="AZ58" s="215"/>
      <c r="BA58" s="10"/>
      <c r="BB58" s="7"/>
      <c r="BC58" s="7"/>
      <c r="BD58" s="7"/>
      <c r="BE58" s="7"/>
      <c r="BH58" s="17"/>
    </row>
    <row r="59" spans="19:60" ht="15" customHeight="1" x14ac:dyDescent="0.2">
      <c r="AC59" s="216" t="s">
        <v>271</v>
      </c>
      <c r="AD59" s="217"/>
      <c r="AE59" s="217"/>
      <c r="AF59" s="218"/>
      <c r="AG59" s="218"/>
      <c r="AH59" s="219"/>
      <c r="AI59" s="218"/>
      <c r="AJ59" s="218"/>
      <c r="AK59" s="218"/>
      <c r="AL59" s="218"/>
      <c r="AM59" s="220" t="e">
        <f>SUM(AJ59:AL59)/AH59</f>
        <v>#DIV/0!</v>
      </c>
      <c r="AN59" s="218"/>
      <c r="AO59" s="218"/>
      <c r="AP59" s="221" t="e">
        <f>SUM(AN59:AO59)/AI59</f>
        <v>#DIV/0!</v>
      </c>
      <c r="AQ59" s="218"/>
      <c r="AR59" s="218"/>
      <c r="AS59" s="221" t="e">
        <f>(AQ59+AR59)/$AG59</f>
        <v>#DIV/0!</v>
      </c>
      <c r="AT59" s="218"/>
      <c r="AU59" s="218"/>
      <c r="AV59" s="221" t="e">
        <f>(AT59+AU59)/$AG59</f>
        <v>#DIV/0!</v>
      </c>
      <c r="AW59" s="218"/>
      <c r="AX59" s="218"/>
      <c r="AY59" s="221" t="e">
        <f>(AW59+AX59)/$AG59</f>
        <v>#DIV/0!</v>
      </c>
      <c r="AZ59" s="222">
        <f>SUM(AN59,AQ59,AT59,AW59)</f>
        <v>0</v>
      </c>
      <c r="BA59" s="222">
        <f>SUM(AO59,AR59,AU59,AX59)</f>
        <v>0</v>
      </c>
      <c r="BB59" s="222">
        <f>SUM(AZ59:BA59)</f>
        <v>0</v>
      </c>
      <c r="BC59" s="221">
        <f>(BB59+1)/(AI59+1)</f>
        <v>1</v>
      </c>
      <c r="BD59" s="223"/>
      <c r="BE59" s="223"/>
      <c r="BH59" s="17"/>
    </row>
    <row r="60" spans="19:60" ht="15" customHeight="1" x14ac:dyDescent="0.2">
      <c r="AC60" s="224" t="s">
        <v>273</v>
      </c>
      <c r="AD60" s="225">
        <v>46107</v>
      </c>
      <c r="AE60" s="225">
        <v>46108</v>
      </c>
      <c r="AF60" s="226">
        <v>1</v>
      </c>
      <c r="AG60" s="226">
        <v>256</v>
      </c>
      <c r="AH60" s="227">
        <v>256</v>
      </c>
      <c r="AI60" s="226">
        <v>252</v>
      </c>
      <c r="AJ60" s="226">
        <v>0</v>
      </c>
      <c r="AK60" s="226">
        <v>0</v>
      </c>
      <c r="AL60" s="226">
        <v>0</v>
      </c>
      <c r="AM60" s="228">
        <f t="shared" ref="AM60:AM61" si="126">SUM(AJ60:AL60)/AH60</f>
        <v>0</v>
      </c>
      <c r="AN60" s="226">
        <v>21</v>
      </c>
      <c r="AO60" s="226">
        <v>0</v>
      </c>
      <c r="AP60" s="229">
        <f t="shared" ref="AP60:AP61" si="127">SUM(AN60:AO60)/AI60</f>
        <v>8.3333333333333329E-2</v>
      </c>
      <c r="AQ60" s="226">
        <v>2</v>
      </c>
      <c r="AR60" s="226">
        <v>0</v>
      </c>
      <c r="AS60" s="229">
        <f t="shared" ref="AS60:AS61" si="128">(AQ60+AR60)/$AG60</f>
        <v>7.8125E-3</v>
      </c>
      <c r="AT60" s="226">
        <v>5</v>
      </c>
      <c r="AU60" s="226">
        <v>0</v>
      </c>
      <c r="AV60" s="229">
        <f t="shared" ref="AV60:AV61" si="129">(AT60+AU60)/$AG60</f>
        <v>1.953125E-2</v>
      </c>
      <c r="AW60" s="226">
        <v>0</v>
      </c>
      <c r="AX60" s="226">
        <v>0</v>
      </c>
      <c r="AY60" s="229">
        <f t="shared" ref="AY60:AY61" si="130">(AW60+AX60)/$AG60</f>
        <v>0</v>
      </c>
      <c r="AZ60" s="230">
        <f t="shared" ref="AZ60:BA61" si="131">SUM(AN60,AQ60,AT60,AW60)</f>
        <v>28</v>
      </c>
      <c r="BA60" s="230">
        <f t="shared" si="131"/>
        <v>0</v>
      </c>
      <c r="BB60" s="230">
        <f t="shared" ref="BB60:BB61" si="132">SUM(AZ60:BA60)</f>
        <v>28</v>
      </c>
      <c r="BC60" s="229">
        <f t="shared" ref="BC60:BC61" si="133">(BB60+1)/(AI60+1)</f>
        <v>0.11462450592885376</v>
      </c>
      <c r="BD60" s="231"/>
      <c r="BE60" s="231"/>
    </row>
    <row r="61" spans="19:60" ht="15" customHeight="1" x14ac:dyDescent="0.2">
      <c r="AC61" s="232" t="s">
        <v>275</v>
      </c>
      <c r="AD61" s="233"/>
      <c r="AE61" s="233"/>
      <c r="AF61" s="234"/>
      <c r="AG61" s="234"/>
      <c r="AH61" s="235"/>
      <c r="AI61" s="234"/>
      <c r="AJ61" s="234"/>
      <c r="AK61" s="234"/>
      <c r="AL61" s="234"/>
      <c r="AM61" s="236" t="e">
        <f t="shared" si="126"/>
        <v>#DIV/0!</v>
      </c>
      <c r="AN61" s="234"/>
      <c r="AO61" s="234"/>
      <c r="AP61" s="237" t="e">
        <f t="shared" si="127"/>
        <v>#DIV/0!</v>
      </c>
      <c r="AQ61" s="234"/>
      <c r="AR61" s="234"/>
      <c r="AS61" s="237" t="e">
        <f t="shared" si="128"/>
        <v>#DIV/0!</v>
      </c>
      <c r="AT61" s="234"/>
      <c r="AU61" s="234"/>
      <c r="AV61" s="237" t="e">
        <f t="shared" si="129"/>
        <v>#DIV/0!</v>
      </c>
      <c r="AW61" s="234"/>
      <c r="AX61" s="234"/>
      <c r="AY61" s="237" t="e">
        <f t="shared" si="130"/>
        <v>#DIV/0!</v>
      </c>
      <c r="AZ61" s="238">
        <f t="shared" si="131"/>
        <v>0</v>
      </c>
      <c r="BA61" s="238">
        <f t="shared" si="131"/>
        <v>0</v>
      </c>
      <c r="BB61" s="238">
        <f t="shared" si="132"/>
        <v>0</v>
      </c>
      <c r="BC61" s="237">
        <f t="shared" si="133"/>
        <v>1</v>
      </c>
      <c r="BD61" s="239"/>
      <c r="BE61" s="239"/>
    </row>
    <row r="62" spans="19:60" ht="18" customHeight="1" x14ac:dyDescent="0.2">
      <c r="AC62" s="7"/>
      <c r="AG62" s="240">
        <f>SUM(AG59:AG61)</f>
        <v>256</v>
      </c>
      <c r="AH62" s="240">
        <f>SUM(AH59:AH61)</f>
        <v>256</v>
      </c>
      <c r="AI62" s="240">
        <f t="shared" ref="AI62:AL62" si="134">SUM(AI59:AI61)</f>
        <v>252</v>
      </c>
      <c r="AJ62" s="240">
        <f t="shared" si="134"/>
        <v>0</v>
      </c>
      <c r="AK62" s="240">
        <f t="shared" si="134"/>
        <v>0</v>
      </c>
      <c r="AL62" s="240">
        <f t="shared" si="134"/>
        <v>0</v>
      </c>
      <c r="AM62" s="135"/>
      <c r="AN62" s="240">
        <f>SUM(AN59:AN61)</f>
        <v>21</v>
      </c>
      <c r="AO62" s="240">
        <f>SUM(AO59:AO61)</f>
        <v>0</v>
      </c>
      <c r="AP62" s="241"/>
      <c r="AQ62" s="240">
        <f>SUM(AQ59:AQ61)</f>
        <v>2</v>
      </c>
      <c r="AR62" s="240">
        <f>SUM(AR59:AR61)</f>
        <v>0</v>
      </c>
      <c r="AS62" s="241"/>
      <c r="AT62" s="240">
        <f>SUM(AT59:AT61)</f>
        <v>5</v>
      </c>
      <c r="AU62" s="240">
        <f>SUM(AU59:AU61)</f>
        <v>0</v>
      </c>
      <c r="AV62" s="241"/>
      <c r="AW62" s="240">
        <f>SUM(AW59:AW61)</f>
        <v>0</v>
      </c>
      <c r="AX62" s="240">
        <f>SUM(AX59:AX61)</f>
        <v>0</v>
      </c>
      <c r="AY62" s="241"/>
      <c r="AZ62" s="240">
        <f>SUM(AZ59:AZ61)</f>
        <v>28</v>
      </c>
      <c r="BA62" s="240">
        <f>SUM(BA59:BA61)</f>
        <v>0</v>
      </c>
      <c r="BB62" s="240">
        <f>SUM(AZ62:BA62)</f>
        <v>28</v>
      </c>
      <c r="BC62" s="242">
        <f>(BB62+1)/(AI62+1)</f>
        <v>0.11462450592885376</v>
      </c>
      <c r="BD62" s="98"/>
      <c r="BE62" s="98"/>
    </row>
    <row r="63" spans="19:60" ht="18" customHeight="1" x14ac:dyDescent="0.2">
      <c r="AC63" s="212" t="s">
        <v>313</v>
      </c>
      <c r="AD63" s="15"/>
      <c r="AE63" s="23"/>
      <c r="AF63" s="16"/>
      <c r="AG63" s="15"/>
      <c r="AH63" s="15"/>
      <c r="AI63" s="15"/>
      <c r="AJ63" s="15"/>
      <c r="AK63" s="15"/>
      <c r="AL63" s="22"/>
      <c r="AM63" s="213"/>
      <c r="AN63" s="23"/>
      <c r="AO63" s="23"/>
      <c r="AP63" s="7"/>
      <c r="AQ63" s="15"/>
      <c r="AR63" s="15"/>
      <c r="AS63" s="7"/>
      <c r="AT63" s="15"/>
      <c r="AU63" s="15"/>
      <c r="AV63" s="7"/>
      <c r="AW63" s="15"/>
      <c r="AX63" s="15"/>
      <c r="AY63" s="214"/>
      <c r="AZ63" s="215"/>
      <c r="BA63" s="10"/>
      <c r="BB63" s="7"/>
      <c r="BC63" s="7"/>
      <c r="BD63" s="7"/>
      <c r="BE63" s="7"/>
    </row>
    <row r="64" spans="19:60" ht="18" customHeight="1" x14ac:dyDescent="0.2">
      <c r="S64" s="18"/>
      <c r="AC64" s="216" t="s">
        <v>271</v>
      </c>
      <c r="AD64" s="217">
        <v>46107</v>
      </c>
      <c r="AE64" s="225">
        <v>46108</v>
      </c>
      <c r="AF64" s="218">
        <v>1</v>
      </c>
      <c r="AG64" s="218">
        <v>250</v>
      </c>
      <c r="AH64" s="219">
        <v>250</v>
      </c>
      <c r="AI64" s="218">
        <v>250</v>
      </c>
      <c r="AJ64" s="218">
        <v>0</v>
      </c>
      <c r="AK64" s="218">
        <v>0</v>
      </c>
      <c r="AL64" s="218">
        <v>0</v>
      </c>
      <c r="AM64" s="220"/>
      <c r="AN64" s="218">
        <v>19</v>
      </c>
      <c r="AO64" s="218">
        <v>0</v>
      </c>
      <c r="AP64" s="221">
        <f>SUM(AN64:AO64)/AI64</f>
        <v>7.5999999999999998E-2</v>
      </c>
      <c r="AQ64" s="218">
        <v>4</v>
      </c>
      <c r="AR64" s="218">
        <v>0</v>
      </c>
      <c r="AS64" s="221">
        <f>(AQ64+AR64)/$AG64</f>
        <v>1.6E-2</v>
      </c>
      <c r="AT64" s="218">
        <v>2</v>
      </c>
      <c r="AU64" s="218">
        <v>0</v>
      </c>
      <c r="AV64" s="221">
        <f>(AT64+AU64)/$AG64</f>
        <v>8.0000000000000002E-3</v>
      </c>
      <c r="AW64" s="218">
        <v>0</v>
      </c>
      <c r="AX64" s="218">
        <v>0</v>
      </c>
      <c r="AY64" s="221">
        <f>(AW64+AX64)/$AG64</f>
        <v>0</v>
      </c>
      <c r="AZ64" s="222">
        <f>SUM(AN64,AQ64,AT64,AW64)</f>
        <v>25</v>
      </c>
      <c r="BA64" s="222">
        <f>SUM(AO64,AR64,AU64,AX64)</f>
        <v>0</v>
      </c>
      <c r="BB64" s="222">
        <f>SUM(AZ64:BA64)</f>
        <v>25</v>
      </c>
      <c r="BC64" s="221">
        <f>(BB64+1)/(AI64+1)</f>
        <v>0.10358565737051793</v>
      </c>
      <c r="BD64" s="223"/>
      <c r="BE64" s="223"/>
    </row>
    <row r="65" spans="6:57" ht="18" customHeight="1" x14ac:dyDescent="0.2">
      <c r="S65" s="18"/>
      <c r="AC65" s="224" t="s">
        <v>273</v>
      </c>
      <c r="AD65" s="225"/>
      <c r="AE65" s="225"/>
      <c r="AF65" s="226"/>
      <c r="AG65" s="226"/>
      <c r="AH65" s="227"/>
      <c r="AI65" s="226"/>
      <c r="AJ65" s="226"/>
      <c r="AK65" s="226"/>
      <c r="AL65" s="226"/>
      <c r="AM65" s="228" t="e">
        <f t="shared" ref="AM65:AM66" si="135">SUM(AJ65:AL65)/AH65</f>
        <v>#DIV/0!</v>
      </c>
      <c r="AN65" s="226"/>
      <c r="AO65" s="226"/>
      <c r="AP65" s="229" t="e">
        <f t="shared" ref="AP65:AP66" si="136">SUM(AN65:AO65)/AI65</f>
        <v>#DIV/0!</v>
      </c>
      <c r="AQ65" s="226"/>
      <c r="AR65" s="226"/>
      <c r="AS65" s="229" t="e">
        <f t="shared" ref="AS65:AS66" si="137">(AQ65+AR65)/$AG65</f>
        <v>#DIV/0!</v>
      </c>
      <c r="AT65" s="226"/>
      <c r="AU65" s="226"/>
      <c r="AV65" s="229" t="e">
        <f t="shared" ref="AV65:AV66" si="138">(AT65+AU65)/$AG65</f>
        <v>#DIV/0!</v>
      </c>
      <c r="AW65" s="226"/>
      <c r="AX65" s="226"/>
      <c r="AY65" s="229" t="e">
        <f t="shared" ref="AY65:AY66" si="139">(AW65+AX65)/$AG65</f>
        <v>#DIV/0!</v>
      </c>
      <c r="AZ65" s="230">
        <f t="shared" ref="AZ65:BA66" si="140">SUM(AN65,AQ65,AT65,AW65)</f>
        <v>0</v>
      </c>
      <c r="BA65" s="230">
        <f t="shared" si="140"/>
        <v>0</v>
      </c>
      <c r="BB65" s="230">
        <f t="shared" ref="BB65:BB66" si="141">SUM(AZ65:BA65)</f>
        <v>0</v>
      </c>
      <c r="BC65" s="229">
        <f t="shared" ref="BC65:BC66" si="142">(BB65+1)/(AI65+1)</f>
        <v>1</v>
      </c>
      <c r="BD65" s="231"/>
      <c r="BE65" s="231"/>
    </row>
    <row r="66" spans="6:57" ht="18" customHeight="1" x14ac:dyDescent="0.2">
      <c r="S66" s="18"/>
      <c r="AC66" s="232" t="s">
        <v>275</v>
      </c>
      <c r="AD66" s="233"/>
      <c r="AE66" s="233"/>
      <c r="AF66" s="234"/>
      <c r="AG66" s="234"/>
      <c r="AH66" s="235"/>
      <c r="AI66" s="234"/>
      <c r="AJ66" s="234"/>
      <c r="AK66" s="234"/>
      <c r="AL66" s="234"/>
      <c r="AM66" s="236" t="e">
        <f t="shared" si="135"/>
        <v>#DIV/0!</v>
      </c>
      <c r="AN66" s="234"/>
      <c r="AO66" s="234"/>
      <c r="AP66" s="237" t="e">
        <f t="shared" si="136"/>
        <v>#DIV/0!</v>
      </c>
      <c r="AQ66" s="234"/>
      <c r="AR66" s="234"/>
      <c r="AS66" s="237" t="e">
        <f t="shared" si="137"/>
        <v>#DIV/0!</v>
      </c>
      <c r="AT66" s="234"/>
      <c r="AU66" s="234"/>
      <c r="AV66" s="237" t="e">
        <f t="shared" si="138"/>
        <v>#DIV/0!</v>
      </c>
      <c r="AW66" s="234"/>
      <c r="AX66" s="234"/>
      <c r="AY66" s="237" t="e">
        <f t="shared" si="139"/>
        <v>#DIV/0!</v>
      </c>
      <c r="AZ66" s="238">
        <f t="shared" si="140"/>
        <v>0</v>
      </c>
      <c r="BA66" s="238">
        <f t="shared" si="140"/>
        <v>0</v>
      </c>
      <c r="BB66" s="238">
        <f t="shared" si="141"/>
        <v>0</v>
      </c>
      <c r="BC66" s="237">
        <f t="shared" si="142"/>
        <v>1</v>
      </c>
      <c r="BD66" s="239"/>
      <c r="BE66" s="239"/>
    </row>
    <row r="67" spans="6:57" ht="18" customHeight="1" x14ac:dyDescent="0.2">
      <c r="S67" s="18"/>
      <c r="AC67" s="7"/>
      <c r="AG67" s="240">
        <f>SUM(AG64:AG66)</f>
        <v>250</v>
      </c>
      <c r="AH67" s="240">
        <f>SUM(AH64:AH66)</f>
        <v>250</v>
      </c>
      <c r="AI67" s="240">
        <f t="shared" ref="AI67:AL67" si="143">SUM(AI64:AI66)</f>
        <v>250</v>
      </c>
      <c r="AJ67" s="240">
        <f t="shared" si="143"/>
        <v>0</v>
      </c>
      <c r="AK67" s="240">
        <f t="shared" si="143"/>
        <v>0</v>
      </c>
      <c r="AL67" s="240">
        <f t="shared" si="143"/>
        <v>0</v>
      </c>
      <c r="AM67" s="135"/>
      <c r="AN67" s="240">
        <f>SUM(AN64:AN66)</f>
        <v>19</v>
      </c>
      <c r="AO67" s="240">
        <f>SUM(AO64:AO66)</f>
        <v>0</v>
      </c>
      <c r="AP67" s="241"/>
      <c r="AQ67" s="240">
        <f>SUM(AQ64:AQ66)</f>
        <v>4</v>
      </c>
      <c r="AR67" s="240">
        <f>SUM(AR64:AR66)</f>
        <v>0</v>
      </c>
      <c r="AS67" s="241"/>
      <c r="AT67" s="240">
        <f>SUM(AT64:AT66)</f>
        <v>2</v>
      </c>
      <c r="AU67" s="240">
        <f>SUM(AU64:AU66)</f>
        <v>0</v>
      </c>
      <c r="AV67" s="241"/>
      <c r="AW67" s="240">
        <f>SUM(AW64:AW66)</f>
        <v>0</v>
      </c>
      <c r="AX67" s="240">
        <f>SUM(AX64:AX66)</f>
        <v>0</v>
      </c>
      <c r="AY67" s="241"/>
      <c r="AZ67" s="240">
        <f>SUM(AZ64:AZ66)</f>
        <v>25</v>
      </c>
      <c r="BA67" s="240">
        <f>SUM(BA64:BA66)</f>
        <v>0</v>
      </c>
      <c r="BB67" s="240">
        <f>SUM(AZ67:BA67)</f>
        <v>25</v>
      </c>
      <c r="BC67" s="242">
        <f>(BB67+1)/(AI67+1)</f>
        <v>0.10358565737051793</v>
      </c>
      <c r="BD67" s="98"/>
      <c r="BE67" s="98"/>
    </row>
    <row r="68" spans="6:57" ht="18" customHeight="1" x14ac:dyDescent="0.2">
      <c r="S68" s="18"/>
      <c r="AC68" s="212" t="s">
        <v>314</v>
      </c>
      <c r="AD68" s="15"/>
      <c r="AE68" s="23"/>
      <c r="AF68" s="16"/>
      <c r="AG68" s="15"/>
      <c r="AH68" s="15"/>
      <c r="AI68" s="15"/>
      <c r="AJ68" s="15"/>
      <c r="AK68" s="15"/>
      <c r="AL68" s="22"/>
      <c r="AM68" s="213"/>
      <c r="AN68" s="23"/>
      <c r="AO68" s="23"/>
      <c r="AP68" s="7"/>
      <c r="AQ68" s="15"/>
      <c r="AR68" s="15"/>
      <c r="AS68" s="7"/>
      <c r="AT68" s="15"/>
      <c r="AU68" s="15"/>
      <c r="AV68" s="7"/>
      <c r="AW68" s="15"/>
      <c r="AX68" s="15"/>
      <c r="AY68" s="214"/>
      <c r="AZ68" s="215"/>
      <c r="BA68" s="10"/>
      <c r="BB68" s="7"/>
      <c r="BC68" s="7"/>
      <c r="BD68" s="7"/>
      <c r="BE68" s="7"/>
    </row>
    <row r="69" spans="6:57" ht="18" customHeight="1" x14ac:dyDescent="0.2">
      <c r="S69" s="18"/>
      <c r="AC69" s="216" t="s">
        <v>271</v>
      </c>
      <c r="AD69" s="217"/>
      <c r="AE69" s="217"/>
      <c r="AF69" s="218"/>
      <c r="AG69" s="218"/>
      <c r="AH69" s="219"/>
      <c r="AI69" s="218"/>
      <c r="AJ69" s="218"/>
      <c r="AK69" s="218"/>
      <c r="AL69" s="218"/>
      <c r="AM69" s="220" t="e">
        <f>SUM(AJ69:AL69)/AH69</f>
        <v>#DIV/0!</v>
      </c>
      <c r="AN69" s="218"/>
      <c r="AO69" s="218"/>
      <c r="AP69" s="221" t="e">
        <f>SUM(AN69:AO69)/AI69</f>
        <v>#DIV/0!</v>
      </c>
      <c r="AQ69" s="218"/>
      <c r="AR69" s="218"/>
      <c r="AS69" s="221" t="e">
        <f>(AQ69+AR69)/$AG69</f>
        <v>#DIV/0!</v>
      </c>
      <c r="AT69" s="218"/>
      <c r="AU69" s="218"/>
      <c r="AV69" s="221" t="e">
        <f>(AT69+AU69)/$AG69</f>
        <v>#DIV/0!</v>
      </c>
      <c r="AW69" s="218"/>
      <c r="AX69" s="218"/>
      <c r="AY69" s="221" t="e">
        <f>(AW69+AX69)/$AG69</f>
        <v>#DIV/0!</v>
      </c>
      <c r="AZ69" s="222">
        <f>SUM(AN69,AQ69,AT69,AW69)</f>
        <v>0</v>
      </c>
      <c r="BA69" s="222">
        <f>SUM(AO69,AR69,AU69,AX69)</f>
        <v>0</v>
      </c>
      <c r="BB69" s="222">
        <f>SUM(AZ69:BA69)</f>
        <v>0</v>
      </c>
      <c r="BC69" s="221">
        <f>(BB69+1)/(AI69+1)</f>
        <v>1</v>
      </c>
      <c r="BD69" s="223"/>
      <c r="BE69" s="223"/>
    </row>
    <row r="70" spans="6:57" ht="18" customHeight="1" x14ac:dyDescent="0.2">
      <c r="S70" s="18"/>
      <c r="AC70" s="224" t="s">
        <v>273</v>
      </c>
      <c r="AD70" s="225">
        <v>46111</v>
      </c>
      <c r="AE70" s="225">
        <v>46112</v>
      </c>
      <c r="AF70" s="226">
        <v>4</v>
      </c>
      <c r="AG70" s="226">
        <v>244</v>
      </c>
      <c r="AH70" s="227">
        <v>244</v>
      </c>
      <c r="AI70" s="226">
        <v>245</v>
      </c>
      <c r="AJ70" s="226">
        <v>0</v>
      </c>
      <c r="AK70" s="226">
        <v>0</v>
      </c>
      <c r="AL70" s="226">
        <v>1</v>
      </c>
      <c r="AM70" s="228">
        <f t="shared" ref="AM70:AM71" si="144">SUM(AJ70:AL70)/AH70</f>
        <v>4.0983606557377051E-3</v>
      </c>
      <c r="AN70" s="226">
        <v>25</v>
      </c>
      <c r="AO70" s="226">
        <v>0</v>
      </c>
      <c r="AP70" s="229">
        <f t="shared" ref="AP70:AP71" si="145">SUM(AN70:AO70)/AI70</f>
        <v>0.10204081632653061</v>
      </c>
      <c r="AQ70" s="226">
        <v>6</v>
      </c>
      <c r="AR70" s="226">
        <v>0</v>
      </c>
      <c r="AS70" s="229">
        <f t="shared" ref="AS70:AS71" si="146">(AQ70+AR70)/$AG70</f>
        <v>2.4590163934426229E-2</v>
      </c>
      <c r="AT70" s="226">
        <v>2</v>
      </c>
      <c r="AU70" s="226">
        <v>0</v>
      </c>
      <c r="AV70" s="229">
        <f t="shared" ref="AV70:AV71" si="147">(AT70+AU70)/$AG70</f>
        <v>8.1967213114754103E-3</v>
      </c>
      <c r="AW70" s="226">
        <v>0</v>
      </c>
      <c r="AX70" s="226">
        <v>0</v>
      </c>
      <c r="AY70" s="229">
        <f t="shared" ref="AY70:AY71" si="148">(AW70+AX70)/$AG70</f>
        <v>0</v>
      </c>
      <c r="AZ70" s="230">
        <f t="shared" ref="AZ70:BA71" si="149">SUM(AN70,AQ70,AT70,AW70)</f>
        <v>33</v>
      </c>
      <c r="BA70" s="230">
        <f t="shared" si="149"/>
        <v>0</v>
      </c>
      <c r="BB70" s="230">
        <f t="shared" ref="BB70:BB71" si="150">SUM(AZ70:BA70)</f>
        <v>33</v>
      </c>
      <c r="BC70" s="229">
        <f t="shared" ref="BC70:BC71" si="151">(BB70+1)/(AI70+1)</f>
        <v>0.13821138211382114</v>
      </c>
      <c r="BD70" s="231"/>
      <c r="BE70" s="231"/>
    </row>
    <row r="71" spans="6:57" ht="18" customHeight="1" x14ac:dyDescent="0.2">
      <c r="S71" s="18"/>
      <c r="AC71" s="232" t="s">
        <v>275</v>
      </c>
      <c r="AD71" s="233"/>
      <c r="AE71" s="233"/>
      <c r="AF71" s="234"/>
      <c r="AG71" s="234"/>
      <c r="AH71" s="235"/>
      <c r="AI71" s="234"/>
      <c r="AJ71" s="234"/>
      <c r="AK71" s="234"/>
      <c r="AL71" s="234"/>
      <c r="AM71" s="236" t="e">
        <f t="shared" si="144"/>
        <v>#DIV/0!</v>
      </c>
      <c r="AN71" s="234"/>
      <c r="AO71" s="234"/>
      <c r="AP71" s="237" t="e">
        <f t="shared" si="145"/>
        <v>#DIV/0!</v>
      </c>
      <c r="AQ71" s="234"/>
      <c r="AR71" s="234"/>
      <c r="AS71" s="237" t="e">
        <f t="shared" si="146"/>
        <v>#DIV/0!</v>
      </c>
      <c r="AT71" s="234"/>
      <c r="AU71" s="234"/>
      <c r="AV71" s="237" t="e">
        <f t="shared" si="147"/>
        <v>#DIV/0!</v>
      </c>
      <c r="AW71" s="234"/>
      <c r="AX71" s="234"/>
      <c r="AY71" s="237" t="e">
        <f t="shared" si="148"/>
        <v>#DIV/0!</v>
      </c>
      <c r="AZ71" s="238">
        <f t="shared" si="149"/>
        <v>0</v>
      </c>
      <c r="BA71" s="238">
        <f t="shared" si="149"/>
        <v>0</v>
      </c>
      <c r="BB71" s="238">
        <f t="shared" si="150"/>
        <v>0</v>
      </c>
      <c r="BC71" s="237">
        <f t="shared" si="151"/>
        <v>1</v>
      </c>
      <c r="BD71" s="239"/>
      <c r="BE71" s="239"/>
    </row>
    <row r="72" spans="6:57" ht="18" customHeight="1" x14ac:dyDescent="0.2">
      <c r="F72" s="129"/>
      <c r="G72" s="130"/>
      <c r="H72" s="130"/>
      <c r="I72" s="130"/>
      <c r="J72" s="129"/>
      <c r="K72" s="129"/>
      <c r="L72" s="129"/>
      <c r="S72" s="18"/>
      <c r="AC72" s="7"/>
      <c r="AG72" s="240">
        <f>SUM(AG69:AG71)</f>
        <v>244</v>
      </c>
      <c r="AH72" s="240">
        <f>SUM(AH69:AH71)</f>
        <v>244</v>
      </c>
      <c r="AI72" s="240">
        <f t="shared" ref="AI72:AL72" si="152">SUM(AI69:AI71)</f>
        <v>245</v>
      </c>
      <c r="AJ72" s="240">
        <f t="shared" si="152"/>
        <v>0</v>
      </c>
      <c r="AK72" s="240">
        <f t="shared" si="152"/>
        <v>0</v>
      </c>
      <c r="AL72" s="240">
        <f t="shared" si="152"/>
        <v>1</v>
      </c>
      <c r="AM72" s="135"/>
      <c r="AN72" s="240">
        <f>SUM(AN69:AN71)</f>
        <v>25</v>
      </c>
      <c r="AO72" s="240">
        <f>SUM(AO69:AO71)</f>
        <v>0</v>
      </c>
      <c r="AP72" s="241"/>
      <c r="AQ72" s="240">
        <f>SUM(AQ69:AQ71)</f>
        <v>6</v>
      </c>
      <c r="AR72" s="240">
        <f>SUM(AR69:AR71)</f>
        <v>0</v>
      </c>
      <c r="AS72" s="241"/>
      <c r="AT72" s="240">
        <f>SUM(AT69:AT71)</f>
        <v>2</v>
      </c>
      <c r="AU72" s="240">
        <f>SUM(AU69:AU71)</f>
        <v>0</v>
      </c>
      <c r="AV72" s="241"/>
      <c r="AW72" s="240">
        <f>SUM(AW69:AW71)</f>
        <v>0</v>
      </c>
      <c r="AX72" s="240">
        <f>SUM(AX69:AX71)</f>
        <v>0</v>
      </c>
      <c r="AY72" s="241"/>
      <c r="AZ72" s="240">
        <f>SUM(AZ69:AZ71)</f>
        <v>33</v>
      </c>
      <c r="BA72" s="240">
        <f>SUM(BA69:BA71)</f>
        <v>0</v>
      </c>
      <c r="BB72" s="240">
        <f>SUM(AZ72:BA72)</f>
        <v>33</v>
      </c>
      <c r="BC72" s="242">
        <f>(BB72+1)/(AI72+1)</f>
        <v>0.13821138211382114</v>
      </c>
      <c r="BD72" s="98"/>
      <c r="BE72" s="98"/>
    </row>
    <row r="73" spans="6:57" ht="18" customHeight="1" x14ac:dyDescent="0.2">
      <c r="F73" s="129"/>
      <c r="G73" s="130"/>
      <c r="H73" s="130"/>
      <c r="I73" s="130"/>
      <c r="J73" s="129"/>
      <c r="K73" s="129"/>
      <c r="L73" s="129"/>
      <c r="S73" s="18"/>
      <c r="AC73" s="212" t="s">
        <v>315</v>
      </c>
      <c r="AD73" s="15"/>
      <c r="AE73" s="23"/>
      <c r="AF73" s="16"/>
      <c r="AG73" s="15"/>
      <c r="AH73" s="15"/>
      <c r="AI73" s="15"/>
      <c r="AJ73" s="15"/>
      <c r="AK73" s="15"/>
      <c r="AL73" s="22"/>
      <c r="AM73" s="213"/>
      <c r="AN73" s="23"/>
      <c r="AO73" s="23"/>
      <c r="AP73" s="7"/>
      <c r="AQ73" s="15"/>
      <c r="AR73" s="15"/>
      <c r="AS73" s="7"/>
      <c r="AT73" s="15"/>
      <c r="AU73" s="15"/>
      <c r="AV73" s="7"/>
      <c r="AW73" s="15"/>
      <c r="AX73" s="15"/>
      <c r="AY73" s="214"/>
      <c r="AZ73" s="215"/>
      <c r="BA73" s="10"/>
      <c r="BB73" s="7"/>
      <c r="BC73" s="7"/>
      <c r="BD73" s="7"/>
      <c r="BE73" s="7"/>
    </row>
    <row r="74" spans="6:57" ht="18" customHeight="1" x14ac:dyDescent="0.2">
      <c r="F74" s="129"/>
      <c r="G74" s="130"/>
      <c r="H74" s="130"/>
      <c r="I74" s="130"/>
      <c r="J74" s="129"/>
      <c r="K74" s="129"/>
      <c r="L74" s="129"/>
      <c r="S74" s="18"/>
      <c r="AC74" s="216" t="s">
        <v>271</v>
      </c>
      <c r="AD74" s="217">
        <v>46111</v>
      </c>
      <c r="AE74" s="217">
        <v>46112</v>
      </c>
      <c r="AF74" s="218">
        <v>4</v>
      </c>
      <c r="AG74" s="218">
        <v>257</v>
      </c>
      <c r="AH74" s="219">
        <v>257</v>
      </c>
      <c r="AI74" s="218">
        <v>257</v>
      </c>
      <c r="AJ74" s="218">
        <v>0</v>
      </c>
      <c r="AK74" s="218">
        <v>0</v>
      </c>
      <c r="AL74" s="218">
        <v>0</v>
      </c>
      <c r="AM74" s="220">
        <f>SUM(AJ74:AL74)/AH74</f>
        <v>0</v>
      </c>
      <c r="AN74" s="218">
        <v>21</v>
      </c>
      <c r="AO74" s="218">
        <v>0</v>
      </c>
      <c r="AP74" s="221">
        <f>SUM(AN74:AO74)/AI74</f>
        <v>8.171206225680934E-2</v>
      </c>
      <c r="AQ74" s="218">
        <v>5</v>
      </c>
      <c r="AR74" s="218">
        <v>0</v>
      </c>
      <c r="AS74" s="221">
        <f>(AQ74+AR74)/$AG74</f>
        <v>1.9455252918287938E-2</v>
      </c>
      <c r="AT74" s="218">
        <v>3</v>
      </c>
      <c r="AU74" s="218">
        <v>0</v>
      </c>
      <c r="AV74" s="221">
        <f>(AT74+AU74)/$AG74</f>
        <v>1.1673151750972763E-2</v>
      </c>
      <c r="AW74" s="218">
        <v>0</v>
      </c>
      <c r="AX74" s="218">
        <v>0</v>
      </c>
      <c r="AY74" s="221">
        <f>(AW74+AX74)/$AG74</f>
        <v>0</v>
      </c>
      <c r="AZ74" s="222">
        <f>SUM(AN74,AQ74,AT74,AW74)</f>
        <v>29</v>
      </c>
      <c r="BA74" s="222">
        <f>SUM(AO74,AR74,AU74,AX74)</f>
        <v>0</v>
      </c>
      <c r="BB74" s="222">
        <f>SUM(AZ74:BA74)</f>
        <v>29</v>
      </c>
      <c r="BC74" s="221">
        <f>(BB74+1)/(AI74+1)</f>
        <v>0.11627906976744186</v>
      </c>
      <c r="BD74" s="223"/>
      <c r="BE74" s="223"/>
    </row>
    <row r="75" spans="6:57" ht="18" customHeight="1" x14ac:dyDescent="0.2">
      <c r="F75" s="129"/>
      <c r="G75" s="130"/>
      <c r="H75" s="130"/>
      <c r="I75" s="130"/>
      <c r="J75" s="129"/>
      <c r="K75" s="129"/>
      <c r="L75" s="129"/>
      <c r="AC75" s="224" t="s">
        <v>273</v>
      </c>
      <c r="AD75" s="225"/>
      <c r="AE75" s="225"/>
      <c r="AF75" s="226"/>
      <c r="AG75" s="226"/>
      <c r="AH75" s="227"/>
      <c r="AI75" s="226"/>
      <c r="AJ75" s="226"/>
      <c r="AK75" s="226"/>
      <c r="AL75" s="226"/>
      <c r="AM75" s="228" t="e">
        <f t="shared" ref="AM75:AM76" si="153">SUM(AJ75:AL75)/AH75</f>
        <v>#DIV/0!</v>
      </c>
      <c r="AN75" s="226"/>
      <c r="AO75" s="226"/>
      <c r="AP75" s="229" t="e">
        <f t="shared" ref="AP75:AP76" si="154">SUM(AN75:AO75)/AI75</f>
        <v>#DIV/0!</v>
      </c>
      <c r="AQ75" s="226"/>
      <c r="AR75" s="226"/>
      <c r="AS75" s="229" t="e">
        <f t="shared" ref="AS75:AS76" si="155">(AQ75+AR75)/$AG75</f>
        <v>#DIV/0!</v>
      </c>
      <c r="AT75" s="226"/>
      <c r="AU75" s="226"/>
      <c r="AV75" s="229" t="e">
        <f t="shared" ref="AV75:AV76" si="156">(AT75+AU75)/$AG75</f>
        <v>#DIV/0!</v>
      </c>
      <c r="AW75" s="226"/>
      <c r="AX75" s="226"/>
      <c r="AY75" s="229" t="e">
        <f t="shared" ref="AY75:AY76" si="157">(AW75+AX75)/$AG75</f>
        <v>#DIV/0!</v>
      </c>
      <c r="AZ75" s="230">
        <f t="shared" ref="AZ75:BA76" si="158">SUM(AN75,AQ75,AT75,AW75)</f>
        <v>0</v>
      </c>
      <c r="BA75" s="230">
        <f t="shared" si="158"/>
        <v>0</v>
      </c>
      <c r="BB75" s="230">
        <f t="shared" ref="BB75:BB76" si="159">SUM(AZ75:BA75)</f>
        <v>0</v>
      </c>
      <c r="BC75" s="229">
        <f t="shared" ref="BC75:BC76" si="160">(BB75+1)/(AI75+1)</f>
        <v>1</v>
      </c>
      <c r="BD75" s="231"/>
      <c r="BE75" s="231"/>
    </row>
    <row r="76" spans="6:57" ht="18" customHeight="1" x14ac:dyDescent="0.2">
      <c r="F76" s="129"/>
      <c r="G76" s="130"/>
      <c r="H76" s="130"/>
      <c r="I76" s="130"/>
      <c r="J76" s="129"/>
      <c r="K76" s="129"/>
      <c r="L76" s="129"/>
      <c r="AC76" s="232" t="s">
        <v>275</v>
      </c>
      <c r="AD76" s="298"/>
      <c r="AE76" s="298"/>
      <c r="AF76" s="234"/>
      <c r="AG76" s="234"/>
      <c r="AH76" s="235"/>
      <c r="AI76" s="234"/>
      <c r="AJ76" s="234"/>
      <c r="AK76" s="234"/>
      <c r="AL76" s="234"/>
      <c r="AM76" s="236" t="e">
        <f t="shared" si="153"/>
        <v>#DIV/0!</v>
      </c>
      <c r="AN76" s="234"/>
      <c r="AO76" s="234"/>
      <c r="AP76" s="237" t="e">
        <f t="shared" si="154"/>
        <v>#DIV/0!</v>
      </c>
      <c r="AQ76" s="234"/>
      <c r="AR76" s="234"/>
      <c r="AS76" s="237" t="e">
        <f t="shared" si="155"/>
        <v>#DIV/0!</v>
      </c>
      <c r="AT76" s="234"/>
      <c r="AU76" s="234"/>
      <c r="AV76" s="237" t="e">
        <f t="shared" si="156"/>
        <v>#DIV/0!</v>
      </c>
      <c r="AW76" s="234"/>
      <c r="AX76" s="234"/>
      <c r="AY76" s="237" t="e">
        <f t="shared" si="157"/>
        <v>#DIV/0!</v>
      </c>
      <c r="AZ76" s="238">
        <f t="shared" si="158"/>
        <v>0</v>
      </c>
      <c r="BA76" s="238">
        <f t="shared" si="158"/>
        <v>0</v>
      </c>
      <c r="BB76" s="238">
        <f t="shared" si="159"/>
        <v>0</v>
      </c>
      <c r="BC76" s="237">
        <f t="shared" si="160"/>
        <v>1</v>
      </c>
      <c r="BD76" s="239"/>
      <c r="BE76" s="239"/>
    </row>
    <row r="77" spans="6:57" ht="18" customHeight="1" x14ac:dyDescent="0.2">
      <c r="AC77" s="7"/>
      <c r="AG77" s="240">
        <f>SUM(AG74:AG76)</f>
        <v>257</v>
      </c>
      <c r="AH77" s="240">
        <f>SUM(AH74:AH76)</f>
        <v>257</v>
      </c>
      <c r="AI77" s="240">
        <f t="shared" ref="AI77:AL77" si="161">SUM(AI74:AI76)</f>
        <v>257</v>
      </c>
      <c r="AJ77" s="240">
        <f t="shared" si="161"/>
        <v>0</v>
      </c>
      <c r="AK77" s="240">
        <f t="shared" si="161"/>
        <v>0</v>
      </c>
      <c r="AL77" s="240">
        <f t="shared" si="161"/>
        <v>0</v>
      </c>
      <c r="AM77" s="135"/>
      <c r="AN77" s="240">
        <f>SUM(AN74:AN76)</f>
        <v>21</v>
      </c>
      <c r="AO77" s="240">
        <f>SUM(AO74:AO76)</f>
        <v>0</v>
      </c>
      <c r="AP77" s="241"/>
      <c r="AQ77" s="240">
        <f>SUM(AQ74:AQ76)</f>
        <v>5</v>
      </c>
      <c r="AR77" s="240">
        <f>SUM(AR74:AR76)</f>
        <v>0</v>
      </c>
      <c r="AS77" s="241"/>
      <c r="AT77" s="240">
        <f>SUM(AT74:AT76)</f>
        <v>3</v>
      </c>
      <c r="AU77" s="240">
        <f>SUM(AU74:AU76)</f>
        <v>0</v>
      </c>
      <c r="AV77" s="241"/>
      <c r="AW77" s="240">
        <f>SUM(AW74:AW76)</f>
        <v>0</v>
      </c>
      <c r="AX77" s="240">
        <f>SUM(AX74:AX76)</f>
        <v>0</v>
      </c>
      <c r="AY77" s="241"/>
      <c r="AZ77" s="240">
        <f>SUM(AZ74:AZ76)</f>
        <v>29</v>
      </c>
      <c r="BA77" s="240">
        <f>SUM(BA74:BA76)</f>
        <v>0</v>
      </c>
      <c r="BB77" s="240">
        <f>SUM(AZ77:BA77)</f>
        <v>29</v>
      </c>
      <c r="BC77" s="242">
        <f>(BB77+1)/(AI77+1)</f>
        <v>0.11627906976744186</v>
      </c>
      <c r="BD77" s="98"/>
      <c r="BE77" s="98"/>
    </row>
    <row r="78" spans="6:57" ht="18" customHeight="1" x14ac:dyDescent="0.2">
      <c r="AC78" s="212" t="s">
        <v>316</v>
      </c>
      <c r="AD78" s="15"/>
      <c r="AE78" s="23"/>
      <c r="AF78" s="16"/>
      <c r="AG78" s="15"/>
      <c r="AH78" s="15"/>
      <c r="AI78" s="15"/>
      <c r="AJ78" s="15"/>
      <c r="AK78" s="15"/>
      <c r="AL78" s="22"/>
      <c r="AM78" s="213"/>
      <c r="AN78" s="23"/>
      <c r="AO78" s="23"/>
      <c r="AP78" s="7"/>
      <c r="AQ78" s="15"/>
      <c r="AR78" s="15"/>
      <c r="AS78" s="7"/>
      <c r="AT78" s="15"/>
      <c r="AU78" s="15"/>
      <c r="AV78" s="7"/>
      <c r="AW78" s="15"/>
      <c r="AX78" s="15"/>
      <c r="AY78" s="214"/>
      <c r="AZ78" s="215"/>
      <c r="BA78" s="10"/>
      <c r="BB78" s="7"/>
      <c r="BC78" s="7"/>
      <c r="BD78" s="7"/>
      <c r="BE78" s="7"/>
    </row>
    <row r="79" spans="6:57" ht="18" customHeight="1" x14ac:dyDescent="0.2">
      <c r="AC79" s="216" t="s">
        <v>271</v>
      </c>
      <c r="AD79" s="217"/>
      <c r="AE79" s="217"/>
      <c r="AF79" s="218"/>
      <c r="AG79" s="218"/>
      <c r="AH79" s="219"/>
      <c r="AI79" s="218"/>
      <c r="AJ79" s="218"/>
      <c r="AK79" s="218"/>
      <c r="AL79" s="218"/>
      <c r="AM79" s="220" t="e">
        <f>SUM(AJ79:AL79)/AH79</f>
        <v>#DIV/0!</v>
      </c>
      <c r="AN79" s="218"/>
      <c r="AO79" s="218"/>
      <c r="AP79" s="221" t="e">
        <f>SUM(AN79:AO79)/AI79</f>
        <v>#DIV/0!</v>
      </c>
      <c r="AQ79" s="218"/>
      <c r="AR79" s="218"/>
      <c r="AS79" s="221" t="e">
        <f>(AQ79+AR79)/$AG79</f>
        <v>#DIV/0!</v>
      </c>
      <c r="AT79" s="218"/>
      <c r="AU79" s="218"/>
      <c r="AV79" s="221" t="e">
        <f>(AT79+AU79)/$AG79</f>
        <v>#DIV/0!</v>
      </c>
      <c r="AW79" s="218"/>
      <c r="AX79" s="218"/>
      <c r="AY79" s="221" t="e">
        <f>(AW79+AX79)/$AG79</f>
        <v>#DIV/0!</v>
      </c>
      <c r="AZ79" s="222">
        <f>SUM(AN79,AQ79,AT79,AW79)</f>
        <v>0</v>
      </c>
      <c r="BA79" s="222">
        <f>SUM(AO79,AR79,AU79,AX79)</f>
        <v>0</v>
      </c>
      <c r="BB79" s="222">
        <f>SUM(AZ79:BA79)</f>
        <v>0</v>
      </c>
      <c r="BC79" s="221">
        <f>(BB79+1)/(AI79+1)</f>
        <v>1</v>
      </c>
      <c r="BD79" s="223"/>
      <c r="BE79" s="223"/>
    </row>
    <row r="80" spans="6:57" ht="18" customHeight="1" x14ac:dyDescent="0.2">
      <c r="AC80" s="224" t="s">
        <v>273</v>
      </c>
      <c r="AD80" s="225">
        <v>46114</v>
      </c>
      <c r="AE80" s="225">
        <v>46115</v>
      </c>
      <c r="AF80" s="226">
        <v>1</v>
      </c>
      <c r="AG80" s="226">
        <v>250</v>
      </c>
      <c r="AH80" s="227">
        <v>249</v>
      </c>
      <c r="AI80" s="226">
        <v>249</v>
      </c>
      <c r="AJ80" s="226">
        <v>1</v>
      </c>
      <c r="AK80" s="226">
        <v>0</v>
      </c>
      <c r="AL80" s="226">
        <v>0</v>
      </c>
      <c r="AM80" s="228">
        <f t="shared" ref="AM80:AM81" si="162">SUM(AJ80:AL80)/AH80</f>
        <v>4.0160642570281121E-3</v>
      </c>
      <c r="AN80" s="226">
        <v>22</v>
      </c>
      <c r="AO80" s="226">
        <v>0</v>
      </c>
      <c r="AP80" s="229">
        <f t="shared" ref="AP80:AP81" si="163">SUM(AN80:AO80)/AI80</f>
        <v>8.8353413654618476E-2</v>
      </c>
      <c r="AQ80" s="226">
        <v>3</v>
      </c>
      <c r="AR80" s="226">
        <v>0</v>
      </c>
      <c r="AS80" s="229">
        <f t="shared" ref="AS80:AS81" si="164">(AQ80+AR80)/$AG80</f>
        <v>1.2E-2</v>
      </c>
      <c r="AT80" s="226">
        <v>0</v>
      </c>
      <c r="AU80" s="226">
        <v>0</v>
      </c>
      <c r="AV80" s="229">
        <f t="shared" ref="AV80:AV81" si="165">(AT80+AU80)/$AG80</f>
        <v>0</v>
      </c>
      <c r="AW80" s="226">
        <v>1</v>
      </c>
      <c r="AX80" s="226">
        <v>0</v>
      </c>
      <c r="AY80" s="229">
        <f t="shared" ref="AY80:AY81" si="166">(AW80+AX80)/$AG80</f>
        <v>4.0000000000000001E-3</v>
      </c>
      <c r="AZ80" s="230">
        <f t="shared" ref="AZ80:BA81" si="167">SUM(AN80,AQ80,AT80,AW80)</f>
        <v>26</v>
      </c>
      <c r="BA80" s="230">
        <f t="shared" si="167"/>
        <v>0</v>
      </c>
      <c r="BB80" s="230">
        <f t="shared" ref="BB80:BB81" si="168">SUM(AZ80:BA80)</f>
        <v>26</v>
      </c>
      <c r="BC80" s="229">
        <f t="shared" ref="BC80:BC81" si="169">(BB80+1)/(AI80+1)</f>
        <v>0.108</v>
      </c>
      <c r="BD80" s="231"/>
      <c r="BE80" s="231"/>
    </row>
    <row r="81" spans="29:57" ht="18" customHeight="1" x14ac:dyDescent="0.2">
      <c r="AC81" s="232" t="s">
        <v>275</v>
      </c>
      <c r="AD81" s="233"/>
      <c r="AE81" s="233"/>
      <c r="AF81" s="234"/>
      <c r="AG81" s="234"/>
      <c r="AH81" s="235"/>
      <c r="AI81" s="234"/>
      <c r="AJ81" s="234"/>
      <c r="AK81" s="234"/>
      <c r="AL81" s="234"/>
      <c r="AM81" s="236" t="e">
        <f t="shared" si="162"/>
        <v>#DIV/0!</v>
      </c>
      <c r="AN81" s="234"/>
      <c r="AO81" s="234"/>
      <c r="AP81" s="237" t="e">
        <f t="shared" si="163"/>
        <v>#DIV/0!</v>
      </c>
      <c r="AQ81" s="234"/>
      <c r="AR81" s="234"/>
      <c r="AS81" s="237" t="e">
        <f t="shared" si="164"/>
        <v>#DIV/0!</v>
      </c>
      <c r="AT81" s="234"/>
      <c r="AU81" s="234"/>
      <c r="AV81" s="237" t="e">
        <f t="shared" si="165"/>
        <v>#DIV/0!</v>
      </c>
      <c r="AW81" s="234"/>
      <c r="AX81" s="234"/>
      <c r="AY81" s="237" t="e">
        <f t="shared" si="166"/>
        <v>#DIV/0!</v>
      </c>
      <c r="AZ81" s="238">
        <f t="shared" si="167"/>
        <v>0</v>
      </c>
      <c r="BA81" s="238">
        <f t="shared" si="167"/>
        <v>0</v>
      </c>
      <c r="BB81" s="238">
        <f t="shared" si="168"/>
        <v>0</v>
      </c>
      <c r="BC81" s="237">
        <f t="shared" si="169"/>
        <v>1</v>
      </c>
      <c r="BD81" s="239"/>
      <c r="BE81" s="239"/>
    </row>
    <row r="82" spans="29:57" ht="18" customHeight="1" x14ac:dyDescent="0.2">
      <c r="AC82" s="7"/>
      <c r="AG82" s="240">
        <f>SUM(AG79:AG81)</f>
        <v>250</v>
      </c>
      <c r="AH82" s="240">
        <f>SUM(AH79:AH81)</f>
        <v>249</v>
      </c>
      <c r="AI82" s="240">
        <f t="shared" ref="AI82:AL82" si="170">SUM(AI79:AI81)</f>
        <v>249</v>
      </c>
      <c r="AJ82" s="240">
        <f t="shared" si="170"/>
        <v>1</v>
      </c>
      <c r="AK82" s="240">
        <f t="shared" si="170"/>
        <v>0</v>
      </c>
      <c r="AL82" s="240">
        <f t="shared" si="170"/>
        <v>0</v>
      </c>
      <c r="AM82" s="135"/>
      <c r="AN82" s="240">
        <f>SUM(AN79:AN81)</f>
        <v>22</v>
      </c>
      <c r="AO82" s="240">
        <f>SUM(AO79:AO81)</f>
        <v>0</v>
      </c>
      <c r="AP82" s="241"/>
      <c r="AQ82" s="240">
        <f>SUM(AQ79:AQ81)</f>
        <v>3</v>
      </c>
      <c r="AR82" s="240">
        <f>SUM(AR79:AR81)</f>
        <v>0</v>
      </c>
      <c r="AS82" s="241"/>
      <c r="AT82" s="240">
        <f>SUM(AT79:AT81)</f>
        <v>0</v>
      </c>
      <c r="AU82" s="240">
        <f>SUM(AU79:AU81)</f>
        <v>0</v>
      </c>
      <c r="AV82" s="241"/>
      <c r="AW82" s="240">
        <f>SUM(AW79:AW81)</f>
        <v>1</v>
      </c>
      <c r="AX82" s="240">
        <f>SUM(AX79:AX81)</f>
        <v>0</v>
      </c>
      <c r="AY82" s="241"/>
      <c r="AZ82" s="240">
        <f>SUM(AZ79:AZ81)</f>
        <v>26</v>
      </c>
      <c r="BA82" s="240">
        <f>SUM(BA79:BA81)</f>
        <v>0</v>
      </c>
      <c r="BB82" s="240">
        <f>SUM(AZ82:BA82)</f>
        <v>26</v>
      </c>
      <c r="BC82" s="242">
        <f>(BB82+1)/(AI82+1)</f>
        <v>0.108</v>
      </c>
      <c r="BD82" s="98"/>
      <c r="BE82" s="98"/>
    </row>
    <row r="83" spans="29:57" ht="18" customHeight="1" x14ac:dyDescent="0.2">
      <c r="AC83" s="212" t="s">
        <v>317</v>
      </c>
      <c r="AD83" s="15"/>
      <c r="AE83" s="23"/>
      <c r="AF83" s="16"/>
      <c r="AG83" s="15"/>
      <c r="AH83" s="15"/>
      <c r="AI83" s="15"/>
      <c r="AJ83" s="15"/>
      <c r="AK83" s="15"/>
      <c r="AL83" s="22"/>
      <c r="AM83" s="213"/>
      <c r="AN83" s="23"/>
      <c r="AO83" s="23"/>
      <c r="AP83" s="7"/>
      <c r="AQ83" s="15"/>
      <c r="AR83" s="15"/>
      <c r="AS83" s="7"/>
      <c r="AT83" s="15"/>
      <c r="AU83" s="15"/>
      <c r="AV83" s="7"/>
      <c r="AW83" s="15"/>
      <c r="AX83" s="15"/>
      <c r="AY83" s="214"/>
      <c r="AZ83" s="215"/>
      <c r="BA83" s="10"/>
      <c r="BB83" s="7"/>
      <c r="BC83" s="7"/>
      <c r="BD83" s="7"/>
      <c r="BE83" s="7"/>
    </row>
    <row r="84" spans="29:57" ht="18" customHeight="1" x14ac:dyDescent="0.2">
      <c r="AC84" s="216" t="s">
        <v>271</v>
      </c>
      <c r="AD84" s="350">
        <v>46114</v>
      </c>
      <c r="AE84" s="350">
        <v>46115</v>
      </c>
      <c r="AF84" s="351">
        <v>1</v>
      </c>
      <c r="AG84" s="218">
        <v>252</v>
      </c>
      <c r="AH84" s="219">
        <v>252</v>
      </c>
      <c r="AI84" s="218">
        <v>251</v>
      </c>
      <c r="AJ84" s="218">
        <v>0</v>
      </c>
      <c r="AK84" s="218">
        <v>0</v>
      </c>
      <c r="AL84" s="218">
        <v>1</v>
      </c>
      <c r="AM84" s="220">
        <f>SUM(AJ84:AL84)/AH84</f>
        <v>3.968253968253968E-3</v>
      </c>
      <c r="AN84" s="218">
        <v>24</v>
      </c>
      <c r="AO84" s="218">
        <v>0</v>
      </c>
      <c r="AP84" s="221">
        <f>SUM(AN84:AO84)/AI84</f>
        <v>9.5617529880478086E-2</v>
      </c>
      <c r="AQ84" s="218">
        <v>0</v>
      </c>
      <c r="AR84" s="218">
        <v>0</v>
      </c>
      <c r="AS84" s="221">
        <f>(AQ84+AR84)/$AG84</f>
        <v>0</v>
      </c>
      <c r="AT84" s="218">
        <v>0</v>
      </c>
      <c r="AU84" s="218">
        <v>0</v>
      </c>
      <c r="AV84" s="221">
        <f>(AT84+AU84)/$AG84</f>
        <v>0</v>
      </c>
      <c r="AW84" s="218">
        <v>7</v>
      </c>
      <c r="AX84" s="218">
        <v>0</v>
      </c>
      <c r="AY84" s="221">
        <f>(AW84+AX84)/$AG84</f>
        <v>2.7777777777777776E-2</v>
      </c>
      <c r="AZ84" s="222">
        <f>SUM(AN84,AQ84,AT84,AW84)</f>
        <v>31</v>
      </c>
      <c r="BA84" s="222">
        <f>SUM(AO84,AR84,AU84,AX84)</f>
        <v>0</v>
      </c>
      <c r="BB84" s="222">
        <f>SUM(AZ84:BA84)</f>
        <v>31</v>
      </c>
      <c r="BC84" s="221">
        <f>(BB84+1)/(AI84+1)</f>
        <v>0.12698412698412698</v>
      </c>
      <c r="BD84" s="223"/>
      <c r="BE84" s="223"/>
    </row>
    <row r="85" spans="29:57" ht="18" customHeight="1" x14ac:dyDescent="0.2">
      <c r="AC85" s="224" t="s">
        <v>273</v>
      </c>
      <c r="AD85" s="225"/>
      <c r="AE85" s="225"/>
      <c r="AF85" s="226"/>
      <c r="AG85" s="226"/>
      <c r="AH85" s="227"/>
      <c r="AI85" s="226"/>
      <c r="AJ85" s="226"/>
      <c r="AK85" s="226"/>
      <c r="AL85" s="226"/>
      <c r="AM85" s="228" t="e">
        <f t="shared" ref="AM85:AM86" si="171">SUM(AJ85:AL85)/AH85</f>
        <v>#DIV/0!</v>
      </c>
      <c r="AN85" s="226"/>
      <c r="AO85" s="226"/>
      <c r="AP85" s="229" t="e">
        <f t="shared" ref="AP85:AP86" si="172">SUM(AN85:AO85)/AI85</f>
        <v>#DIV/0!</v>
      </c>
      <c r="AQ85" s="226"/>
      <c r="AR85" s="226"/>
      <c r="AS85" s="229" t="e">
        <f t="shared" ref="AS85:AS86" si="173">(AQ85+AR85)/$AG85</f>
        <v>#DIV/0!</v>
      </c>
      <c r="AT85" s="226"/>
      <c r="AU85" s="226"/>
      <c r="AV85" s="229" t="e">
        <f t="shared" ref="AV85:AV86" si="174">(AT85+AU85)/$AG85</f>
        <v>#DIV/0!</v>
      </c>
      <c r="AW85" s="226"/>
      <c r="AX85" s="226"/>
      <c r="AY85" s="229" t="e">
        <f t="shared" ref="AY85:AY86" si="175">(AW85+AX85)/$AG85</f>
        <v>#DIV/0!</v>
      </c>
      <c r="AZ85" s="230">
        <f t="shared" ref="AZ85:BA86" si="176">SUM(AN85,AQ85,AT85,AW85)</f>
        <v>0</v>
      </c>
      <c r="BA85" s="230">
        <f t="shared" si="176"/>
        <v>0</v>
      </c>
      <c r="BB85" s="230">
        <f t="shared" ref="BB85:BB86" si="177">SUM(AZ85:BA85)</f>
        <v>0</v>
      </c>
      <c r="BC85" s="229">
        <f t="shared" ref="BC85:BC86" si="178">(BB85+1)/(AI85+1)</f>
        <v>1</v>
      </c>
      <c r="BD85" s="231"/>
      <c r="BE85" s="231"/>
    </row>
    <row r="86" spans="29:57" ht="18" customHeight="1" x14ac:dyDescent="0.2">
      <c r="AC86" s="232" t="s">
        <v>275</v>
      </c>
      <c r="AD86" s="233"/>
      <c r="AE86" s="233"/>
      <c r="AF86" s="234"/>
      <c r="AG86" s="234"/>
      <c r="AH86" s="235"/>
      <c r="AI86" s="234"/>
      <c r="AJ86" s="234"/>
      <c r="AK86" s="234"/>
      <c r="AL86" s="234"/>
      <c r="AM86" s="236" t="e">
        <f t="shared" si="171"/>
        <v>#DIV/0!</v>
      </c>
      <c r="AN86" s="234"/>
      <c r="AO86" s="234"/>
      <c r="AP86" s="237" t="e">
        <f t="shared" si="172"/>
        <v>#DIV/0!</v>
      </c>
      <c r="AQ86" s="234"/>
      <c r="AR86" s="234"/>
      <c r="AS86" s="237" t="e">
        <f t="shared" si="173"/>
        <v>#DIV/0!</v>
      </c>
      <c r="AT86" s="234"/>
      <c r="AU86" s="234"/>
      <c r="AV86" s="237" t="e">
        <f t="shared" si="174"/>
        <v>#DIV/0!</v>
      </c>
      <c r="AW86" s="234"/>
      <c r="AX86" s="234"/>
      <c r="AY86" s="237" t="e">
        <f t="shared" si="175"/>
        <v>#DIV/0!</v>
      </c>
      <c r="AZ86" s="238">
        <f t="shared" si="176"/>
        <v>0</v>
      </c>
      <c r="BA86" s="238">
        <f t="shared" si="176"/>
        <v>0</v>
      </c>
      <c r="BB86" s="238">
        <f t="shared" si="177"/>
        <v>0</v>
      </c>
      <c r="BC86" s="237">
        <f t="shared" si="178"/>
        <v>1</v>
      </c>
      <c r="BD86" s="239"/>
      <c r="BE86" s="239"/>
    </row>
    <row r="87" spans="29:57" ht="18" customHeight="1" x14ac:dyDescent="0.2">
      <c r="AC87" s="7"/>
      <c r="AG87" s="240">
        <f>SUM(AG84:AG86)</f>
        <v>252</v>
      </c>
      <c r="AH87" s="240">
        <f>SUM(AH84:AH86)</f>
        <v>252</v>
      </c>
      <c r="AI87" s="240">
        <f t="shared" ref="AI87:AL87" si="179">SUM(AI84:AI86)</f>
        <v>251</v>
      </c>
      <c r="AJ87" s="240">
        <f t="shared" si="179"/>
        <v>0</v>
      </c>
      <c r="AK87" s="240">
        <f t="shared" si="179"/>
        <v>0</v>
      </c>
      <c r="AL87" s="240">
        <f t="shared" si="179"/>
        <v>1</v>
      </c>
      <c r="AM87" s="135"/>
      <c r="AN87" s="240">
        <f>SUM(AN84:AN86)</f>
        <v>24</v>
      </c>
      <c r="AO87" s="240">
        <f>SUM(AO84:AO86)</f>
        <v>0</v>
      </c>
      <c r="AP87" s="241"/>
      <c r="AQ87" s="240">
        <f>SUM(AQ84:AQ86)</f>
        <v>0</v>
      </c>
      <c r="AR87" s="240">
        <f>SUM(AR84:AR86)</f>
        <v>0</v>
      </c>
      <c r="AS87" s="241"/>
      <c r="AT87" s="240">
        <f>SUM(AT84:AT86)</f>
        <v>0</v>
      </c>
      <c r="AU87" s="240">
        <f>SUM(AU84:AU86)</f>
        <v>0</v>
      </c>
      <c r="AV87" s="241"/>
      <c r="AW87" s="240">
        <f>SUM(AW84:AW86)</f>
        <v>7</v>
      </c>
      <c r="AX87" s="240">
        <f>SUM(AX84:AX86)</f>
        <v>0</v>
      </c>
      <c r="AY87" s="241"/>
      <c r="AZ87" s="240">
        <f>SUM(AZ84:AZ86)</f>
        <v>31</v>
      </c>
      <c r="BA87" s="240">
        <f>SUM(BA84:BA86)</f>
        <v>0</v>
      </c>
      <c r="BB87" s="240">
        <f>SUM(AZ87:BA87)</f>
        <v>31</v>
      </c>
      <c r="BC87" s="242">
        <f>(BB87+1)/(AI87+1)</f>
        <v>0.12698412698412698</v>
      </c>
      <c r="BD87" s="98"/>
      <c r="BE87" s="98"/>
    </row>
    <row r="88" spans="29:57" ht="18" customHeight="1" x14ac:dyDescent="0.2">
      <c r="AC88" s="212" t="s">
        <v>318</v>
      </c>
      <c r="AD88" s="15"/>
      <c r="AE88" s="23"/>
      <c r="AF88" s="16"/>
      <c r="AG88" s="15"/>
      <c r="AH88" s="15"/>
      <c r="AI88" s="15"/>
      <c r="AJ88" s="15"/>
      <c r="AK88" s="15"/>
      <c r="AL88" s="22"/>
      <c r="AM88" s="213"/>
      <c r="AN88" s="23"/>
      <c r="AO88" s="23"/>
      <c r="AP88" s="7"/>
      <c r="AQ88" s="15"/>
      <c r="AR88" s="15"/>
      <c r="AS88" s="7"/>
      <c r="AT88" s="15"/>
      <c r="AU88" s="15"/>
      <c r="AV88" s="7"/>
      <c r="AW88" s="15"/>
      <c r="AX88" s="15"/>
      <c r="AY88" s="214"/>
      <c r="AZ88" s="215"/>
      <c r="BA88" s="10"/>
      <c r="BB88" s="7"/>
      <c r="BC88" s="7"/>
      <c r="BD88" s="7"/>
      <c r="BE88" s="7"/>
    </row>
    <row r="89" spans="29:57" ht="18" customHeight="1" x14ac:dyDescent="0.2">
      <c r="AC89" s="216" t="s">
        <v>271</v>
      </c>
      <c r="AD89" s="217">
        <v>46118</v>
      </c>
      <c r="AE89" s="217">
        <v>46119</v>
      </c>
      <c r="AF89" s="218">
        <v>5</v>
      </c>
      <c r="AG89" s="218">
        <v>504</v>
      </c>
      <c r="AH89" s="219">
        <v>504</v>
      </c>
      <c r="AI89" s="218">
        <v>478</v>
      </c>
      <c r="AJ89" s="218">
        <v>0</v>
      </c>
      <c r="AK89" s="218">
        <v>4</v>
      </c>
      <c r="AL89" s="218">
        <v>26</v>
      </c>
      <c r="AM89" s="220">
        <f>SUM(AJ89:AL89)/AH89</f>
        <v>5.9523809523809521E-2</v>
      </c>
      <c r="AN89" s="218">
        <v>47</v>
      </c>
      <c r="AO89" s="218">
        <v>0</v>
      </c>
      <c r="AP89" s="221">
        <f>SUM(AN89:AO89)/AI89</f>
        <v>9.832635983263599E-2</v>
      </c>
      <c r="AQ89" s="218">
        <v>8</v>
      </c>
      <c r="AR89" s="218">
        <v>0</v>
      </c>
      <c r="AS89" s="221">
        <f>(AQ89+AR89)/$AG89</f>
        <v>1.5873015873015872E-2</v>
      </c>
      <c r="AT89" s="218">
        <v>1</v>
      </c>
      <c r="AU89" s="218">
        <v>0</v>
      </c>
      <c r="AV89" s="221">
        <f>(AT89+AU89)/$AG89</f>
        <v>1.984126984126984E-3</v>
      </c>
      <c r="AW89" s="218">
        <v>5</v>
      </c>
      <c r="AX89" s="218">
        <v>0</v>
      </c>
      <c r="AY89" s="221">
        <f>(AW89+AX89)/$AG89</f>
        <v>9.9206349206349201E-3</v>
      </c>
      <c r="AZ89" s="222">
        <f>SUM(AN89,AQ89,AT89,AW89)</f>
        <v>61</v>
      </c>
      <c r="BA89" s="222">
        <f>SUM(AO89,AR89,AU89,AX89)</f>
        <v>0</v>
      </c>
      <c r="BB89" s="222">
        <f>SUM(AZ89:BA89)</f>
        <v>61</v>
      </c>
      <c r="BC89" s="221">
        <f>(BB89+1)/(AI89+1)</f>
        <v>0.12943632567849686</v>
      </c>
      <c r="BD89" s="223" t="s">
        <v>274</v>
      </c>
      <c r="BE89" s="223" t="s">
        <v>268</v>
      </c>
    </row>
    <row r="90" spans="29:57" ht="18" customHeight="1" x14ac:dyDescent="0.2">
      <c r="AC90" s="224" t="s">
        <v>273</v>
      </c>
      <c r="AD90" s="225"/>
      <c r="AE90" s="225"/>
      <c r="AF90" s="226"/>
      <c r="AG90" s="226"/>
      <c r="AH90" s="227"/>
      <c r="AI90" s="226"/>
      <c r="AJ90" s="226"/>
      <c r="AK90" s="226"/>
      <c r="AL90" s="226"/>
      <c r="AM90" s="228" t="e">
        <f t="shared" ref="AM90:AM91" si="180">SUM(AJ90:AL90)/AH90</f>
        <v>#DIV/0!</v>
      </c>
      <c r="AN90" s="226"/>
      <c r="AO90" s="226"/>
      <c r="AP90" s="229" t="e">
        <f t="shared" ref="AP90:AP91" si="181">SUM(AN90:AO90)/AI90</f>
        <v>#DIV/0!</v>
      </c>
      <c r="AQ90" s="226"/>
      <c r="AR90" s="226"/>
      <c r="AS90" s="229" t="e">
        <f t="shared" ref="AS90:AS91" si="182">(AQ90+AR90)/$AG90</f>
        <v>#DIV/0!</v>
      </c>
      <c r="AT90" s="226"/>
      <c r="AU90" s="226"/>
      <c r="AV90" s="229" t="e">
        <f t="shared" ref="AV90:AV91" si="183">(AT90+AU90)/$AG90</f>
        <v>#DIV/0!</v>
      </c>
      <c r="AW90" s="226"/>
      <c r="AX90" s="226"/>
      <c r="AY90" s="229" t="e">
        <f t="shared" ref="AY90:AY91" si="184">(AW90+AX90)/$AG90</f>
        <v>#DIV/0!</v>
      </c>
      <c r="AZ90" s="230">
        <f t="shared" ref="AZ90:BA91" si="185">SUM(AN90,AQ90,AT90,AW90)</f>
        <v>0</v>
      </c>
      <c r="BA90" s="230">
        <f t="shared" si="185"/>
        <v>0</v>
      </c>
      <c r="BB90" s="230">
        <f t="shared" ref="BB90:BB91" si="186">SUM(AZ90:BA90)</f>
        <v>0</v>
      </c>
      <c r="BC90" s="229">
        <f t="shared" ref="BC90:BC91" si="187">(BB90+1)/(AI90+1)</f>
        <v>1</v>
      </c>
      <c r="BD90" s="231"/>
      <c r="BE90" s="231"/>
    </row>
    <row r="91" spans="29:57" ht="18" customHeight="1" x14ac:dyDescent="0.2">
      <c r="AC91" s="232" t="s">
        <v>275</v>
      </c>
      <c r="AD91" s="233"/>
      <c r="AE91" s="233"/>
      <c r="AF91" s="234"/>
      <c r="AG91" s="234"/>
      <c r="AH91" s="235"/>
      <c r="AI91" s="234"/>
      <c r="AJ91" s="234"/>
      <c r="AK91" s="234"/>
      <c r="AL91" s="234"/>
      <c r="AM91" s="236" t="e">
        <f t="shared" si="180"/>
        <v>#DIV/0!</v>
      </c>
      <c r="AN91" s="234"/>
      <c r="AO91" s="234"/>
      <c r="AP91" s="237" t="e">
        <f t="shared" si="181"/>
        <v>#DIV/0!</v>
      </c>
      <c r="AQ91" s="234"/>
      <c r="AR91" s="234"/>
      <c r="AS91" s="237" t="e">
        <f t="shared" si="182"/>
        <v>#DIV/0!</v>
      </c>
      <c r="AT91" s="234"/>
      <c r="AU91" s="234"/>
      <c r="AV91" s="237" t="e">
        <f t="shared" si="183"/>
        <v>#DIV/0!</v>
      </c>
      <c r="AW91" s="234"/>
      <c r="AX91" s="234"/>
      <c r="AY91" s="237" t="e">
        <f t="shared" si="184"/>
        <v>#DIV/0!</v>
      </c>
      <c r="AZ91" s="238">
        <f t="shared" si="185"/>
        <v>0</v>
      </c>
      <c r="BA91" s="238">
        <f t="shared" si="185"/>
        <v>0</v>
      </c>
      <c r="BB91" s="238">
        <f t="shared" si="186"/>
        <v>0</v>
      </c>
      <c r="BC91" s="237">
        <f t="shared" si="187"/>
        <v>1</v>
      </c>
      <c r="BD91" s="239"/>
      <c r="BE91" s="239"/>
    </row>
    <row r="92" spans="29:57" ht="18" customHeight="1" x14ac:dyDescent="0.2">
      <c r="AC92" s="7"/>
      <c r="AG92" s="240">
        <f>SUM(AG89:AG91)</f>
        <v>504</v>
      </c>
      <c r="AH92" s="240">
        <f>SUM(AH89:AH91)</f>
        <v>504</v>
      </c>
      <c r="AI92" s="240">
        <f t="shared" ref="AI92:AL92" si="188">SUM(AI89:AI91)</f>
        <v>478</v>
      </c>
      <c r="AJ92" s="240">
        <f t="shared" si="188"/>
        <v>0</v>
      </c>
      <c r="AK92" s="240">
        <f t="shared" si="188"/>
        <v>4</v>
      </c>
      <c r="AL92" s="240">
        <f t="shared" si="188"/>
        <v>26</v>
      </c>
      <c r="AM92" s="135"/>
      <c r="AN92" s="240">
        <f>SUM(AN89:AN91)</f>
        <v>47</v>
      </c>
      <c r="AO92" s="240">
        <f>SUM(AO89:AO91)</f>
        <v>0</v>
      </c>
      <c r="AP92" s="241"/>
      <c r="AQ92" s="240">
        <f>SUM(AQ89:AQ91)</f>
        <v>8</v>
      </c>
      <c r="AR92" s="240">
        <f>SUM(AR89:AR91)</f>
        <v>0</v>
      </c>
      <c r="AS92" s="241"/>
      <c r="AT92" s="240">
        <f>SUM(AT89:AT91)</f>
        <v>1</v>
      </c>
      <c r="AU92" s="240">
        <f>SUM(AU89:AU91)</f>
        <v>0</v>
      </c>
      <c r="AV92" s="241"/>
      <c r="AW92" s="240">
        <f>SUM(AW89:AW91)</f>
        <v>5</v>
      </c>
      <c r="AX92" s="240">
        <f>SUM(AX89:AX91)</f>
        <v>0</v>
      </c>
      <c r="AY92" s="241"/>
      <c r="AZ92" s="240">
        <f>SUM(AZ89:AZ91)</f>
        <v>61</v>
      </c>
      <c r="BA92" s="240">
        <f>SUM(BA89:BA91)</f>
        <v>0</v>
      </c>
      <c r="BB92" s="240">
        <f>SUM(AZ92:BA92)</f>
        <v>61</v>
      </c>
      <c r="BC92" s="242">
        <f>(BB92+1)/(AI92+1)</f>
        <v>0.12943632567849686</v>
      </c>
      <c r="BD92" s="98"/>
      <c r="BE92" s="98"/>
    </row>
    <row r="93" spans="29:57" ht="18" customHeight="1" x14ac:dyDescent="0.2">
      <c r="AC93" s="212" t="s">
        <v>319</v>
      </c>
      <c r="AD93" s="15"/>
      <c r="AE93" s="23"/>
      <c r="AF93" s="16"/>
      <c r="AG93" s="15"/>
      <c r="AH93" s="15"/>
      <c r="AI93" s="15"/>
      <c r="AJ93" s="15"/>
      <c r="AK93" s="15"/>
      <c r="AL93" s="22"/>
      <c r="AM93" s="213"/>
      <c r="AN93" s="23"/>
      <c r="AO93" s="23"/>
      <c r="AP93" s="7"/>
      <c r="AQ93" s="15"/>
      <c r="AR93" s="15"/>
      <c r="AS93" s="7"/>
      <c r="AT93" s="15"/>
      <c r="AU93" s="15"/>
      <c r="AV93" s="7"/>
      <c r="AW93" s="15"/>
      <c r="AX93" s="15"/>
      <c r="AY93" s="214"/>
      <c r="AZ93" s="215"/>
      <c r="BA93" s="10"/>
      <c r="BB93" s="7"/>
      <c r="BC93" s="7"/>
      <c r="BD93" s="7"/>
      <c r="BE93" s="7"/>
    </row>
    <row r="94" spans="29:57" ht="18" customHeight="1" x14ac:dyDescent="0.2">
      <c r="AC94" s="216" t="s">
        <v>271</v>
      </c>
      <c r="AD94" s="217"/>
      <c r="AE94" s="217"/>
      <c r="AF94" s="218"/>
      <c r="AG94" s="218"/>
      <c r="AH94" s="219"/>
      <c r="AI94" s="218"/>
      <c r="AJ94" s="218"/>
      <c r="AK94" s="218"/>
      <c r="AL94" s="218"/>
      <c r="AM94" s="220" t="e">
        <f>SUM(AJ94:AL94)/AH94</f>
        <v>#DIV/0!</v>
      </c>
      <c r="AN94" s="218"/>
      <c r="AO94" s="218"/>
      <c r="AP94" s="221" t="e">
        <f>SUM(AN94:AO94)/AI94</f>
        <v>#DIV/0!</v>
      </c>
      <c r="AQ94" s="218"/>
      <c r="AR94" s="218"/>
      <c r="AS94" s="221" t="e">
        <f>(AQ94+AR94)/$AG94</f>
        <v>#DIV/0!</v>
      </c>
      <c r="AT94" s="218"/>
      <c r="AU94" s="218"/>
      <c r="AV94" s="221" t="e">
        <f>(AT94+AU94)/$AG94</f>
        <v>#DIV/0!</v>
      </c>
      <c r="AW94" s="218"/>
      <c r="AX94" s="218"/>
      <c r="AY94" s="221" t="e">
        <f>(AW94+AX94)/$AG94</f>
        <v>#DIV/0!</v>
      </c>
      <c r="AZ94" s="222">
        <f>SUM(AN94,AQ94,AT94,AW94)</f>
        <v>0</v>
      </c>
      <c r="BA94" s="222">
        <f>SUM(AO94,AR94,AU94,AX94)</f>
        <v>0</v>
      </c>
      <c r="BB94" s="222">
        <f>SUM(AZ94:BA94)</f>
        <v>0</v>
      </c>
      <c r="BC94" s="221">
        <f>(BB94+1)/(AI94+1)</f>
        <v>1</v>
      </c>
      <c r="BD94" s="223"/>
      <c r="BE94" s="223"/>
    </row>
    <row r="95" spans="29:57" ht="18" customHeight="1" x14ac:dyDescent="0.2">
      <c r="AC95" s="224" t="s">
        <v>273</v>
      </c>
      <c r="AD95" s="225"/>
      <c r="AE95" s="225"/>
      <c r="AF95" s="226"/>
      <c r="AG95" s="226"/>
      <c r="AH95" s="227"/>
      <c r="AI95" s="226"/>
      <c r="AJ95" s="226"/>
      <c r="AK95" s="226"/>
      <c r="AL95" s="226"/>
      <c r="AM95" s="228" t="e">
        <f t="shared" ref="AM95:AM96" si="189">SUM(AJ95:AL95)/AH95</f>
        <v>#DIV/0!</v>
      </c>
      <c r="AN95" s="226"/>
      <c r="AO95" s="226"/>
      <c r="AP95" s="229" t="e">
        <f t="shared" ref="AP95:AP96" si="190">SUM(AN95:AO95)/AI95</f>
        <v>#DIV/0!</v>
      </c>
      <c r="AQ95" s="226"/>
      <c r="AR95" s="226"/>
      <c r="AS95" s="229" t="e">
        <f t="shared" ref="AS95:AS96" si="191">(AQ95+AR95)/$AG95</f>
        <v>#DIV/0!</v>
      </c>
      <c r="AT95" s="226"/>
      <c r="AU95" s="226"/>
      <c r="AV95" s="229" t="e">
        <f t="shared" ref="AV95:AV96" si="192">(AT95+AU95)/$AG95</f>
        <v>#DIV/0!</v>
      </c>
      <c r="AW95" s="226"/>
      <c r="AX95" s="226"/>
      <c r="AY95" s="229" t="e">
        <f t="shared" ref="AY95:AY96" si="193">(AW95+AX95)/$AG95</f>
        <v>#DIV/0!</v>
      </c>
      <c r="AZ95" s="230">
        <f t="shared" ref="AZ95:BA96" si="194">SUM(AN95,AQ95,AT95,AW95)</f>
        <v>0</v>
      </c>
      <c r="BA95" s="230">
        <f t="shared" si="194"/>
        <v>0</v>
      </c>
      <c r="BB95" s="230">
        <f t="shared" ref="BB95:BB96" si="195">SUM(AZ95:BA95)</f>
        <v>0</v>
      </c>
      <c r="BC95" s="229">
        <f t="shared" ref="BC95:BC96" si="196">(BB95+1)/(AI95+1)</f>
        <v>1</v>
      </c>
      <c r="BD95" s="231"/>
      <c r="BE95" s="231"/>
    </row>
    <row r="96" spans="29:57" ht="18" customHeight="1" x14ac:dyDescent="0.2">
      <c r="AC96" s="232" t="s">
        <v>275</v>
      </c>
      <c r="AD96" s="225">
        <v>46132</v>
      </c>
      <c r="AE96" s="225">
        <v>46133</v>
      </c>
      <c r="AF96" s="226">
        <v>1</v>
      </c>
      <c r="AG96" s="234">
        <v>495</v>
      </c>
      <c r="AH96" s="235">
        <v>495</v>
      </c>
      <c r="AI96" s="234">
        <v>487</v>
      </c>
      <c r="AJ96" s="234">
        <v>3</v>
      </c>
      <c r="AK96" s="234">
        <v>1</v>
      </c>
      <c r="AL96" s="234">
        <v>3</v>
      </c>
      <c r="AM96" s="236">
        <f t="shared" si="189"/>
        <v>1.4141414141414142E-2</v>
      </c>
      <c r="AN96" s="234">
        <v>2</v>
      </c>
      <c r="AO96" s="234">
        <v>12</v>
      </c>
      <c r="AP96" s="237">
        <f t="shared" si="190"/>
        <v>2.8747433264887063E-2</v>
      </c>
      <c r="AQ96" s="234"/>
      <c r="AR96" s="234"/>
      <c r="AS96" s="237">
        <f t="shared" si="191"/>
        <v>0</v>
      </c>
      <c r="AT96" s="234"/>
      <c r="AU96" s="234"/>
      <c r="AV96" s="237">
        <f t="shared" si="192"/>
        <v>0</v>
      </c>
      <c r="AW96" s="234"/>
      <c r="AX96" s="234"/>
      <c r="AY96" s="237">
        <f t="shared" si="193"/>
        <v>0</v>
      </c>
      <c r="AZ96" s="238">
        <f t="shared" si="194"/>
        <v>2</v>
      </c>
      <c r="BA96" s="238">
        <f t="shared" si="194"/>
        <v>12</v>
      </c>
      <c r="BB96" s="238">
        <f t="shared" si="195"/>
        <v>14</v>
      </c>
      <c r="BC96" s="237">
        <f t="shared" si="196"/>
        <v>3.0737704918032786E-2</v>
      </c>
      <c r="BD96" s="239" t="s">
        <v>283</v>
      </c>
      <c r="BE96" s="239" t="s">
        <v>268</v>
      </c>
    </row>
    <row r="97" spans="29:57" ht="18" customHeight="1" x14ac:dyDescent="0.2">
      <c r="AC97" s="7"/>
      <c r="AG97" s="240">
        <f>SUM(AG94:AG96)</f>
        <v>495</v>
      </c>
      <c r="AH97" s="240">
        <f>SUM(AH94:AH96)</f>
        <v>495</v>
      </c>
      <c r="AI97" s="240">
        <f t="shared" ref="AI97:AL97" si="197">SUM(AI94:AI96)</f>
        <v>487</v>
      </c>
      <c r="AJ97" s="240">
        <f t="shared" si="197"/>
        <v>3</v>
      </c>
      <c r="AK97" s="240">
        <f t="shared" si="197"/>
        <v>1</v>
      </c>
      <c r="AL97" s="240">
        <f t="shared" si="197"/>
        <v>3</v>
      </c>
      <c r="AM97" s="135"/>
      <c r="AN97" s="240">
        <f>SUM(AN94:AN96)</f>
        <v>2</v>
      </c>
      <c r="AO97" s="240">
        <f>SUM(AO94:AO96)</f>
        <v>12</v>
      </c>
      <c r="AP97" s="241"/>
      <c r="AQ97" s="240">
        <f>SUM(AQ94:AQ96)</f>
        <v>0</v>
      </c>
      <c r="AR97" s="240">
        <f>SUM(AR94:AR96)</f>
        <v>0</v>
      </c>
      <c r="AS97" s="241"/>
      <c r="AT97" s="240">
        <f>SUM(AT94:AT96)</f>
        <v>0</v>
      </c>
      <c r="AU97" s="240">
        <f>SUM(AU94:AU96)</f>
        <v>0</v>
      </c>
      <c r="AV97" s="241"/>
      <c r="AW97" s="240">
        <f>SUM(AW94:AW96)</f>
        <v>0</v>
      </c>
      <c r="AX97" s="240">
        <f>SUM(AX94:AX96)</f>
        <v>0</v>
      </c>
      <c r="AY97" s="241"/>
      <c r="AZ97" s="240">
        <f>SUM(AZ94:AZ96)</f>
        <v>2</v>
      </c>
      <c r="BA97" s="240">
        <f>SUM(BA94:BA96)</f>
        <v>12</v>
      </c>
      <c r="BB97" s="240">
        <f>SUM(AZ97:BA97)</f>
        <v>14</v>
      </c>
      <c r="BC97" s="242">
        <f>(BB97+1)/(AI97+1)</f>
        <v>3.0737704918032786E-2</v>
      </c>
      <c r="BD97" s="98"/>
      <c r="BE97" s="98"/>
    </row>
    <row r="98" spans="29:57" ht="18" customHeight="1" x14ac:dyDescent="0.2">
      <c r="AC98" s="212" t="s">
        <v>320</v>
      </c>
      <c r="AD98" s="15"/>
      <c r="AE98" s="23"/>
      <c r="AF98" s="16"/>
      <c r="AG98" s="15"/>
      <c r="AH98" s="15"/>
      <c r="AI98" s="15"/>
      <c r="AJ98" s="15"/>
      <c r="AK98" s="15"/>
      <c r="AL98" s="22"/>
      <c r="AM98" s="213"/>
      <c r="AN98" s="23"/>
      <c r="AO98" s="23"/>
      <c r="AP98" s="7"/>
      <c r="AQ98" s="15"/>
      <c r="AR98" s="15"/>
      <c r="AS98" s="7"/>
      <c r="AT98" s="15"/>
      <c r="AU98" s="15"/>
      <c r="AV98" s="7"/>
      <c r="AW98" s="15"/>
      <c r="AX98" s="15"/>
      <c r="AY98" s="214"/>
      <c r="AZ98" s="215"/>
      <c r="BA98" s="10"/>
      <c r="BB98" s="7"/>
      <c r="BC98" s="7"/>
      <c r="BD98" s="7"/>
      <c r="BE98" s="7"/>
    </row>
    <row r="99" spans="29:57" ht="18" customHeight="1" x14ac:dyDescent="0.2">
      <c r="AC99" s="216" t="s">
        <v>271</v>
      </c>
      <c r="AD99" s="217">
        <v>46168</v>
      </c>
      <c r="AE99" s="217">
        <v>46169</v>
      </c>
      <c r="AF99" s="218">
        <v>1</v>
      </c>
      <c r="AG99" s="218">
        <v>328</v>
      </c>
      <c r="AH99" s="219">
        <v>327</v>
      </c>
      <c r="AI99" s="218">
        <v>328</v>
      </c>
      <c r="AJ99" s="218">
        <v>1</v>
      </c>
      <c r="AK99" s="218">
        <v>0</v>
      </c>
      <c r="AL99" s="218">
        <v>4</v>
      </c>
      <c r="AM99" s="220">
        <f>SUM(AJ99:AL99)/AH99</f>
        <v>1.5290519877675841E-2</v>
      </c>
      <c r="AN99" s="218">
        <v>47</v>
      </c>
      <c r="AO99" s="218">
        <v>0</v>
      </c>
      <c r="AP99" s="221">
        <f>SUM(AN99:AO99)/AI99</f>
        <v>0.14329268292682926</v>
      </c>
      <c r="AQ99" s="218">
        <v>14</v>
      </c>
      <c r="AR99" s="218">
        <v>0</v>
      </c>
      <c r="AS99" s="221">
        <f>(AQ99+AR99)/$AG99</f>
        <v>4.2682926829268296E-2</v>
      </c>
      <c r="AT99" s="218">
        <v>0</v>
      </c>
      <c r="AU99" s="218">
        <v>0</v>
      </c>
      <c r="AV99" s="221">
        <f>(AT99+AU99)/$AG99</f>
        <v>0</v>
      </c>
      <c r="AW99" s="218">
        <v>0</v>
      </c>
      <c r="AX99" s="218">
        <v>0</v>
      </c>
      <c r="AY99" s="221">
        <f>(AW99+AX99)/$AG99</f>
        <v>0</v>
      </c>
      <c r="AZ99" s="222">
        <f>SUM(AN99,AQ99,AT99,AW99)</f>
        <v>61</v>
      </c>
      <c r="BA99" s="222">
        <f>SUM(AO99,AR99,AU99,AX99)</f>
        <v>0</v>
      </c>
      <c r="BB99" s="222">
        <f>SUM(AZ99:BA99)</f>
        <v>61</v>
      </c>
      <c r="BC99" s="221">
        <f>(BB99+1)/(AI99+1)</f>
        <v>0.18844984802431611</v>
      </c>
      <c r="BD99" s="223"/>
      <c r="BE99" s="223"/>
    </row>
    <row r="100" spans="29:57" ht="18" customHeight="1" x14ac:dyDescent="0.2">
      <c r="AC100" s="224" t="s">
        <v>273</v>
      </c>
      <c r="AD100" s="225"/>
      <c r="AE100" s="225"/>
      <c r="AF100" s="226"/>
      <c r="AG100" s="226"/>
      <c r="AH100" s="227"/>
      <c r="AI100" s="226"/>
      <c r="AJ100" s="226"/>
      <c r="AK100" s="226"/>
      <c r="AL100" s="226"/>
      <c r="AM100" s="228" t="e">
        <f t="shared" ref="AM100:AM101" si="198">SUM(AJ100:AL100)/AH100</f>
        <v>#DIV/0!</v>
      </c>
      <c r="AN100" s="226"/>
      <c r="AO100" s="226"/>
      <c r="AP100" s="229" t="e">
        <f t="shared" ref="AP100:AP101" si="199">SUM(AN100:AO100)/AI100</f>
        <v>#DIV/0!</v>
      </c>
      <c r="AQ100" s="226"/>
      <c r="AR100" s="226"/>
      <c r="AS100" s="229" t="e">
        <f t="shared" ref="AS100:AS101" si="200">(AQ100+AR100)/$AG100</f>
        <v>#DIV/0!</v>
      </c>
      <c r="AT100" s="226"/>
      <c r="AU100" s="226"/>
      <c r="AV100" s="229" t="e">
        <f t="shared" ref="AV100:AV101" si="201">(AT100+AU100)/$AG100</f>
        <v>#DIV/0!</v>
      </c>
      <c r="AW100" s="226"/>
      <c r="AX100" s="226"/>
      <c r="AY100" s="229" t="e">
        <f t="shared" ref="AY100:AY101" si="202">(AW100+AX100)/$AG100</f>
        <v>#DIV/0!</v>
      </c>
      <c r="AZ100" s="230">
        <f t="shared" ref="AZ100:BA101" si="203">SUM(AN100,AQ100,AT100,AW100)</f>
        <v>0</v>
      </c>
      <c r="BA100" s="230">
        <f t="shared" si="203"/>
        <v>0</v>
      </c>
      <c r="BB100" s="230">
        <f t="shared" ref="BB100:BB101" si="204">SUM(AZ100:BA100)</f>
        <v>0</v>
      </c>
      <c r="BC100" s="229">
        <f t="shared" ref="BC100:BC101" si="205">(BB100+1)/(AI100+1)</f>
        <v>1</v>
      </c>
      <c r="BD100" s="231"/>
      <c r="BE100" s="231"/>
    </row>
    <row r="101" spans="29:57" ht="18" customHeight="1" x14ac:dyDescent="0.2">
      <c r="AC101" s="232" t="s">
        <v>275</v>
      </c>
      <c r="AD101" s="233"/>
      <c r="AE101" s="233"/>
      <c r="AF101" s="234"/>
      <c r="AG101" s="234"/>
      <c r="AH101" s="235"/>
      <c r="AI101" s="234"/>
      <c r="AJ101" s="234"/>
      <c r="AK101" s="234"/>
      <c r="AL101" s="234"/>
      <c r="AM101" s="236" t="e">
        <f t="shared" si="198"/>
        <v>#DIV/0!</v>
      </c>
      <c r="AN101" s="234"/>
      <c r="AO101" s="234"/>
      <c r="AP101" s="237" t="e">
        <f t="shared" si="199"/>
        <v>#DIV/0!</v>
      </c>
      <c r="AQ101" s="234"/>
      <c r="AR101" s="234"/>
      <c r="AS101" s="237" t="e">
        <f t="shared" si="200"/>
        <v>#DIV/0!</v>
      </c>
      <c r="AT101" s="234"/>
      <c r="AU101" s="234"/>
      <c r="AV101" s="237" t="e">
        <f t="shared" si="201"/>
        <v>#DIV/0!</v>
      </c>
      <c r="AW101" s="234"/>
      <c r="AX101" s="234"/>
      <c r="AY101" s="237" t="e">
        <f t="shared" si="202"/>
        <v>#DIV/0!</v>
      </c>
      <c r="AZ101" s="238">
        <f t="shared" si="203"/>
        <v>0</v>
      </c>
      <c r="BA101" s="238">
        <f t="shared" si="203"/>
        <v>0</v>
      </c>
      <c r="BB101" s="238">
        <f t="shared" si="204"/>
        <v>0</v>
      </c>
      <c r="BC101" s="237">
        <f t="shared" si="205"/>
        <v>1</v>
      </c>
      <c r="BD101" s="239"/>
      <c r="BE101" s="239"/>
    </row>
    <row r="102" spans="29:57" ht="18" customHeight="1" x14ac:dyDescent="0.2">
      <c r="AC102" s="7"/>
      <c r="AG102" s="240">
        <f>SUM(AG99:AG101)</f>
        <v>328</v>
      </c>
      <c r="AH102" s="240">
        <f>SUM(AH99:AH101)</f>
        <v>327</v>
      </c>
      <c r="AI102" s="240">
        <f t="shared" ref="AI102:AL102" si="206">SUM(AI99:AI101)</f>
        <v>328</v>
      </c>
      <c r="AJ102" s="240">
        <f t="shared" si="206"/>
        <v>1</v>
      </c>
      <c r="AK102" s="240">
        <f t="shared" si="206"/>
        <v>0</v>
      </c>
      <c r="AL102" s="240">
        <f t="shared" si="206"/>
        <v>4</v>
      </c>
      <c r="AM102" s="135"/>
      <c r="AN102" s="240">
        <f>SUM(AN99:AN101)</f>
        <v>47</v>
      </c>
      <c r="AO102" s="240">
        <f>SUM(AO99:AO101)</f>
        <v>0</v>
      </c>
      <c r="AP102" s="241"/>
      <c r="AQ102" s="240">
        <f>SUM(AQ99:AQ101)</f>
        <v>14</v>
      </c>
      <c r="AR102" s="240">
        <f>SUM(AR99:AR101)</f>
        <v>0</v>
      </c>
      <c r="AS102" s="241"/>
      <c r="AT102" s="240">
        <f>SUM(AT99:AT101)</f>
        <v>0</v>
      </c>
      <c r="AU102" s="240">
        <f>SUM(AU99:AU101)</f>
        <v>0</v>
      </c>
      <c r="AV102" s="241"/>
      <c r="AW102" s="240">
        <f>SUM(AW99:AW101)</f>
        <v>0</v>
      </c>
      <c r="AX102" s="240">
        <f>SUM(AX99:AX101)</f>
        <v>0</v>
      </c>
      <c r="AY102" s="241"/>
      <c r="AZ102" s="240">
        <f>SUM(AZ99:AZ101)</f>
        <v>61</v>
      </c>
      <c r="BA102" s="240">
        <f>SUM(BA99:BA101)</f>
        <v>0</v>
      </c>
      <c r="BB102" s="240">
        <f>SUM(AZ102:BA102)</f>
        <v>61</v>
      </c>
      <c r="BC102" s="242">
        <f>(BB102+1)/(AI102+1)</f>
        <v>0.18844984802431611</v>
      </c>
      <c r="BD102" s="98"/>
      <c r="BE102" s="98"/>
    </row>
    <row r="103" spans="29:57" ht="18" customHeight="1" x14ac:dyDescent="0.2">
      <c r="AC103" s="212"/>
      <c r="AD103" s="15"/>
      <c r="AE103" s="23"/>
      <c r="AF103" s="16"/>
      <c r="AG103" s="15"/>
      <c r="AH103" s="15"/>
      <c r="AI103" s="15"/>
      <c r="AJ103" s="15"/>
      <c r="AK103" s="15"/>
      <c r="AL103" s="22"/>
      <c r="AM103" s="213"/>
      <c r="AN103" s="23"/>
      <c r="AO103" s="23"/>
      <c r="AP103" s="7"/>
      <c r="AQ103" s="15"/>
      <c r="AR103" s="15"/>
      <c r="AS103" s="7"/>
      <c r="AT103" s="15"/>
      <c r="AU103" s="15"/>
      <c r="AV103" s="7"/>
      <c r="AW103" s="15"/>
      <c r="AX103" s="15"/>
      <c r="AY103" s="214"/>
      <c r="AZ103" s="215"/>
      <c r="BA103" s="10"/>
      <c r="BB103" s="7"/>
      <c r="BC103" s="7"/>
      <c r="BD103" s="7"/>
      <c r="BE103" s="7"/>
    </row>
    <row r="104" spans="29:57" ht="18" customHeight="1" x14ac:dyDescent="0.2">
      <c r="AC104" s="214"/>
      <c r="AM104" s="135"/>
      <c r="AP104" s="11"/>
      <c r="AS104" s="11"/>
      <c r="AV104" s="11"/>
      <c r="AY104" s="11"/>
      <c r="AZ104" s="10"/>
      <c r="BA104" s="10"/>
      <c r="BB104" s="10"/>
      <c r="BC104" s="11"/>
      <c r="BD104" s="299"/>
      <c r="BE104" s="299"/>
    </row>
    <row r="105" spans="29:57" ht="18" customHeight="1" x14ac:dyDescent="0.2">
      <c r="AC105" s="214"/>
      <c r="AM105" s="135"/>
      <c r="AP105" s="11"/>
      <c r="AS105" s="11"/>
      <c r="AV105" s="11"/>
      <c r="AY105" s="11"/>
      <c r="AZ105" s="10"/>
      <c r="BA105" s="10"/>
      <c r="BB105" s="10"/>
      <c r="BC105" s="11"/>
      <c r="BD105" s="299"/>
      <c r="BE105" s="299"/>
    </row>
    <row r="106" spans="29:57" ht="18" customHeight="1" x14ac:dyDescent="0.2">
      <c r="AC106" s="214"/>
      <c r="AM106" s="135"/>
      <c r="AP106" s="11"/>
      <c r="AS106" s="11"/>
      <c r="AV106" s="11"/>
      <c r="AY106" s="11"/>
      <c r="AZ106" s="10"/>
      <c r="BA106" s="10"/>
      <c r="BB106" s="10"/>
      <c r="BC106" s="11"/>
      <c r="BD106" s="299"/>
      <c r="BE106" s="299"/>
    </row>
    <row r="107" spans="29:57" ht="18" customHeight="1" x14ac:dyDescent="0.2">
      <c r="AC107" s="7"/>
      <c r="AG107" s="300"/>
      <c r="AH107" s="300"/>
      <c r="AI107" s="300"/>
      <c r="AJ107" s="300"/>
      <c r="AK107" s="300"/>
      <c r="AL107" s="300"/>
      <c r="AM107" s="135"/>
      <c r="AN107" s="300"/>
      <c r="AO107" s="300"/>
      <c r="AP107" s="241"/>
      <c r="AQ107" s="300"/>
      <c r="AR107" s="300"/>
      <c r="AS107" s="241"/>
      <c r="AT107" s="300"/>
      <c r="AU107" s="300"/>
      <c r="AV107" s="241"/>
      <c r="AW107" s="300"/>
      <c r="AX107" s="300"/>
      <c r="AY107" s="241"/>
      <c r="AZ107" s="300"/>
      <c r="BA107" s="300"/>
      <c r="BB107" s="300"/>
      <c r="BC107" s="241"/>
      <c r="BD107" s="98"/>
      <c r="BE107" s="98"/>
    </row>
    <row r="108" spans="29:57" ht="18" customHeight="1" x14ac:dyDescent="0.2">
      <c r="AC108" s="212"/>
      <c r="AD108" s="15"/>
      <c r="AE108" s="23"/>
      <c r="AF108" s="16"/>
      <c r="AG108" s="15"/>
      <c r="AH108" s="15"/>
      <c r="AI108" s="15"/>
      <c r="AJ108" s="15"/>
      <c r="AK108" s="15"/>
      <c r="AL108" s="22"/>
      <c r="AM108" s="213"/>
      <c r="AN108" s="23"/>
      <c r="AO108" s="23"/>
      <c r="AP108" s="7"/>
      <c r="AQ108" s="15"/>
      <c r="AR108" s="15"/>
      <c r="AS108" s="7"/>
      <c r="AT108" s="15"/>
      <c r="AU108" s="15"/>
      <c r="AV108" s="7"/>
      <c r="AW108" s="15"/>
      <c r="AX108" s="15"/>
      <c r="AY108" s="214"/>
      <c r="AZ108" s="215"/>
      <c r="BA108" s="10"/>
      <c r="BB108" s="7"/>
      <c r="BC108" s="7"/>
      <c r="BD108" s="7"/>
      <c r="BE108" s="7"/>
    </row>
    <row r="109" spans="29:57" ht="18" customHeight="1" x14ac:dyDescent="0.2">
      <c r="AC109" s="214"/>
      <c r="AM109" s="135"/>
      <c r="AP109" s="11"/>
      <c r="AS109" s="11"/>
      <c r="AV109" s="11"/>
      <c r="AY109" s="11"/>
      <c r="AZ109" s="10"/>
      <c r="BA109" s="10"/>
      <c r="BB109" s="10"/>
      <c r="BC109" s="11"/>
      <c r="BD109" s="299"/>
      <c r="BE109" s="299"/>
    </row>
    <row r="110" spans="29:57" ht="18" customHeight="1" x14ac:dyDescent="0.2">
      <c r="AC110" s="214"/>
      <c r="AM110" s="135"/>
      <c r="AP110" s="11"/>
      <c r="AS110" s="11"/>
      <c r="AV110" s="11"/>
      <c r="AY110" s="11"/>
      <c r="AZ110" s="10"/>
      <c r="BA110" s="10"/>
      <c r="BB110" s="10"/>
      <c r="BC110" s="11"/>
      <c r="BD110" s="299"/>
      <c r="BE110" s="299"/>
    </row>
    <row r="111" spans="29:57" ht="18" customHeight="1" x14ac:dyDescent="0.2">
      <c r="AC111" s="214"/>
      <c r="AM111" s="135"/>
      <c r="AP111" s="11"/>
      <c r="AS111" s="11"/>
      <c r="AV111" s="11"/>
      <c r="AY111" s="11"/>
      <c r="AZ111" s="10"/>
      <c r="BA111" s="10"/>
      <c r="BB111" s="10"/>
      <c r="BC111" s="11"/>
      <c r="BD111" s="299"/>
      <c r="BE111" s="299"/>
    </row>
    <row r="112" spans="29:57" ht="18" customHeight="1" x14ac:dyDescent="0.2">
      <c r="AC112" s="7"/>
      <c r="AG112" s="300"/>
      <c r="AH112" s="300"/>
      <c r="AI112" s="300"/>
      <c r="AJ112" s="300"/>
      <c r="AK112" s="300"/>
      <c r="AL112" s="300"/>
      <c r="AM112" s="135"/>
      <c r="AN112" s="300"/>
      <c r="AO112" s="300"/>
      <c r="AP112" s="241"/>
      <c r="AQ112" s="300"/>
      <c r="AR112" s="300"/>
      <c r="AS112" s="241"/>
      <c r="AT112" s="300"/>
      <c r="AU112" s="300"/>
      <c r="AV112" s="241"/>
      <c r="AW112" s="300"/>
      <c r="AX112" s="300"/>
      <c r="AY112" s="241"/>
      <c r="AZ112" s="300"/>
      <c r="BA112" s="300"/>
      <c r="BB112" s="300"/>
      <c r="BC112" s="241"/>
      <c r="BD112" s="98"/>
      <c r="BE112" s="98"/>
    </row>
    <row r="113" spans="29:57" ht="18" customHeight="1" x14ac:dyDescent="0.2">
      <c r="AC113" s="212"/>
      <c r="AD113" s="15"/>
      <c r="AE113" s="23"/>
      <c r="AF113" s="16"/>
      <c r="AG113" s="15"/>
      <c r="AH113" s="15"/>
      <c r="AI113" s="15"/>
      <c r="AJ113" s="15"/>
      <c r="AK113" s="15"/>
      <c r="AL113" s="22"/>
      <c r="AM113" s="213"/>
      <c r="AN113" s="23"/>
      <c r="AO113" s="23"/>
      <c r="AP113" s="7"/>
      <c r="AQ113" s="15"/>
      <c r="AR113" s="15"/>
      <c r="AS113" s="7"/>
      <c r="AT113" s="15"/>
      <c r="AU113" s="15"/>
      <c r="AV113" s="7"/>
      <c r="AW113" s="15"/>
      <c r="AX113" s="15"/>
      <c r="AY113" s="214"/>
      <c r="AZ113" s="215"/>
      <c r="BA113" s="10"/>
      <c r="BB113" s="7"/>
      <c r="BC113" s="7"/>
      <c r="BD113" s="7"/>
      <c r="BE113" s="7"/>
    </row>
    <row r="114" spans="29:57" ht="18" customHeight="1" x14ac:dyDescent="0.2">
      <c r="AC114" s="214"/>
      <c r="AM114" s="135"/>
      <c r="AP114" s="11"/>
      <c r="AS114" s="11"/>
      <c r="AV114" s="11"/>
      <c r="AY114" s="11"/>
      <c r="AZ114" s="10"/>
      <c r="BA114" s="10"/>
      <c r="BB114" s="10"/>
      <c r="BC114" s="11"/>
      <c r="BD114" s="299"/>
      <c r="BE114" s="299"/>
    </row>
    <row r="115" spans="29:57" ht="18" customHeight="1" x14ac:dyDescent="0.2">
      <c r="AC115" s="214"/>
      <c r="AM115" s="135"/>
      <c r="AP115" s="11"/>
      <c r="AS115" s="11"/>
      <c r="AV115" s="11"/>
      <c r="AY115" s="11"/>
      <c r="AZ115" s="10"/>
      <c r="BA115" s="10"/>
      <c r="BB115" s="10"/>
      <c r="BC115" s="11"/>
      <c r="BD115" s="299"/>
      <c r="BE115" s="299"/>
    </row>
    <row r="116" spans="29:57" ht="18" customHeight="1" x14ac:dyDescent="0.2">
      <c r="AC116" s="214"/>
      <c r="AM116" s="135"/>
      <c r="AP116" s="11"/>
      <c r="AS116" s="11"/>
      <c r="AV116" s="11"/>
      <c r="AY116" s="11"/>
      <c r="AZ116" s="10"/>
      <c r="BA116" s="10"/>
      <c r="BB116" s="10"/>
      <c r="BC116" s="11"/>
      <c r="BD116" s="299"/>
      <c r="BE116" s="299"/>
    </row>
    <row r="117" spans="29:57" ht="18" customHeight="1" x14ac:dyDescent="0.2">
      <c r="AC117" s="7"/>
      <c r="AG117" s="300"/>
      <c r="AH117" s="300"/>
      <c r="AI117" s="300"/>
      <c r="AJ117" s="300"/>
      <c r="AK117" s="300"/>
      <c r="AL117" s="300"/>
      <c r="AM117" s="135"/>
      <c r="AN117" s="300"/>
      <c r="AO117" s="300"/>
      <c r="AP117" s="241"/>
      <c r="AQ117" s="300"/>
      <c r="AR117" s="300"/>
      <c r="AS117" s="241"/>
      <c r="AT117" s="300"/>
      <c r="AU117" s="300"/>
      <c r="AV117" s="241"/>
      <c r="AW117" s="300"/>
      <c r="AX117" s="300"/>
      <c r="AY117" s="241"/>
      <c r="AZ117" s="300"/>
      <c r="BA117" s="300"/>
      <c r="BB117" s="300"/>
      <c r="BC117" s="241"/>
      <c r="BD117" s="98"/>
      <c r="BE117" s="98"/>
    </row>
    <row r="118" spans="29:57" ht="18" customHeight="1" x14ac:dyDescent="0.2">
      <c r="AC118" s="212"/>
      <c r="AD118" s="15"/>
      <c r="AE118" s="23"/>
      <c r="AF118" s="16"/>
      <c r="AG118" s="15"/>
      <c r="AH118" s="15"/>
      <c r="AI118" s="15"/>
      <c r="AJ118" s="15"/>
      <c r="AK118" s="15"/>
      <c r="AL118" s="22"/>
      <c r="AM118" s="213"/>
      <c r="AN118" s="23"/>
      <c r="AO118" s="23"/>
      <c r="AP118" s="7"/>
      <c r="AQ118" s="15"/>
      <c r="AR118" s="15"/>
      <c r="AS118" s="7"/>
      <c r="AT118" s="15"/>
      <c r="AU118" s="15"/>
      <c r="AV118" s="7"/>
      <c r="AW118" s="15"/>
      <c r="AX118" s="15"/>
      <c r="AY118" s="214"/>
      <c r="AZ118" s="215"/>
      <c r="BA118" s="10"/>
      <c r="BB118" s="7"/>
      <c r="BC118" s="7"/>
      <c r="BD118" s="7"/>
      <c r="BE118" s="7"/>
    </row>
    <row r="119" spans="29:57" ht="18" customHeight="1" x14ac:dyDescent="0.2">
      <c r="AC119" s="214"/>
      <c r="AM119" s="135"/>
      <c r="AP119" s="11"/>
      <c r="AS119" s="11"/>
      <c r="AV119" s="11"/>
      <c r="AY119" s="11"/>
      <c r="AZ119" s="10"/>
      <c r="BA119" s="10"/>
      <c r="BB119" s="10"/>
      <c r="BC119" s="11"/>
      <c r="BD119" s="299"/>
      <c r="BE119" s="299"/>
    </row>
    <row r="120" spans="29:57" ht="18" customHeight="1" x14ac:dyDescent="0.2">
      <c r="AC120" s="214"/>
      <c r="AM120" s="135"/>
      <c r="AP120" s="11"/>
      <c r="AS120" s="11"/>
      <c r="AV120" s="11"/>
      <c r="AY120" s="11"/>
      <c r="AZ120" s="10"/>
      <c r="BA120" s="10"/>
      <c r="BB120" s="10"/>
      <c r="BC120" s="11"/>
      <c r="BD120" s="299"/>
      <c r="BE120" s="299"/>
    </row>
    <row r="121" spans="29:57" ht="18" customHeight="1" x14ac:dyDescent="0.2">
      <c r="AC121" s="214"/>
      <c r="AM121" s="135"/>
      <c r="AP121" s="11"/>
      <c r="AS121" s="11"/>
      <c r="AV121" s="11"/>
      <c r="AY121" s="11"/>
      <c r="AZ121" s="10"/>
      <c r="BA121" s="10"/>
      <c r="BB121" s="10"/>
      <c r="BC121" s="11"/>
      <c r="BD121" s="299"/>
      <c r="BE121" s="299"/>
    </row>
    <row r="122" spans="29:57" ht="18" customHeight="1" x14ac:dyDescent="0.2">
      <c r="AC122" s="7"/>
      <c r="AG122" s="300"/>
      <c r="AH122" s="300"/>
      <c r="AI122" s="300"/>
      <c r="AJ122" s="300"/>
      <c r="AK122" s="300"/>
      <c r="AL122" s="300"/>
      <c r="AM122" s="135"/>
      <c r="AN122" s="300"/>
      <c r="AO122" s="300"/>
      <c r="AP122" s="241"/>
      <c r="AQ122" s="300"/>
      <c r="AR122" s="300"/>
      <c r="AS122" s="241"/>
      <c r="AT122" s="300"/>
      <c r="AU122" s="300"/>
      <c r="AV122" s="241"/>
      <c r="AW122" s="300"/>
      <c r="AX122" s="300"/>
      <c r="AY122" s="241"/>
      <c r="AZ122" s="300"/>
      <c r="BA122" s="300"/>
      <c r="BB122" s="300"/>
      <c r="BC122" s="241"/>
      <c r="BD122" s="98"/>
      <c r="BE122" s="98"/>
    </row>
    <row r="123" spans="29:57" ht="18" customHeight="1" x14ac:dyDescent="0.2">
      <c r="AC123" s="212"/>
      <c r="AD123" s="15"/>
      <c r="AE123" s="23"/>
      <c r="AF123" s="16"/>
      <c r="AG123" s="15"/>
      <c r="AH123" s="15"/>
      <c r="AI123" s="15"/>
      <c r="AJ123" s="15"/>
      <c r="AK123" s="15"/>
      <c r="AL123" s="22"/>
      <c r="AM123" s="213"/>
      <c r="AN123" s="23"/>
      <c r="AO123" s="23"/>
      <c r="AP123" s="7"/>
      <c r="AQ123" s="15"/>
      <c r="AR123" s="15"/>
      <c r="AS123" s="7"/>
      <c r="AT123" s="15"/>
      <c r="AU123" s="15"/>
      <c r="AV123" s="7"/>
      <c r="AW123" s="15"/>
      <c r="AX123" s="15"/>
      <c r="AY123" s="214"/>
      <c r="AZ123" s="215"/>
      <c r="BA123" s="10"/>
      <c r="BB123" s="7"/>
      <c r="BC123" s="7"/>
      <c r="BD123" s="7"/>
      <c r="BE123" s="7"/>
    </row>
    <row r="124" spans="29:57" ht="18" customHeight="1" x14ac:dyDescent="0.2">
      <c r="AC124" s="214"/>
      <c r="AM124" s="135"/>
      <c r="AP124" s="11"/>
      <c r="AS124" s="11"/>
      <c r="AV124" s="11"/>
      <c r="AY124" s="11"/>
      <c r="AZ124" s="10"/>
      <c r="BA124" s="10"/>
      <c r="BB124" s="10"/>
      <c r="BC124" s="11"/>
      <c r="BD124" s="299"/>
      <c r="BE124" s="299"/>
    </row>
    <row r="125" spans="29:57" ht="18" customHeight="1" x14ac:dyDescent="0.2">
      <c r="AC125" s="214"/>
      <c r="AM125" s="135"/>
      <c r="AP125" s="11"/>
      <c r="AS125" s="11"/>
      <c r="AV125" s="11"/>
      <c r="AY125" s="11"/>
      <c r="AZ125" s="10"/>
      <c r="BA125" s="10"/>
      <c r="BB125" s="10"/>
      <c r="BC125" s="11"/>
      <c r="BD125" s="299"/>
      <c r="BE125" s="299"/>
    </row>
    <row r="126" spans="29:57" ht="18" customHeight="1" x14ac:dyDescent="0.2">
      <c r="AC126" s="214"/>
      <c r="AM126" s="135"/>
      <c r="AP126" s="11"/>
      <c r="AS126" s="11"/>
      <c r="AV126" s="11"/>
      <c r="AY126" s="11"/>
      <c r="AZ126" s="10"/>
      <c r="BA126" s="10"/>
      <c r="BB126" s="10"/>
      <c r="BC126" s="11"/>
      <c r="BD126" s="299"/>
      <c r="BE126" s="299"/>
    </row>
    <row r="127" spans="29:57" ht="18" customHeight="1" x14ac:dyDescent="0.2">
      <c r="AC127" s="7"/>
      <c r="AG127" s="300"/>
      <c r="AH127" s="300"/>
      <c r="AI127" s="300"/>
      <c r="AJ127" s="300"/>
      <c r="AK127" s="300"/>
      <c r="AL127" s="300"/>
      <c r="AM127" s="135"/>
      <c r="AN127" s="300"/>
      <c r="AO127" s="300"/>
      <c r="AP127" s="241"/>
      <c r="AQ127" s="300"/>
      <c r="AR127" s="300"/>
      <c r="AS127" s="241"/>
      <c r="AT127" s="300"/>
      <c r="AU127" s="300"/>
      <c r="AV127" s="241"/>
      <c r="AW127" s="300"/>
      <c r="AX127" s="300"/>
      <c r="AY127" s="241"/>
      <c r="AZ127" s="300"/>
      <c r="BA127" s="300"/>
      <c r="BB127" s="300"/>
      <c r="BC127" s="241"/>
      <c r="BD127" s="98"/>
      <c r="BE127" s="98"/>
    </row>
    <row r="128" spans="29:57" ht="18" customHeight="1" x14ac:dyDescent="0.2">
      <c r="AC128" s="212"/>
      <c r="AD128" s="15"/>
      <c r="AE128" s="23"/>
      <c r="AF128" s="16"/>
      <c r="AG128" s="15"/>
      <c r="AH128" s="15"/>
      <c r="AI128" s="15"/>
      <c r="AJ128" s="15"/>
      <c r="AK128" s="15"/>
      <c r="AL128" s="22"/>
      <c r="AM128" s="213"/>
      <c r="AN128" s="23"/>
      <c r="AO128" s="23"/>
      <c r="AP128" s="7"/>
      <c r="AQ128" s="15"/>
      <c r="AR128" s="15"/>
      <c r="AS128" s="7"/>
      <c r="AT128" s="15"/>
      <c r="AU128" s="15"/>
      <c r="AV128" s="7"/>
      <c r="AW128" s="15"/>
      <c r="AX128" s="15"/>
      <c r="AY128" s="214"/>
      <c r="AZ128" s="215"/>
      <c r="BA128" s="10"/>
      <c r="BB128" s="7"/>
      <c r="BC128" s="7"/>
      <c r="BD128" s="7"/>
      <c r="BE128" s="7"/>
    </row>
    <row r="129" spans="29:57" ht="18" customHeight="1" x14ac:dyDescent="0.2">
      <c r="AC129" s="214"/>
      <c r="AM129" s="135"/>
      <c r="AP129" s="11"/>
      <c r="AS129" s="11"/>
      <c r="AV129" s="11"/>
      <c r="AY129" s="11"/>
      <c r="AZ129" s="10"/>
      <c r="BA129" s="10"/>
      <c r="BB129" s="10"/>
      <c r="BC129" s="11"/>
      <c r="BD129" s="299"/>
      <c r="BE129" s="299"/>
    </row>
    <row r="130" spans="29:57" ht="18" customHeight="1" x14ac:dyDescent="0.2">
      <c r="AC130" s="214"/>
      <c r="AM130" s="135"/>
      <c r="AP130" s="11"/>
      <c r="AS130" s="11"/>
      <c r="AV130" s="11"/>
      <c r="AY130" s="11"/>
      <c r="AZ130" s="10"/>
      <c r="BA130" s="10"/>
      <c r="BB130" s="10"/>
      <c r="BC130" s="11"/>
      <c r="BD130" s="299"/>
      <c r="BE130" s="299"/>
    </row>
    <row r="131" spans="29:57" ht="18" customHeight="1" x14ac:dyDescent="0.2">
      <c r="AC131" s="214"/>
      <c r="AM131" s="135"/>
      <c r="AP131" s="11"/>
      <c r="AS131" s="11"/>
      <c r="AV131" s="11"/>
      <c r="AY131" s="11"/>
      <c r="AZ131" s="10"/>
      <c r="BA131" s="10"/>
      <c r="BB131" s="10"/>
      <c r="BC131" s="11"/>
      <c r="BD131" s="299"/>
      <c r="BE131" s="299"/>
    </row>
    <row r="132" spans="29:57" ht="18" customHeight="1" x14ac:dyDescent="0.2">
      <c r="AC132" s="7"/>
      <c r="AG132" s="300"/>
      <c r="AH132" s="300"/>
      <c r="AI132" s="300"/>
      <c r="AJ132" s="300"/>
      <c r="AK132" s="300"/>
      <c r="AL132" s="300"/>
      <c r="AM132" s="135"/>
      <c r="AN132" s="300"/>
      <c r="AO132" s="300"/>
      <c r="AP132" s="241"/>
      <c r="AQ132" s="300"/>
      <c r="AR132" s="300"/>
      <c r="AS132" s="241"/>
      <c r="AT132" s="300"/>
      <c r="AU132" s="300"/>
      <c r="AV132" s="241"/>
      <c r="AW132" s="300"/>
      <c r="AX132" s="300"/>
      <c r="AY132" s="241"/>
      <c r="AZ132" s="300"/>
      <c r="BA132" s="300"/>
      <c r="BB132" s="300"/>
      <c r="BC132" s="241"/>
      <c r="BD132" s="98"/>
      <c r="BE132" s="98"/>
    </row>
    <row r="133" spans="29:57" ht="18" customHeight="1" x14ac:dyDescent="0.2">
      <c r="AC133" s="212"/>
      <c r="AD133" s="15"/>
      <c r="AE133" s="23"/>
      <c r="AF133" s="16"/>
      <c r="AG133" s="15"/>
      <c r="AH133" s="15"/>
      <c r="AI133" s="15"/>
      <c r="AJ133" s="15"/>
      <c r="AK133" s="15"/>
      <c r="AL133" s="22"/>
      <c r="AM133" s="213"/>
      <c r="AN133" s="23"/>
      <c r="AO133" s="23"/>
      <c r="AP133" s="7"/>
      <c r="AQ133" s="15"/>
      <c r="AR133" s="15"/>
      <c r="AS133" s="7"/>
      <c r="AT133" s="15"/>
      <c r="AU133" s="15"/>
      <c r="AV133" s="7"/>
      <c r="AW133" s="15"/>
      <c r="AX133" s="15"/>
      <c r="AY133" s="214"/>
      <c r="AZ133" s="215"/>
      <c r="BA133" s="10"/>
      <c r="BB133" s="7"/>
      <c r="BC133" s="7"/>
      <c r="BD133" s="7"/>
      <c r="BE133" s="7"/>
    </row>
    <row r="134" spans="29:57" ht="18" customHeight="1" x14ac:dyDescent="0.2">
      <c r="AC134" s="214"/>
      <c r="AM134" s="135"/>
      <c r="AP134" s="11"/>
      <c r="AS134" s="11"/>
      <c r="AV134" s="11"/>
      <c r="AY134" s="11"/>
      <c r="AZ134" s="10"/>
      <c r="BA134" s="10"/>
      <c r="BB134" s="10"/>
      <c r="BC134" s="11"/>
      <c r="BD134" s="299"/>
      <c r="BE134" s="299"/>
    </row>
    <row r="135" spans="29:57" ht="18" customHeight="1" x14ac:dyDescent="0.2">
      <c r="AC135" s="214"/>
      <c r="AM135" s="135"/>
      <c r="AP135" s="11"/>
      <c r="AS135" s="11"/>
      <c r="AV135" s="11"/>
      <c r="AY135" s="11"/>
      <c r="AZ135" s="10"/>
      <c r="BA135" s="10"/>
      <c r="BB135" s="10"/>
      <c r="BC135" s="11"/>
      <c r="BD135" s="299"/>
      <c r="BE135" s="299"/>
    </row>
    <row r="136" spans="29:57" ht="18" customHeight="1" x14ac:dyDescent="0.2">
      <c r="AC136" s="214"/>
      <c r="AM136" s="135"/>
      <c r="AP136" s="11"/>
      <c r="AS136" s="11"/>
      <c r="AV136" s="11"/>
      <c r="AY136" s="11"/>
      <c r="AZ136" s="10"/>
      <c r="BA136" s="10"/>
      <c r="BB136" s="10"/>
      <c r="BC136" s="11"/>
      <c r="BD136" s="299"/>
      <c r="BE136" s="299"/>
    </row>
    <row r="137" spans="29:57" ht="18" customHeight="1" x14ac:dyDescent="0.2">
      <c r="AC137" s="7"/>
      <c r="AG137" s="300"/>
      <c r="AH137" s="300"/>
      <c r="AI137" s="300"/>
      <c r="AJ137" s="300"/>
      <c r="AK137" s="300"/>
      <c r="AL137" s="300"/>
      <c r="AM137" s="135"/>
      <c r="AN137" s="300"/>
      <c r="AO137" s="300"/>
      <c r="AP137" s="241"/>
      <c r="AQ137" s="300"/>
      <c r="AR137" s="300"/>
      <c r="AS137" s="241"/>
      <c r="AT137" s="300"/>
      <c r="AU137" s="300"/>
      <c r="AV137" s="241"/>
      <c r="AW137" s="300"/>
      <c r="AX137" s="300"/>
      <c r="AY137" s="241"/>
      <c r="AZ137" s="300"/>
      <c r="BA137" s="300"/>
      <c r="BB137" s="300"/>
      <c r="BC137" s="241"/>
      <c r="BD137" s="98"/>
      <c r="BE137" s="98"/>
    </row>
    <row r="138" spans="29:57" ht="18" customHeight="1" x14ac:dyDescent="0.2">
      <c r="AC138" s="212"/>
      <c r="AD138" s="15"/>
      <c r="AE138" s="23"/>
      <c r="AF138" s="16"/>
      <c r="AG138" s="15"/>
      <c r="AH138" s="15"/>
      <c r="AI138" s="15"/>
      <c r="AJ138" s="15"/>
      <c r="AK138" s="15"/>
      <c r="AL138" s="22"/>
      <c r="AM138" s="213"/>
      <c r="AN138" s="23"/>
      <c r="AO138" s="23"/>
      <c r="AP138" s="7"/>
      <c r="AQ138" s="15"/>
      <c r="AR138" s="15"/>
      <c r="AS138" s="7"/>
      <c r="AT138" s="15"/>
      <c r="AU138" s="15"/>
      <c r="AV138" s="7"/>
      <c r="AW138" s="15"/>
      <c r="AX138" s="15"/>
      <c r="AY138" s="214"/>
      <c r="AZ138" s="215"/>
      <c r="BA138" s="10"/>
      <c r="BB138" s="7"/>
      <c r="BC138" s="7"/>
      <c r="BD138" s="7"/>
      <c r="BE138" s="7"/>
    </row>
    <row r="139" spans="29:57" ht="18" customHeight="1" x14ac:dyDescent="0.2">
      <c r="AC139" s="214"/>
      <c r="AM139" s="135"/>
      <c r="AP139" s="11"/>
      <c r="AS139" s="11"/>
      <c r="AV139" s="11"/>
      <c r="AY139" s="11"/>
      <c r="AZ139" s="10"/>
      <c r="BA139" s="10"/>
      <c r="BB139" s="10"/>
      <c r="BC139" s="11"/>
      <c r="BD139" s="299"/>
      <c r="BE139" s="299"/>
    </row>
    <row r="140" spans="29:57" ht="18" customHeight="1" x14ac:dyDescent="0.2">
      <c r="AC140" s="214"/>
      <c r="AM140" s="135"/>
      <c r="AP140" s="11"/>
      <c r="AS140" s="11"/>
      <c r="AV140" s="11"/>
      <c r="AY140" s="11"/>
      <c r="AZ140" s="10"/>
      <c r="BA140" s="10"/>
      <c r="BB140" s="10"/>
      <c r="BC140" s="11"/>
      <c r="BD140" s="299"/>
      <c r="BE140" s="299"/>
    </row>
    <row r="141" spans="29:57" ht="18" customHeight="1" x14ac:dyDescent="0.2">
      <c r="AC141" s="214"/>
      <c r="AM141" s="135"/>
      <c r="AP141" s="11"/>
      <c r="AS141" s="11"/>
      <c r="AV141" s="11"/>
      <c r="AY141" s="11"/>
      <c r="AZ141" s="10"/>
      <c r="BA141" s="10"/>
      <c r="BB141" s="10"/>
      <c r="BC141" s="11"/>
      <c r="BD141" s="299"/>
      <c r="BE141" s="299"/>
    </row>
    <row r="142" spans="29:57" ht="18" customHeight="1" x14ac:dyDescent="0.2">
      <c r="AC142" s="7"/>
      <c r="AG142" s="300"/>
      <c r="AH142" s="300"/>
      <c r="AI142" s="300"/>
      <c r="AJ142" s="300"/>
      <c r="AK142" s="300"/>
      <c r="AL142" s="300"/>
      <c r="AM142" s="135"/>
      <c r="AN142" s="300"/>
      <c r="AO142" s="300"/>
      <c r="AP142" s="241"/>
      <c r="AQ142" s="300"/>
      <c r="AR142" s="300"/>
      <c r="AS142" s="241"/>
      <c r="AT142" s="300"/>
      <c r="AU142" s="300"/>
      <c r="AV142" s="241"/>
      <c r="AW142" s="300"/>
      <c r="AX142" s="300"/>
      <c r="AY142" s="241"/>
      <c r="AZ142" s="300"/>
      <c r="BA142" s="300"/>
      <c r="BB142" s="300"/>
      <c r="BC142" s="241"/>
      <c r="BD142" s="98"/>
      <c r="BE142" s="98"/>
    </row>
    <row r="143" spans="29:57" ht="18" customHeight="1" x14ac:dyDescent="0.2">
      <c r="AC143" s="212"/>
      <c r="AD143" s="15"/>
      <c r="AE143" s="23"/>
      <c r="AF143" s="16"/>
      <c r="AG143" s="15"/>
      <c r="AH143" s="15"/>
      <c r="AI143" s="15"/>
      <c r="AJ143" s="15"/>
      <c r="AK143" s="15"/>
      <c r="AL143" s="22"/>
      <c r="AM143" s="213"/>
      <c r="AN143" s="23"/>
      <c r="AO143" s="23"/>
      <c r="AP143" s="7"/>
      <c r="AQ143" s="15"/>
      <c r="AR143" s="15"/>
      <c r="AS143" s="7"/>
      <c r="AT143" s="15"/>
      <c r="AU143" s="15"/>
      <c r="AV143" s="7"/>
      <c r="AW143" s="15"/>
      <c r="AX143" s="15"/>
      <c r="AY143" s="214"/>
      <c r="AZ143" s="215"/>
      <c r="BA143" s="10"/>
      <c r="BB143" s="7"/>
      <c r="BC143" s="7"/>
      <c r="BD143" s="7"/>
      <c r="BE143" s="7"/>
    </row>
    <row r="144" spans="29:57" ht="18" customHeight="1" x14ac:dyDescent="0.2">
      <c r="AC144" s="214"/>
      <c r="AM144" s="135"/>
      <c r="AP144" s="11"/>
      <c r="AS144" s="11"/>
      <c r="AV144" s="11"/>
      <c r="AY144" s="11"/>
      <c r="AZ144" s="10"/>
      <c r="BA144" s="10"/>
      <c r="BB144" s="10"/>
      <c r="BC144" s="11"/>
      <c r="BD144" s="299"/>
      <c r="BE144" s="299"/>
    </row>
    <row r="145" spans="29:57" ht="18" customHeight="1" x14ac:dyDescent="0.2">
      <c r="AC145" s="214"/>
      <c r="AM145" s="135"/>
      <c r="AP145" s="11"/>
      <c r="AS145" s="11"/>
      <c r="AV145" s="11"/>
      <c r="AY145" s="11"/>
      <c r="AZ145" s="10"/>
      <c r="BA145" s="10"/>
      <c r="BB145" s="10"/>
      <c r="BC145" s="11"/>
      <c r="BD145" s="299"/>
      <c r="BE145" s="299"/>
    </row>
    <row r="146" spans="29:57" ht="18" customHeight="1" x14ac:dyDescent="0.2">
      <c r="AC146" s="214"/>
      <c r="AM146" s="135"/>
      <c r="AP146" s="11"/>
      <c r="AS146" s="11"/>
      <c r="AV146" s="11"/>
      <c r="AY146" s="11"/>
      <c r="AZ146" s="10"/>
      <c r="BA146" s="10"/>
      <c r="BB146" s="10"/>
      <c r="BC146" s="11"/>
      <c r="BD146" s="299"/>
      <c r="BE146" s="299"/>
    </row>
    <row r="147" spans="29:57" ht="18" customHeight="1" x14ac:dyDescent="0.2">
      <c r="AC147" s="7"/>
      <c r="AG147" s="300"/>
      <c r="AH147" s="300"/>
      <c r="AI147" s="300"/>
      <c r="AJ147" s="300"/>
      <c r="AK147" s="300"/>
      <c r="AL147" s="300"/>
      <c r="AM147" s="135"/>
      <c r="AN147" s="300"/>
      <c r="AO147" s="300"/>
      <c r="AP147" s="241"/>
      <c r="AQ147" s="300"/>
      <c r="AR147" s="300"/>
      <c r="AS147" s="241"/>
      <c r="AT147" s="300"/>
      <c r="AU147" s="300"/>
      <c r="AV147" s="241"/>
      <c r="AW147" s="300"/>
      <c r="AX147" s="300"/>
      <c r="AY147" s="241"/>
      <c r="AZ147" s="300"/>
      <c r="BA147" s="300"/>
      <c r="BB147" s="300"/>
      <c r="BC147" s="241"/>
      <c r="BD147" s="98"/>
      <c r="BE147" s="98"/>
    </row>
    <row r="148" spans="29:57" ht="18" customHeight="1" x14ac:dyDescent="0.2">
      <c r="AC148" s="212"/>
      <c r="AD148" s="15"/>
      <c r="AE148" s="23"/>
      <c r="AF148" s="16"/>
      <c r="AG148" s="15"/>
      <c r="AH148" s="15"/>
      <c r="AI148" s="15"/>
      <c r="AJ148" s="15"/>
      <c r="AK148" s="15"/>
      <c r="AL148" s="22"/>
      <c r="AM148" s="213"/>
      <c r="AN148" s="23"/>
      <c r="AO148" s="23"/>
      <c r="AP148" s="7"/>
      <c r="AQ148" s="15"/>
      <c r="AR148" s="15"/>
      <c r="AS148" s="7"/>
      <c r="AT148" s="15"/>
      <c r="AU148" s="15"/>
      <c r="AV148" s="7"/>
      <c r="AW148" s="15"/>
      <c r="AX148" s="15"/>
      <c r="AY148" s="214"/>
      <c r="AZ148" s="215"/>
      <c r="BA148" s="10"/>
      <c r="BB148" s="7"/>
      <c r="BC148" s="7"/>
      <c r="BD148" s="7"/>
      <c r="BE148" s="7"/>
    </row>
    <row r="149" spans="29:57" ht="18" customHeight="1" x14ac:dyDescent="0.2">
      <c r="AC149" s="214"/>
      <c r="AM149" s="135"/>
      <c r="AP149" s="11"/>
      <c r="AS149" s="11"/>
      <c r="AV149" s="11"/>
      <c r="AY149" s="11"/>
      <c r="AZ149" s="10"/>
      <c r="BA149" s="10"/>
      <c r="BB149" s="10"/>
      <c r="BC149" s="11"/>
      <c r="BD149" s="299"/>
      <c r="BE149" s="299"/>
    </row>
    <row r="150" spans="29:57" ht="18" customHeight="1" x14ac:dyDescent="0.2">
      <c r="AC150" s="214"/>
      <c r="AM150" s="135"/>
      <c r="AP150" s="11"/>
      <c r="AS150" s="11"/>
      <c r="AV150" s="11"/>
      <c r="AY150" s="11"/>
      <c r="AZ150" s="10"/>
      <c r="BA150" s="10"/>
      <c r="BB150" s="10"/>
      <c r="BC150" s="11"/>
      <c r="BD150" s="299"/>
      <c r="BE150" s="299"/>
    </row>
    <row r="151" spans="29:57" ht="18" customHeight="1" x14ac:dyDescent="0.2">
      <c r="AC151" s="214"/>
      <c r="AM151" s="135"/>
      <c r="AP151" s="11"/>
      <c r="AS151" s="11"/>
      <c r="AV151" s="11"/>
      <c r="AY151" s="11"/>
      <c r="AZ151" s="10"/>
      <c r="BA151" s="10"/>
      <c r="BB151" s="10"/>
      <c r="BC151" s="11"/>
      <c r="BD151" s="299"/>
      <c r="BE151" s="299"/>
    </row>
    <row r="152" spans="29:57" ht="18" customHeight="1" x14ac:dyDescent="0.2">
      <c r="AC152" s="7"/>
      <c r="AG152" s="300"/>
      <c r="AH152" s="300"/>
      <c r="AI152" s="300"/>
      <c r="AJ152" s="300"/>
      <c r="AK152" s="300"/>
      <c r="AL152" s="300"/>
      <c r="AM152" s="135"/>
      <c r="AN152" s="300"/>
      <c r="AO152" s="300"/>
      <c r="AP152" s="241"/>
      <c r="AQ152" s="300"/>
      <c r="AR152" s="300"/>
      <c r="AS152" s="241"/>
      <c r="AT152" s="300"/>
      <c r="AU152" s="300"/>
      <c r="AV152" s="241"/>
      <c r="AW152" s="300"/>
      <c r="AX152" s="300"/>
      <c r="AY152" s="241"/>
      <c r="AZ152" s="300"/>
      <c r="BA152" s="300"/>
      <c r="BB152" s="300"/>
      <c r="BC152" s="241"/>
      <c r="BD152" s="98"/>
      <c r="BE152" s="98"/>
    </row>
    <row r="153" spans="29:57" ht="18" customHeight="1" x14ac:dyDescent="0.2">
      <c r="AC153" s="212"/>
      <c r="AD153" s="15"/>
      <c r="AE153" s="23"/>
      <c r="AF153" s="16"/>
      <c r="AG153" s="15"/>
      <c r="AH153" s="15"/>
      <c r="AI153" s="15"/>
      <c r="AJ153" s="15"/>
      <c r="AK153" s="15"/>
      <c r="AL153" s="22"/>
      <c r="AM153" s="213"/>
      <c r="AN153" s="23"/>
      <c r="AO153" s="23"/>
      <c r="AP153" s="7"/>
      <c r="AQ153" s="15"/>
      <c r="AR153" s="15"/>
      <c r="AS153" s="7"/>
      <c r="AT153" s="15"/>
      <c r="AU153" s="15"/>
      <c r="AV153" s="7"/>
      <c r="AW153" s="15"/>
      <c r="AX153" s="15"/>
      <c r="AY153" s="214"/>
      <c r="AZ153" s="215"/>
      <c r="BA153" s="10"/>
      <c r="BB153" s="7"/>
      <c r="BC153" s="7"/>
      <c r="BD153" s="7"/>
      <c r="BE153" s="7"/>
    </row>
    <row r="154" spans="29:57" ht="18" customHeight="1" x14ac:dyDescent="0.2">
      <c r="AC154" s="214"/>
      <c r="AM154" s="135"/>
      <c r="AP154" s="11"/>
      <c r="AS154" s="11"/>
      <c r="AV154" s="11"/>
      <c r="AY154" s="11"/>
      <c r="AZ154" s="10"/>
      <c r="BA154" s="10"/>
      <c r="BB154" s="10"/>
      <c r="BC154" s="11"/>
      <c r="BD154" s="299"/>
      <c r="BE154" s="299"/>
    </row>
    <row r="155" spans="29:57" ht="18" customHeight="1" x14ac:dyDescent="0.2">
      <c r="AC155" s="214"/>
      <c r="AM155" s="135"/>
      <c r="AP155" s="11"/>
      <c r="AS155" s="11"/>
      <c r="AV155" s="11"/>
      <c r="AY155" s="11"/>
      <c r="AZ155" s="10"/>
      <c r="BA155" s="10"/>
      <c r="BB155" s="10"/>
      <c r="BC155" s="11"/>
      <c r="BD155" s="299"/>
      <c r="BE155" s="299"/>
    </row>
    <row r="156" spans="29:57" ht="18" customHeight="1" x14ac:dyDescent="0.2">
      <c r="AC156" s="214"/>
      <c r="AM156" s="135"/>
      <c r="AP156" s="11"/>
      <c r="AS156" s="11"/>
      <c r="AV156" s="11"/>
      <c r="AY156" s="11"/>
      <c r="AZ156" s="10"/>
      <c r="BA156" s="10"/>
      <c r="BB156" s="10"/>
      <c r="BC156" s="11"/>
      <c r="BD156" s="299"/>
      <c r="BE156" s="299"/>
    </row>
    <row r="157" spans="29:57" ht="18" customHeight="1" x14ac:dyDescent="0.2">
      <c r="AC157" s="7"/>
      <c r="AG157" s="300"/>
      <c r="AH157" s="300"/>
      <c r="AI157" s="300"/>
      <c r="AJ157" s="300"/>
      <c r="AK157" s="300"/>
      <c r="AL157" s="300"/>
      <c r="AM157" s="135"/>
      <c r="AN157" s="300"/>
      <c r="AO157" s="300"/>
      <c r="AP157" s="241"/>
      <c r="AQ157" s="300"/>
      <c r="AR157" s="300"/>
      <c r="AS157" s="241"/>
      <c r="AT157" s="300"/>
      <c r="AU157" s="300"/>
      <c r="AV157" s="241"/>
      <c r="AW157" s="300"/>
      <c r="AX157" s="300"/>
      <c r="AY157" s="241"/>
      <c r="AZ157" s="300"/>
      <c r="BA157" s="300"/>
      <c r="BB157" s="300"/>
      <c r="BC157" s="241"/>
      <c r="BD157" s="98"/>
      <c r="BE157" s="98"/>
    </row>
    <row r="158" spans="29:57" ht="18" customHeight="1" x14ac:dyDescent="0.2">
      <c r="AC158" s="212"/>
      <c r="AD158" s="15"/>
      <c r="AE158" s="23"/>
      <c r="AF158" s="16"/>
      <c r="AG158" s="15"/>
      <c r="AH158" s="15"/>
      <c r="AI158" s="15"/>
      <c r="AJ158" s="15"/>
      <c r="AK158" s="15"/>
      <c r="AL158" s="22"/>
      <c r="AM158" s="213"/>
      <c r="AN158" s="23"/>
      <c r="AO158" s="23"/>
      <c r="AP158" s="7"/>
      <c r="AQ158" s="15"/>
      <c r="AR158" s="15"/>
      <c r="AS158" s="7"/>
      <c r="AT158" s="15"/>
      <c r="AU158" s="15"/>
      <c r="AV158" s="7"/>
      <c r="AW158" s="15"/>
      <c r="AX158" s="15"/>
      <c r="AY158" s="214"/>
      <c r="AZ158" s="215"/>
      <c r="BA158" s="10"/>
      <c r="BB158" s="7"/>
      <c r="BC158" s="7"/>
      <c r="BD158" s="7"/>
      <c r="BE158" s="7"/>
    </row>
    <row r="159" spans="29:57" ht="18" customHeight="1" x14ac:dyDescent="0.2">
      <c r="AC159" s="214"/>
      <c r="AM159" s="135"/>
      <c r="AP159" s="11"/>
      <c r="AS159" s="11"/>
      <c r="AV159" s="11"/>
      <c r="AY159" s="11"/>
      <c r="AZ159" s="10"/>
      <c r="BA159" s="10"/>
      <c r="BB159" s="10"/>
      <c r="BC159" s="11"/>
      <c r="BD159" s="299"/>
      <c r="BE159" s="299"/>
    </row>
    <row r="160" spans="29:57" ht="18" customHeight="1" x14ac:dyDescent="0.2">
      <c r="AC160" s="214"/>
      <c r="AM160" s="135"/>
      <c r="AP160" s="11"/>
      <c r="AS160" s="11"/>
      <c r="AV160" s="11"/>
      <c r="AY160" s="11"/>
      <c r="AZ160" s="10"/>
      <c r="BA160" s="10"/>
      <c r="BB160" s="10"/>
      <c r="BC160" s="11"/>
      <c r="BD160" s="299"/>
      <c r="BE160" s="299"/>
    </row>
    <row r="161" spans="29:57" ht="18" customHeight="1" x14ac:dyDescent="0.2">
      <c r="AC161" s="214"/>
      <c r="AM161" s="135"/>
      <c r="AP161" s="11"/>
      <c r="AS161" s="11"/>
      <c r="AV161" s="11"/>
      <c r="AY161" s="11"/>
      <c r="AZ161" s="10"/>
      <c r="BA161" s="10"/>
      <c r="BB161" s="10"/>
      <c r="BC161" s="11"/>
      <c r="BD161" s="299"/>
      <c r="BE161" s="299"/>
    </row>
    <row r="162" spans="29:57" ht="18" customHeight="1" x14ac:dyDescent="0.2">
      <c r="AC162" s="7"/>
      <c r="AG162" s="300"/>
      <c r="AH162" s="300"/>
      <c r="AI162" s="300"/>
      <c r="AJ162" s="300"/>
      <c r="AK162" s="300"/>
      <c r="AL162" s="300"/>
      <c r="AM162" s="135"/>
      <c r="AN162" s="300"/>
      <c r="AO162" s="300"/>
      <c r="AP162" s="241"/>
      <c r="AQ162" s="300"/>
      <c r="AR162" s="300"/>
      <c r="AS162" s="241"/>
      <c r="AT162" s="300"/>
      <c r="AU162" s="300"/>
      <c r="AV162" s="241"/>
      <c r="AW162" s="300"/>
      <c r="AX162" s="300"/>
      <c r="AY162" s="241"/>
      <c r="AZ162" s="300"/>
      <c r="BA162" s="300"/>
      <c r="BB162" s="300"/>
      <c r="BC162" s="241"/>
      <c r="BD162" s="98"/>
      <c r="BE162" s="98"/>
    </row>
    <row r="163" spans="29:57" ht="18" customHeight="1" x14ac:dyDescent="0.2">
      <c r="AC163" s="212"/>
      <c r="AD163" s="15"/>
      <c r="AE163" s="23"/>
      <c r="AF163" s="16"/>
      <c r="AG163" s="15"/>
      <c r="AH163" s="15"/>
      <c r="AI163" s="15"/>
      <c r="AJ163" s="15"/>
      <c r="AK163" s="15"/>
      <c r="AL163" s="22"/>
      <c r="AM163" s="213"/>
      <c r="AN163" s="23"/>
      <c r="AO163" s="23"/>
      <c r="AP163" s="7"/>
      <c r="AQ163" s="15"/>
      <c r="AR163" s="15"/>
      <c r="AS163" s="7"/>
      <c r="AT163" s="15"/>
      <c r="AU163" s="15"/>
      <c r="AV163" s="7"/>
      <c r="AW163" s="15"/>
      <c r="AX163" s="15"/>
      <c r="AY163" s="214"/>
      <c r="AZ163" s="215"/>
      <c r="BA163" s="10"/>
      <c r="BB163" s="7"/>
      <c r="BC163" s="7"/>
      <c r="BD163" s="7"/>
      <c r="BE163" s="7"/>
    </row>
    <row r="164" spans="29:57" ht="18" customHeight="1" x14ac:dyDescent="0.2">
      <c r="AC164" s="214"/>
      <c r="AM164" s="135"/>
      <c r="AP164" s="11"/>
      <c r="AS164" s="11"/>
      <c r="AV164" s="11"/>
      <c r="AY164" s="11"/>
      <c r="AZ164" s="10"/>
      <c r="BA164" s="10"/>
      <c r="BB164" s="10"/>
      <c r="BC164" s="11"/>
      <c r="BD164" s="299"/>
      <c r="BE164" s="299"/>
    </row>
    <row r="165" spans="29:57" ht="18" customHeight="1" x14ac:dyDescent="0.2">
      <c r="AC165" s="214"/>
      <c r="AM165" s="135"/>
      <c r="AP165" s="11"/>
      <c r="AS165" s="11"/>
      <c r="AV165" s="11"/>
      <c r="AY165" s="11"/>
      <c r="AZ165" s="10"/>
      <c r="BA165" s="10"/>
      <c r="BB165" s="10"/>
      <c r="BC165" s="11"/>
      <c r="BD165" s="299"/>
      <c r="BE165" s="299"/>
    </row>
    <row r="166" spans="29:57" ht="18" customHeight="1" x14ac:dyDescent="0.2">
      <c r="AC166" s="214"/>
      <c r="AM166" s="135"/>
      <c r="AP166" s="11"/>
      <c r="AS166" s="11"/>
      <c r="AV166" s="11"/>
      <c r="AY166" s="11"/>
      <c r="AZ166" s="10"/>
      <c r="BA166" s="10"/>
      <c r="BB166" s="10"/>
      <c r="BC166" s="11"/>
      <c r="BD166" s="299"/>
      <c r="BE166" s="299"/>
    </row>
    <row r="167" spans="29:57" ht="18" customHeight="1" x14ac:dyDescent="0.2">
      <c r="AC167" s="7"/>
      <c r="AG167" s="300"/>
      <c r="AH167" s="300"/>
      <c r="AI167" s="300"/>
      <c r="AJ167" s="300"/>
      <c r="AK167" s="300"/>
      <c r="AL167" s="300"/>
      <c r="AM167" s="135"/>
      <c r="AN167" s="300"/>
      <c r="AO167" s="300"/>
      <c r="AP167" s="241"/>
      <c r="AQ167" s="300"/>
      <c r="AR167" s="300"/>
      <c r="AS167" s="241"/>
      <c r="AT167" s="300"/>
      <c r="AU167" s="300"/>
      <c r="AV167" s="241"/>
      <c r="AW167" s="300"/>
      <c r="AX167" s="300"/>
      <c r="AY167" s="241"/>
      <c r="AZ167" s="300"/>
      <c r="BA167" s="300"/>
      <c r="BB167" s="300"/>
      <c r="BC167" s="241"/>
      <c r="BD167" s="98"/>
      <c r="BE167" s="98"/>
    </row>
    <row r="168" spans="29:57" ht="18" customHeight="1" x14ac:dyDescent="0.2">
      <c r="AC168" s="212"/>
      <c r="AD168" s="15"/>
      <c r="AE168" s="23"/>
      <c r="AF168" s="16"/>
      <c r="AG168" s="15"/>
      <c r="AH168" s="15"/>
      <c r="AI168" s="15"/>
      <c r="AJ168" s="15"/>
      <c r="AK168" s="15"/>
      <c r="AL168" s="22"/>
      <c r="AM168" s="213"/>
      <c r="AN168" s="23"/>
      <c r="AO168" s="23"/>
      <c r="AP168" s="7"/>
      <c r="AQ168" s="15"/>
      <c r="AR168" s="15"/>
      <c r="AS168" s="7"/>
      <c r="AT168" s="15"/>
      <c r="AU168" s="15"/>
      <c r="AV168" s="7"/>
      <c r="AW168" s="15"/>
      <c r="AX168" s="15"/>
      <c r="AY168" s="214"/>
      <c r="AZ168" s="215"/>
      <c r="BA168" s="10"/>
      <c r="BB168" s="7"/>
      <c r="BC168" s="7"/>
      <c r="BD168" s="7"/>
      <c r="BE168" s="7"/>
    </row>
    <row r="169" spans="29:57" ht="18" customHeight="1" x14ac:dyDescent="0.2">
      <c r="AC169" s="214"/>
      <c r="AM169" s="135"/>
      <c r="AP169" s="11"/>
      <c r="AS169" s="11"/>
      <c r="AV169" s="11"/>
      <c r="AY169" s="11"/>
      <c r="AZ169" s="10"/>
      <c r="BA169" s="10"/>
      <c r="BB169" s="10"/>
      <c r="BC169" s="11"/>
      <c r="BD169" s="299"/>
      <c r="BE169" s="299"/>
    </row>
    <row r="170" spans="29:57" ht="18" customHeight="1" x14ac:dyDescent="0.2">
      <c r="AC170" s="214"/>
      <c r="AM170" s="135"/>
      <c r="AP170" s="11"/>
      <c r="AS170" s="11"/>
      <c r="AV170" s="11"/>
      <c r="AY170" s="11"/>
      <c r="AZ170" s="10"/>
      <c r="BA170" s="10"/>
      <c r="BB170" s="10"/>
      <c r="BC170" s="11"/>
      <c r="BD170" s="299"/>
      <c r="BE170" s="299"/>
    </row>
    <row r="171" spans="29:57" ht="18" customHeight="1" x14ac:dyDescent="0.2">
      <c r="AC171" s="214"/>
      <c r="AM171" s="135"/>
      <c r="AP171" s="11"/>
      <c r="AS171" s="11"/>
      <c r="AV171" s="11"/>
      <c r="AY171" s="11"/>
      <c r="AZ171" s="10"/>
      <c r="BA171" s="10"/>
      <c r="BB171" s="10"/>
      <c r="BC171" s="11"/>
      <c r="BD171" s="299"/>
      <c r="BE171" s="299"/>
    </row>
    <row r="172" spans="29:57" ht="18" customHeight="1" x14ac:dyDescent="0.2">
      <c r="AC172" s="7"/>
      <c r="AG172" s="300"/>
      <c r="AH172" s="300"/>
      <c r="AI172" s="300"/>
      <c r="AJ172" s="300"/>
      <c r="AK172" s="300"/>
      <c r="AL172" s="300"/>
      <c r="AM172" s="135"/>
      <c r="AN172" s="300"/>
      <c r="AO172" s="300"/>
      <c r="AP172" s="241"/>
      <c r="AQ172" s="300"/>
      <c r="AR172" s="300"/>
      <c r="AS172" s="241"/>
      <c r="AT172" s="300"/>
      <c r="AU172" s="300"/>
      <c r="AV172" s="241"/>
      <c r="AW172" s="300"/>
      <c r="AX172" s="300"/>
      <c r="AY172" s="241"/>
      <c r="AZ172" s="300"/>
      <c r="BA172" s="300"/>
      <c r="BB172" s="300"/>
      <c r="BC172" s="241"/>
      <c r="BD172" s="98"/>
      <c r="BE172" s="98"/>
    </row>
    <row r="173" spans="29:57" ht="18" customHeight="1" x14ac:dyDescent="0.2">
      <c r="AC173" s="212"/>
      <c r="AD173" s="15"/>
      <c r="AE173" s="23"/>
      <c r="AF173" s="16"/>
      <c r="AG173" s="15"/>
      <c r="AH173" s="15"/>
      <c r="AI173" s="15"/>
      <c r="AJ173" s="15"/>
      <c r="AK173" s="15"/>
      <c r="AL173" s="22"/>
      <c r="AM173" s="213"/>
      <c r="AN173" s="23"/>
      <c r="AO173" s="23"/>
      <c r="AP173" s="7"/>
      <c r="AQ173" s="15"/>
      <c r="AR173" s="15"/>
      <c r="AS173" s="7"/>
      <c r="AT173" s="15"/>
      <c r="AU173" s="15"/>
      <c r="AV173" s="7"/>
      <c r="AW173" s="15"/>
      <c r="AX173" s="15"/>
      <c r="AY173" s="214"/>
      <c r="AZ173" s="215"/>
      <c r="BA173" s="10"/>
      <c r="BB173" s="7"/>
      <c r="BC173" s="7"/>
      <c r="BD173" s="7"/>
      <c r="BE173" s="7"/>
    </row>
    <row r="174" spans="29:57" ht="18" customHeight="1" x14ac:dyDescent="0.2">
      <c r="AC174" s="214"/>
      <c r="AM174" s="135"/>
      <c r="AP174" s="11"/>
      <c r="AS174" s="11"/>
      <c r="AV174" s="11"/>
      <c r="AY174" s="11"/>
      <c r="AZ174" s="10"/>
      <c r="BA174" s="10"/>
      <c r="BB174" s="10"/>
      <c r="BC174" s="11"/>
      <c r="BD174" s="299"/>
      <c r="BE174" s="299"/>
    </row>
    <row r="175" spans="29:57" ht="18" customHeight="1" x14ac:dyDescent="0.2">
      <c r="AC175" s="214"/>
      <c r="AM175" s="135"/>
      <c r="AP175" s="11"/>
      <c r="AS175" s="11"/>
      <c r="AV175" s="11"/>
      <c r="AY175" s="11"/>
      <c r="AZ175" s="10"/>
      <c r="BA175" s="10"/>
      <c r="BB175" s="10"/>
      <c r="BC175" s="11"/>
      <c r="BD175" s="299"/>
      <c r="BE175" s="299"/>
    </row>
    <row r="176" spans="29:57" ht="18" customHeight="1" x14ac:dyDescent="0.2">
      <c r="AC176" s="214"/>
      <c r="AM176" s="135"/>
      <c r="AP176" s="11"/>
      <c r="AS176" s="11"/>
      <c r="AV176" s="11"/>
      <c r="AY176" s="11"/>
      <c r="AZ176" s="10"/>
      <c r="BA176" s="10"/>
      <c r="BB176" s="10"/>
      <c r="BC176" s="11"/>
      <c r="BD176" s="299"/>
      <c r="BE176" s="299"/>
    </row>
    <row r="177" spans="29:57" ht="18" customHeight="1" x14ac:dyDescent="0.2">
      <c r="AC177" s="7"/>
      <c r="AG177" s="300"/>
      <c r="AH177" s="300"/>
      <c r="AI177" s="300"/>
      <c r="AJ177" s="300"/>
      <c r="AK177" s="300"/>
      <c r="AL177" s="300"/>
      <c r="AM177" s="135"/>
      <c r="AN177" s="300"/>
      <c r="AO177" s="300"/>
      <c r="AP177" s="241"/>
      <c r="AQ177" s="300"/>
      <c r="AR177" s="300"/>
      <c r="AS177" s="241"/>
      <c r="AT177" s="300"/>
      <c r="AU177" s="300"/>
      <c r="AV177" s="241"/>
      <c r="AW177" s="300"/>
      <c r="AX177" s="300"/>
      <c r="AY177" s="241"/>
      <c r="AZ177" s="300"/>
      <c r="BA177" s="300"/>
      <c r="BB177" s="300"/>
      <c r="BC177" s="241"/>
      <c r="BD177" s="98"/>
      <c r="BE177" s="98"/>
    </row>
    <row r="178" spans="29:57" ht="18" customHeight="1" x14ac:dyDescent="0.2">
      <c r="AC178" s="212"/>
      <c r="AD178" s="15"/>
      <c r="AE178" s="23"/>
      <c r="AF178" s="16"/>
      <c r="AG178" s="15"/>
      <c r="AH178" s="15"/>
      <c r="AI178" s="15"/>
      <c r="AJ178" s="15"/>
      <c r="AK178" s="15"/>
      <c r="AL178" s="22"/>
      <c r="AM178" s="213"/>
      <c r="AN178" s="23"/>
      <c r="AO178" s="23"/>
      <c r="AP178" s="7"/>
      <c r="AQ178" s="15"/>
      <c r="AR178" s="15"/>
      <c r="AS178" s="7"/>
      <c r="AT178" s="15"/>
      <c r="AU178" s="15"/>
      <c r="AV178" s="7"/>
      <c r="AW178" s="15"/>
      <c r="AX178" s="15"/>
      <c r="AY178" s="214"/>
      <c r="AZ178" s="215"/>
      <c r="BA178" s="10"/>
      <c r="BB178" s="7"/>
      <c r="BC178" s="7"/>
      <c r="BD178" s="7"/>
      <c r="BE178" s="7"/>
    </row>
    <row r="179" spans="29:57" ht="18" customHeight="1" x14ac:dyDescent="0.2">
      <c r="AC179" s="214"/>
      <c r="AM179" s="135"/>
      <c r="AP179" s="11"/>
      <c r="AS179" s="11"/>
      <c r="AV179" s="11"/>
      <c r="AY179" s="11"/>
      <c r="AZ179" s="10"/>
      <c r="BA179" s="10"/>
      <c r="BB179" s="10"/>
      <c r="BC179" s="11"/>
      <c r="BD179" s="299"/>
      <c r="BE179" s="299"/>
    </row>
    <row r="180" spans="29:57" ht="18" customHeight="1" x14ac:dyDescent="0.2">
      <c r="AC180" s="214"/>
      <c r="AM180" s="135"/>
      <c r="AP180" s="11"/>
      <c r="AS180" s="11"/>
      <c r="AV180" s="11"/>
      <c r="AY180" s="11"/>
      <c r="AZ180" s="10"/>
      <c r="BA180" s="10"/>
      <c r="BB180" s="10"/>
      <c r="BC180" s="11"/>
      <c r="BD180" s="299"/>
      <c r="BE180" s="299"/>
    </row>
    <row r="181" spans="29:57" ht="18" customHeight="1" x14ac:dyDescent="0.2">
      <c r="AC181" s="214"/>
      <c r="AM181" s="135"/>
      <c r="AP181" s="11"/>
      <c r="AS181" s="11"/>
      <c r="AV181" s="11"/>
      <c r="AY181" s="11"/>
      <c r="AZ181" s="10"/>
      <c r="BA181" s="10"/>
      <c r="BB181" s="10"/>
      <c r="BC181" s="11"/>
      <c r="BD181" s="299"/>
      <c r="BE181" s="299"/>
    </row>
    <row r="182" spans="29:57" ht="18" customHeight="1" x14ac:dyDescent="0.2">
      <c r="AC182" s="7"/>
      <c r="AG182" s="300"/>
      <c r="AH182" s="300"/>
      <c r="AI182" s="300"/>
      <c r="AJ182" s="300"/>
      <c r="AK182" s="300"/>
      <c r="AL182" s="300"/>
      <c r="AM182" s="135"/>
      <c r="AN182" s="300"/>
      <c r="AO182" s="300"/>
      <c r="AP182" s="241"/>
      <c r="AQ182" s="300"/>
      <c r="AR182" s="300"/>
      <c r="AS182" s="241"/>
      <c r="AT182" s="300"/>
      <c r="AU182" s="300"/>
      <c r="AV182" s="241"/>
      <c r="AW182" s="300"/>
      <c r="AX182" s="300"/>
      <c r="AY182" s="241"/>
      <c r="AZ182" s="300"/>
      <c r="BA182" s="300"/>
      <c r="BB182" s="300"/>
      <c r="BC182" s="241"/>
      <c r="BD182" s="98"/>
      <c r="BE182" s="98"/>
    </row>
    <row r="183" spans="29:57" ht="18" customHeight="1" x14ac:dyDescent="0.2">
      <c r="AC183" s="212"/>
      <c r="AD183" s="15"/>
      <c r="AE183" s="23"/>
      <c r="AF183" s="16"/>
      <c r="AG183" s="15"/>
      <c r="AH183" s="15"/>
      <c r="AI183" s="15"/>
      <c r="AJ183" s="15"/>
      <c r="AK183" s="15"/>
      <c r="AL183" s="22"/>
      <c r="AM183" s="213"/>
      <c r="AN183" s="23"/>
      <c r="AO183" s="23"/>
      <c r="AP183" s="7"/>
      <c r="AQ183" s="15"/>
      <c r="AR183" s="15"/>
      <c r="AS183" s="7"/>
      <c r="AT183" s="15"/>
      <c r="AU183" s="15"/>
      <c r="AV183" s="7"/>
      <c r="AW183" s="15"/>
      <c r="AX183" s="15"/>
      <c r="AY183" s="214"/>
      <c r="AZ183" s="215"/>
      <c r="BA183" s="10"/>
      <c r="BB183" s="7"/>
      <c r="BC183" s="7"/>
      <c r="BD183" s="7"/>
      <c r="BE183" s="7"/>
    </row>
    <row r="184" spans="29:57" ht="18" customHeight="1" x14ac:dyDescent="0.2">
      <c r="AC184" s="214"/>
      <c r="AM184" s="135"/>
      <c r="AP184" s="11"/>
      <c r="AS184" s="11"/>
      <c r="AV184" s="11"/>
      <c r="AY184" s="11"/>
      <c r="AZ184" s="10"/>
      <c r="BA184" s="10"/>
      <c r="BB184" s="10"/>
      <c r="BC184" s="11"/>
      <c r="BD184" s="299"/>
      <c r="BE184" s="299"/>
    </row>
    <row r="185" spans="29:57" ht="18" customHeight="1" x14ac:dyDescent="0.2">
      <c r="AC185" s="214"/>
      <c r="AM185" s="135"/>
      <c r="AP185" s="11"/>
      <c r="AS185" s="11"/>
      <c r="AV185" s="11"/>
      <c r="AY185" s="11"/>
      <c r="AZ185" s="10"/>
      <c r="BA185" s="10"/>
      <c r="BB185" s="10"/>
      <c r="BC185" s="11"/>
      <c r="BD185" s="299"/>
      <c r="BE185" s="299"/>
    </row>
    <row r="186" spans="29:57" ht="18" customHeight="1" x14ac:dyDescent="0.2">
      <c r="AC186" s="214"/>
      <c r="AM186" s="135"/>
      <c r="AP186" s="11"/>
      <c r="AS186" s="11"/>
      <c r="AV186" s="11"/>
      <c r="AY186" s="11"/>
      <c r="AZ186" s="10"/>
      <c r="BA186" s="10"/>
      <c r="BB186" s="10"/>
      <c r="BC186" s="11"/>
      <c r="BD186" s="299"/>
      <c r="BE186" s="299"/>
    </row>
    <row r="187" spans="29:57" ht="18" customHeight="1" x14ac:dyDescent="0.2">
      <c r="AC187" s="7"/>
      <c r="AG187" s="300"/>
      <c r="AH187" s="300"/>
      <c r="AI187" s="300"/>
      <c r="AJ187" s="300"/>
      <c r="AK187" s="300"/>
      <c r="AL187" s="300"/>
      <c r="AM187" s="135"/>
      <c r="AN187" s="300"/>
      <c r="AO187" s="300"/>
      <c r="AP187" s="241"/>
      <c r="AQ187" s="300"/>
      <c r="AR187" s="300"/>
      <c r="AS187" s="241"/>
      <c r="AT187" s="300"/>
      <c r="AU187" s="300"/>
      <c r="AV187" s="241"/>
      <c r="AW187" s="300"/>
      <c r="AX187" s="300"/>
      <c r="AY187" s="241"/>
      <c r="AZ187" s="300"/>
      <c r="BA187" s="300"/>
      <c r="BB187" s="300"/>
      <c r="BC187" s="241"/>
      <c r="BD187" s="98"/>
      <c r="BE187" s="98"/>
    </row>
    <row r="194" spans="5:21" ht="18" customHeight="1" x14ac:dyDescent="0.3">
      <c r="E194" s="107" t="s">
        <v>289</v>
      </c>
      <c r="F194" s="122"/>
      <c r="G194" s="123"/>
      <c r="H194" s="124"/>
      <c r="I194" s="124"/>
      <c r="J194" s="124"/>
      <c r="K194" s="124"/>
      <c r="L194" s="125"/>
      <c r="M194" s="125"/>
      <c r="N194" s="12"/>
      <c r="O194" s="123"/>
      <c r="P194" s="13"/>
      <c r="Q194" s="123"/>
      <c r="R194" s="13"/>
      <c r="S194" s="123"/>
      <c r="T194" s="14"/>
      <c r="U194" s="131"/>
    </row>
    <row r="195" spans="5:21" ht="18" customHeight="1" x14ac:dyDescent="0.3">
      <c r="E195" s="137" t="s">
        <v>228</v>
      </c>
      <c r="F195" s="138"/>
      <c r="G195" s="139"/>
      <c r="H195" s="140"/>
      <c r="I195" s="141"/>
      <c r="J195" s="141"/>
      <c r="K195" s="141"/>
      <c r="L195" s="142"/>
      <c r="M195" s="139"/>
      <c r="N195" s="143"/>
      <c r="O195" s="139"/>
      <c r="P195" s="143"/>
      <c r="Q195" s="139"/>
      <c r="R195" s="144"/>
      <c r="S195" s="145"/>
      <c r="T195" s="18"/>
      <c r="U195" s="132"/>
    </row>
  </sheetData>
  <protectedRanges>
    <protectedRange sqref="D3:D6" name="Range1_1_1_2"/>
    <protectedRange sqref="B3:C6" name="Range1_1_2_1"/>
    <protectedRange sqref="D7:D22" name="Range1_2_1"/>
    <protectedRange sqref="B7:C22" name="Range1_1_1_1_1"/>
    <protectedRange sqref="F9:G9 E10:G11 I9:K11 E12:K22" name="Range1_2_3_1"/>
    <protectedRange sqref="E3:K6 E8:E9 E7:G7 I7:K7 H7:H11" name="Range1_4_1"/>
    <protectedRange sqref="AD4:AL6 AD9:AL11 AD14:AL16 AD19:AL21 AD24:AL26 AD29:AL31 AD34:AL36 AD39:AL41 AD44:AL46 AD49:AL51 AD54:AL56 AD59:AL61 AD69:AL71 AD79:AL81 AD89:AL91 AD99:AL101 AD74:AL76 AD94:AL96 AD104:AL106 AD109:AL111 AD114:AL116 AD119:AL121 AD124:AL126 AD129:AL131 AD134:AL136 AD139:AL141 AD144:AL146 AD149:AL151 AD154:AL156 AD159:AL161 AD164:AL166 AD169:AL171 AD174:AL176 AD179:AL181 AD184:AL186 AD64:AL66 AD84:AL86" name="Range2_12_3_1"/>
    <protectedRange sqref="AN4:AO6 AN9:AO11 AN14:AO16 AN19:AO21 AN24:AO26 AN29:AO31 AN34:AO36 AN39:AO41 AN44:AO46 AN49:AO51 AN54:AO56 AN59:AO61 AN64:AO66 AN69:AO71 AN74:AO76 AN79:AO81 AN84:AO86 AN89:AO91 AN94:AO96 AN99:AO101 AN104:AO106 AN109:AO111 AN114:AO116 AN119:AO121 AN124:AO126 AN129:AO131 AN134:AO136 AN139:AO141 AN144:AO146 AN149:AO151 AN154:AO156 AN159:AO161 AN164:AO166 AN169:AO171 AN174:AO176 AN179:AO181 AN184:AO186" name="Range3_12_3_1"/>
    <protectedRange sqref="AQ4:AR6 AQ9:AR11 AQ14:AR16 AQ19:AR21 AQ24:AR26 AQ29:AR31 AQ34:AR36 AQ39:AR41 AQ44:AR46 AQ49:AR51 AQ54:AR56 AQ59:AR61 AQ64:AR66 AQ69:AR71 AQ74:AR76 AQ79:AR81 AQ84:AR86 AQ89:AR91 AQ94:AR96 AQ99:AR101 AQ104:AR106 AQ109:AR111 AQ114:AR116 AQ119:AR121 AQ124:AR126 AQ129:AR131 AQ134:AR136 AQ139:AR141 AQ144:AR146 AQ149:AR151 AQ154:AR156 AQ159:AR161 AQ164:AR166 AQ169:AR171 AQ174:AR176 AQ179:AR181 AQ184:AR186" name="Range4_12_3_1"/>
    <protectedRange sqref="AT4:AU6 AT9:AU11 AT14:AU16 AT19:AU21 AT24:AU26 AT29:AU31 AT34:AU36 AT39:AU41 AT44:AU46 AT49:AU51 AT54:AU56 AT59:AU61 AT64:AU66 AT69:AU71 AT74:AU76 AT79:AU81 AT84:AU86 AT89:AU91 AT94:AU96 AT99:AU101 AT104:AU106 AT109:AU111 AT114:AU116 AT119:AU121 AT124:AU126 AT129:AU131 AT134:AU136 AT139:AU141 AT144:AU146 AT149:AU151 AT154:AU156 AT159:AU161 AT164:AU166 AT169:AU171 AT174:AU176 AT179:AU181 AT184:AU186" name="Range5_12_3_1"/>
    <protectedRange sqref="AW4:AX6 AW9:AX11 AW14:AX16 AW19:AX21 AW24:AX26 AW29:AX31 AW34:AX36 AW39:AX41 AW44:AX46 AW49:AX51 AW54:AX56 AW59:AX61 AW64:AX66 AW69:AX71 AW74:AX76 AW79:AX81 AW84:AX86 AW89:AX91 AW94:AX96 AW99:AX101 AW104:AX106 AW109:AX111 AW114:AX116 AW119:AX121 AW124:AX126 AW129:AX131 AW134:AX136 AW139:AX141 AW144:AX146 AW149:AX151 AW154:AX156 AW159:AX161 AW164:AX166 AW169:AX171 AW174:AX176 AW179:AX181 AW184:AX186" name="Range6_12_3_1"/>
  </protectedRanges>
  <pageMargins left="0.75" right="0.75" top="1" bottom="1" header="0.5" footer="0.5"/>
  <pageSetup orientation="portrait"/>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63417-B0C2-4ED2-8063-F172C34562AF}">
  <sheetPr>
    <tabColor theme="5" tint="0.39997558519241921"/>
  </sheetPr>
  <dimension ref="A1:BH213"/>
  <sheetViews>
    <sheetView zoomScale="80" zoomScaleNormal="80" workbookViewId="0">
      <pane xSplit="2" ySplit="2" topLeftCell="U3" activePane="bottomRight" state="frozen"/>
      <selection pane="topRight" activeCell="C1" sqref="C1"/>
      <selection pane="bottomLeft" activeCell="A3" sqref="A3"/>
      <selection pane="bottomRight" activeCell="AC3" sqref="AC3"/>
    </sheetView>
  </sheetViews>
  <sheetFormatPr defaultColWidth="5.42578125" defaultRowHeight="18" customHeight="1" x14ac:dyDescent="0.2"/>
  <cols>
    <col min="1" max="1" width="4.85546875" style="24" bestFit="1" customWidth="1"/>
    <col min="2" max="3" width="8.7109375" style="105" bestFit="1" customWidth="1"/>
    <col min="4" max="4" width="4.140625" style="113" bestFit="1" customWidth="1"/>
    <col min="5" max="5" width="5.85546875" style="113" customWidth="1"/>
    <col min="6" max="6" width="5.85546875" style="19" bestFit="1" customWidth="1"/>
    <col min="7" max="7" width="6.42578125" style="114" customWidth="1"/>
    <col min="8" max="8" width="5.7109375" style="114" customWidth="1"/>
    <col min="9" max="9" width="18" style="114" customWidth="1"/>
    <col min="10" max="10" width="12" style="113" customWidth="1"/>
    <col min="11" max="11" width="13.140625" style="113" customWidth="1"/>
    <col min="12" max="12" width="3.5703125" style="113" bestFit="1" customWidth="1"/>
    <col min="13" max="13" width="7.28515625" style="26" bestFit="1" customWidth="1"/>
    <col min="14" max="14" width="4.140625" style="19" bestFit="1" customWidth="1"/>
    <col min="15" max="15" width="7.28515625" style="15" bestFit="1" customWidth="1"/>
    <col min="16" max="16" width="4.140625" style="19" bestFit="1" customWidth="1"/>
    <col min="17" max="17" width="7.28515625" style="15" bestFit="1" customWidth="1"/>
    <col min="18" max="18" width="4.140625" style="19" bestFit="1" customWidth="1"/>
    <col min="19" max="19" width="7.28515625" style="15" bestFit="1" customWidth="1"/>
    <col min="20" max="20" width="4.140625" style="19" bestFit="1" customWidth="1"/>
    <col min="21" max="21" width="7.28515625" style="15" bestFit="1" customWidth="1"/>
    <col min="22" max="23" width="4.140625" style="132" bestFit="1" customWidth="1"/>
    <col min="24" max="24" width="6.85546875" style="132" bestFit="1" customWidth="1"/>
    <col min="25" max="25" width="8.5703125" style="15" bestFit="1" customWidth="1"/>
    <col min="26" max="26" width="6.28515625" style="15" bestFit="1" customWidth="1"/>
    <col min="27" max="27" width="6.140625" style="15" bestFit="1" customWidth="1"/>
    <col min="28" max="28" width="8.85546875" style="15" customWidth="1"/>
    <col min="29" max="29" width="12.42578125" style="15" customWidth="1"/>
    <col min="30" max="30" width="8.7109375" style="105" bestFit="1" customWidth="1"/>
    <col min="31" max="31" width="8.42578125" style="105" bestFit="1" customWidth="1"/>
    <col min="32" max="32" width="4.140625" style="19" bestFit="1" customWidth="1"/>
    <col min="33" max="33" width="4.140625" style="19" customWidth="1"/>
    <col min="34" max="35" width="4.42578125" style="19" bestFit="1" customWidth="1"/>
    <col min="36" max="36" width="4.28515625" style="19" bestFit="1" customWidth="1"/>
    <col min="37" max="38" width="4.140625" style="19" bestFit="1" customWidth="1"/>
    <col min="39" max="39" width="7.28515625" style="136" bestFit="1" customWidth="1"/>
    <col min="40" max="41" width="4.140625" style="19" bestFit="1" customWidth="1"/>
    <col min="42" max="42" width="7.28515625" style="26" bestFit="1" customWidth="1"/>
    <col min="43" max="44" width="4.140625" style="19" bestFit="1" customWidth="1"/>
    <col min="45" max="45" width="7.28515625" style="26" bestFit="1" customWidth="1"/>
    <col min="46" max="47" width="4.140625" style="19" bestFit="1" customWidth="1"/>
    <col min="48" max="48" width="7.28515625" style="26" bestFit="1" customWidth="1"/>
    <col min="49" max="50" width="4.140625" style="19" bestFit="1" customWidth="1"/>
    <col min="51" max="51" width="7.28515625" style="26" bestFit="1" customWidth="1"/>
    <col min="52" max="54" width="4.140625" style="19" bestFit="1" customWidth="1"/>
    <col min="55" max="55" width="7.140625" style="24" bestFit="1" customWidth="1"/>
    <col min="56" max="56" width="9.42578125" style="24" bestFit="1" customWidth="1"/>
    <col min="57" max="57" width="8.85546875" style="15" bestFit="1" customWidth="1"/>
    <col min="58" max="58" width="10.7109375" style="15" bestFit="1" customWidth="1"/>
    <col min="59" max="59" width="90.140625" style="15" bestFit="1" customWidth="1"/>
    <col min="60" max="60" width="8.140625" style="15" bestFit="1" customWidth="1"/>
    <col min="61" max="64" width="5.42578125" style="15" customWidth="1"/>
    <col min="65" max="16384" width="5.42578125" style="15"/>
  </cols>
  <sheetData>
    <row r="1" spans="1:60" ht="26.25" hidden="1" customHeight="1" x14ac:dyDescent="0.3">
      <c r="A1" s="49" t="s">
        <v>227</v>
      </c>
      <c r="B1" s="106"/>
      <c r="C1" s="106"/>
      <c r="D1" s="109"/>
      <c r="E1" s="109"/>
      <c r="F1" s="109"/>
      <c r="G1" s="109"/>
      <c r="H1" s="109"/>
      <c r="I1" s="109"/>
      <c r="J1" s="109"/>
      <c r="K1" s="137" t="s">
        <v>228</v>
      </c>
      <c r="L1" s="138"/>
      <c r="M1" s="139"/>
      <c r="N1" s="140"/>
      <c r="O1" s="141"/>
      <c r="P1" s="141"/>
      <c r="Q1" s="208"/>
      <c r="R1" s="209"/>
      <c r="S1" s="208"/>
      <c r="T1" s="109"/>
      <c r="U1" s="48"/>
      <c r="V1" s="109"/>
      <c r="W1" s="109"/>
      <c r="X1" s="109"/>
      <c r="Y1" s="48"/>
      <c r="Z1" s="48"/>
      <c r="AA1" s="206"/>
      <c r="AB1" s="206"/>
      <c r="AC1" s="7" t="s">
        <v>229</v>
      </c>
      <c r="AD1" s="102"/>
      <c r="AE1" s="102"/>
      <c r="AF1" s="10"/>
      <c r="AG1" s="10"/>
      <c r="AH1" s="10"/>
      <c r="AI1" s="10"/>
      <c r="AJ1" s="10"/>
      <c r="AK1" s="10"/>
      <c r="AL1" s="10"/>
      <c r="AM1" s="135"/>
      <c r="AN1" s="10"/>
      <c r="AO1" s="10"/>
      <c r="AP1" s="11"/>
      <c r="AQ1" s="10"/>
      <c r="AR1" s="10"/>
      <c r="AS1" s="11"/>
      <c r="AT1" s="10"/>
      <c r="AU1" s="10"/>
      <c r="AV1" s="11"/>
      <c r="AW1" s="10"/>
      <c r="AX1" s="10"/>
      <c r="AY1" s="11"/>
      <c r="AZ1" s="10"/>
      <c r="BA1" s="10"/>
      <c r="BB1" s="10"/>
      <c r="BC1" s="98"/>
      <c r="BD1" s="98"/>
    </row>
    <row r="2" spans="1:60" s="20" customFormat="1" ht="168" customHeight="1" x14ac:dyDescent="0.2">
      <c r="A2" s="310" t="s">
        <v>58</v>
      </c>
      <c r="B2" s="317" t="s">
        <v>230</v>
      </c>
      <c r="C2" s="318" t="s">
        <v>231</v>
      </c>
      <c r="D2" s="319" t="s">
        <v>232</v>
      </c>
      <c r="E2" s="150" t="s">
        <v>233</v>
      </c>
      <c r="F2" s="349" t="s">
        <v>234</v>
      </c>
      <c r="G2" s="349" t="s">
        <v>235</v>
      </c>
      <c r="H2" s="349" t="s">
        <v>236</v>
      </c>
      <c r="I2" s="349" t="s">
        <v>237</v>
      </c>
      <c r="J2" s="349" t="s">
        <v>238</v>
      </c>
      <c r="K2" s="112" t="s">
        <v>239</v>
      </c>
      <c r="L2" s="150" t="s">
        <v>240</v>
      </c>
      <c r="M2" s="178" t="s">
        <v>241</v>
      </c>
      <c r="N2" s="179" t="s">
        <v>242</v>
      </c>
      <c r="O2" s="175" t="s">
        <v>243</v>
      </c>
      <c r="P2" s="179" t="s">
        <v>244</v>
      </c>
      <c r="Q2" s="175" t="s">
        <v>245</v>
      </c>
      <c r="R2" s="179" t="s">
        <v>246</v>
      </c>
      <c r="S2" s="175" t="s">
        <v>247</v>
      </c>
      <c r="T2" s="179" t="s">
        <v>248</v>
      </c>
      <c r="U2" s="175" t="s">
        <v>249</v>
      </c>
      <c r="V2" s="150" t="s">
        <v>250</v>
      </c>
      <c r="W2" s="150" t="s">
        <v>251</v>
      </c>
      <c r="X2" s="175" t="s">
        <v>252</v>
      </c>
      <c r="Y2" s="175" t="s">
        <v>253</v>
      </c>
      <c r="Z2" s="175" t="s">
        <v>254</v>
      </c>
      <c r="AA2" s="175" t="s">
        <v>255</v>
      </c>
      <c r="AB2" s="207"/>
      <c r="AC2" s="175" t="s">
        <v>256</v>
      </c>
      <c r="AD2" s="176" t="s">
        <v>230</v>
      </c>
      <c r="AE2" s="177" t="s">
        <v>231</v>
      </c>
      <c r="AF2" s="112" t="s">
        <v>232</v>
      </c>
      <c r="AG2" s="150" t="s">
        <v>233</v>
      </c>
      <c r="AH2" s="150" t="s">
        <v>234</v>
      </c>
      <c r="AI2" s="150" t="s">
        <v>235</v>
      </c>
      <c r="AJ2" s="150" t="s">
        <v>236</v>
      </c>
      <c r="AK2" s="150" t="s">
        <v>237</v>
      </c>
      <c r="AL2" s="150" t="s">
        <v>238</v>
      </c>
      <c r="AM2" s="178" t="s">
        <v>241</v>
      </c>
      <c r="AN2" s="210" t="s">
        <v>257</v>
      </c>
      <c r="AO2" s="210" t="s">
        <v>258</v>
      </c>
      <c r="AP2" s="175" t="s">
        <v>243</v>
      </c>
      <c r="AQ2" s="210" t="s">
        <v>259</v>
      </c>
      <c r="AR2" s="210" t="s">
        <v>260</v>
      </c>
      <c r="AS2" s="175" t="s">
        <v>245</v>
      </c>
      <c r="AT2" s="210" t="s">
        <v>261</v>
      </c>
      <c r="AU2" s="210" t="s">
        <v>262</v>
      </c>
      <c r="AV2" s="175" t="s">
        <v>247</v>
      </c>
      <c r="AW2" s="210" t="s">
        <v>263</v>
      </c>
      <c r="AX2" s="210" t="s">
        <v>264</v>
      </c>
      <c r="AY2" s="175" t="s">
        <v>249</v>
      </c>
      <c r="AZ2" s="211" t="s">
        <v>265</v>
      </c>
      <c r="BA2" s="175" t="s">
        <v>266</v>
      </c>
      <c r="BB2" s="175" t="s">
        <v>251</v>
      </c>
      <c r="BC2" s="175" t="s">
        <v>252</v>
      </c>
      <c r="BD2" s="175" t="s">
        <v>253</v>
      </c>
      <c r="BE2" s="175" t="s">
        <v>254</v>
      </c>
    </row>
    <row r="3" spans="1:60" ht="15" customHeight="1" x14ac:dyDescent="0.2">
      <c r="A3" s="320">
        <v>41</v>
      </c>
      <c r="B3" s="330">
        <v>46168</v>
      </c>
      <c r="C3" s="327">
        <v>46169</v>
      </c>
      <c r="D3" s="323">
        <v>1</v>
      </c>
      <c r="E3" s="345">
        <f t="shared" ref="E3:F3" si="0">AG7</f>
        <v>278</v>
      </c>
      <c r="F3" s="333">
        <f t="shared" si="0"/>
        <v>278</v>
      </c>
      <c r="G3" s="334">
        <f>AI7</f>
        <v>244</v>
      </c>
      <c r="H3" s="334">
        <f>AJ7</f>
        <v>0</v>
      </c>
      <c r="I3" s="334">
        <f>AK7</f>
        <v>8</v>
      </c>
      <c r="J3" s="335">
        <f>AL7</f>
        <v>1</v>
      </c>
      <c r="K3" s="312">
        <f>BA7</f>
        <v>0</v>
      </c>
      <c r="L3" s="184">
        <f>SUM(H3:K3)</f>
        <v>9</v>
      </c>
      <c r="M3" s="185">
        <f>L3/E3</f>
        <v>3.237410071942446E-2</v>
      </c>
      <c r="N3" s="186">
        <f>AN7+AO7</f>
        <v>33</v>
      </c>
      <c r="O3" s="187">
        <f t="shared" ref="O3:O22" si="1">N3/G3</f>
        <v>0.13524590163934427</v>
      </c>
      <c r="P3" s="186">
        <f>SUM(AQ7:AR7)</f>
        <v>3</v>
      </c>
      <c r="Q3" s="187">
        <f>P3/G3</f>
        <v>1.2295081967213115E-2</v>
      </c>
      <c r="R3" s="186">
        <f>SUM(AT7:AU7)</f>
        <v>0</v>
      </c>
      <c r="S3" s="187">
        <f t="shared" ref="S3:S22" si="2">R3/G3</f>
        <v>0</v>
      </c>
      <c r="T3" s="186">
        <f>SUM(AW7:AX7)</f>
        <v>0</v>
      </c>
      <c r="U3" s="187">
        <f t="shared" ref="U3:U22" si="3">T3/G3</f>
        <v>0</v>
      </c>
      <c r="V3" s="184">
        <f>AZ7</f>
        <v>36</v>
      </c>
      <c r="W3" s="184">
        <f>BB7</f>
        <v>36</v>
      </c>
      <c r="X3" s="187">
        <f t="shared" ref="X3:X22" si="4">(W3+1)/(G3+1)</f>
        <v>0.15102040816326531</v>
      </c>
      <c r="Y3" s="188" t="s">
        <v>283</v>
      </c>
      <c r="Z3" s="188" t="s">
        <v>268</v>
      </c>
      <c r="AA3" s="195" t="s">
        <v>342</v>
      </c>
      <c r="AB3" s="207"/>
      <c r="AC3" s="212" t="s">
        <v>322</v>
      </c>
      <c r="AD3" s="15"/>
      <c r="AE3" s="23"/>
      <c r="AF3" s="16"/>
      <c r="AG3" s="15"/>
      <c r="AH3" s="15"/>
      <c r="AI3" s="15"/>
      <c r="AJ3" s="15"/>
      <c r="AK3" s="15"/>
      <c r="AL3" s="22"/>
      <c r="AM3" s="213"/>
      <c r="AN3" s="23"/>
      <c r="AO3" s="23"/>
      <c r="AP3" s="7"/>
      <c r="AQ3" s="15"/>
      <c r="AR3" s="15"/>
      <c r="AS3" s="7"/>
      <c r="AT3" s="15"/>
      <c r="AU3" s="15"/>
      <c r="AV3" s="7"/>
      <c r="AW3" s="15"/>
      <c r="AX3" s="15"/>
      <c r="AY3" s="214"/>
      <c r="AZ3" s="215"/>
      <c r="BA3" s="10"/>
      <c r="BB3" s="7"/>
      <c r="BC3" s="7"/>
      <c r="BD3" s="7"/>
      <c r="BE3" s="7"/>
      <c r="BH3" s="17"/>
    </row>
    <row r="4" spans="1:60" ht="15" customHeight="1" x14ac:dyDescent="0.2">
      <c r="A4" s="321">
        <v>42</v>
      </c>
      <c r="B4" s="331"/>
      <c r="C4" s="328"/>
      <c r="D4" s="324"/>
      <c r="E4" s="346">
        <f t="shared" ref="E4:J4" si="5">AG12</f>
        <v>255</v>
      </c>
      <c r="F4" s="336">
        <f t="shared" si="5"/>
        <v>255</v>
      </c>
      <c r="G4" s="192">
        <f t="shared" si="5"/>
        <v>0</v>
      </c>
      <c r="H4" s="192">
        <f t="shared" si="5"/>
        <v>0</v>
      </c>
      <c r="I4" s="192">
        <f t="shared" si="5"/>
        <v>29</v>
      </c>
      <c r="J4" s="337">
        <f t="shared" si="5"/>
        <v>0</v>
      </c>
      <c r="K4" s="313">
        <f>BA12</f>
        <v>0</v>
      </c>
      <c r="L4" s="184">
        <f t="shared" ref="L4:L21" si="6">SUM(H4:K4)</f>
        <v>29</v>
      </c>
      <c r="M4" s="193">
        <f>L4/E4</f>
        <v>0.11372549019607843</v>
      </c>
      <c r="N4" s="292">
        <f>AO12+AN12</f>
        <v>0</v>
      </c>
      <c r="O4" s="194" t="e">
        <f t="shared" si="1"/>
        <v>#DIV/0!</v>
      </c>
      <c r="P4" s="184">
        <f>SUM(AQ12:AR12)</f>
        <v>0</v>
      </c>
      <c r="Q4" s="194" t="e">
        <f t="shared" ref="Q4:Q22" si="7">P4/G4</f>
        <v>#DIV/0!</v>
      </c>
      <c r="R4" s="184">
        <f>SUM(AT12:AU12)</f>
        <v>0</v>
      </c>
      <c r="S4" s="194" t="e">
        <f t="shared" si="2"/>
        <v>#DIV/0!</v>
      </c>
      <c r="T4" s="184">
        <f>SUM(AW12:AX12)</f>
        <v>0</v>
      </c>
      <c r="U4" s="194" t="e">
        <f t="shared" si="3"/>
        <v>#DIV/0!</v>
      </c>
      <c r="V4" s="184">
        <f>AZ12</f>
        <v>0</v>
      </c>
      <c r="W4" s="184">
        <f>BB12</f>
        <v>0</v>
      </c>
      <c r="X4" s="194">
        <f t="shared" si="4"/>
        <v>1</v>
      </c>
      <c r="Y4" s="188"/>
      <c r="Z4" s="195"/>
      <c r="AA4" s="195" t="s">
        <v>342</v>
      </c>
      <c r="AB4" s="207"/>
      <c r="AC4" s="216" t="s">
        <v>271</v>
      </c>
      <c r="AD4" s="217"/>
      <c r="AE4" s="217"/>
      <c r="AF4" s="218"/>
      <c r="AG4" s="218"/>
      <c r="AH4" s="219"/>
      <c r="AI4" s="218"/>
      <c r="AJ4" s="218"/>
      <c r="AK4" s="218"/>
      <c r="AL4" s="218"/>
      <c r="AM4" s="220" t="e">
        <f>SUM(AJ4:AL4)/AH4</f>
        <v>#DIV/0!</v>
      </c>
      <c r="AN4" s="218"/>
      <c r="AO4" s="218"/>
      <c r="AP4" s="221" t="e">
        <f>SUM(AN4:AO4)/AI4</f>
        <v>#DIV/0!</v>
      </c>
      <c r="AQ4" s="218"/>
      <c r="AR4" s="218"/>
      <c r="AS4" s="221" t="e">
        <f>(AQ4+AR4)/$AG4</f>
        <v>#DIV/0!</v>
      </c>
      <c r="AT4" s="218"/>
      <c r="AU4" s="218"/>
      <c r="AV4" s="221" t="e">
        <f>(AT4+AU4)/$AG4</f>
        <v>#DIV/0!</v>
      </c>
      <c r="AW4" s="218"/>
      <c r="AX4" s="218"/>
      <c r="AY4" s="221" t="e">
        <f>(AW4+AX4)/$AG4</f>
        <v>#DIV/0!</v>
      </c>
      <c r="AZ4" s="222">
        <f>SUM(AN4,AQ4,AT4,AW4)</f>
        <v>0</v>
      </c>
      <c r="BA4" s="222">
        <f>SUM(AO4,AR4,AU4,AX4)</f>
        <v>0</v>
      </c>
      <c r="BB4" s="222">
        <f>SUM(AZ4:BA4)</f>
        <v>0</v>
      </c>
      <c r="BC4" s="221">
        <f>(BB4+1)/(AI4+1)</f>
        <v>1</v>
      </c>
      <c r="BD4" s="223"/>
      <c r="BE4" s="223"/>
      <c r="BH4" s="17"/>
    </row>
    <row r="5" spans="1:60" ht="15" customHeight="1" x14ac:dyDescent="0.2">
      <c r="A5" s="321">
        <v>43</v>
      </c>
      <c r="B5" s="331"/>
      <c r="C5" s="328"/>
      <c r="D5" s="324"/>
      <c r="E5" s="346">
        <f t="shared" ref="E5:J5" si="8">AG17</f>
        <v>248</v>
      </c>
      <c r="F5" s="336">
        <f t="shared" si="8"/>
        <v>248</v>
      </c>
      <c r="G5" s="192">
        <f t="shared" si="8"/>
        <v>0</v>
      </c>
      <c r="H5" s="192">
        <f t="shared" si="8"/>
        <v>0</v>
      </c>
      <c r="I5" s="192">
        <f t="shared" si="8"/>
        <v>6</v>
      </c>
      <c r="J5" s="337">
        <f t="shared" si="8"/>
        <v>0</v>
      </c>
      <c r="K5" s="313">
        <f>BA17</f>
        <v>0</v>
      </c>
      <c r="L5" s="184">
        <f t="shared" si="6"/>
        <v>6</v>
      </c>
      <c r="M5" s="193">
        <f>L5/E5</f>
        <v>2.4193548387096774E-2</v>
      </c>
      <c r="N5" s="184">
        <f>AN17+AO17</f>
        <v>0</v>
      </c>
      <c r="O5" s="194" t="e">
        <f t="shared" si="1"/>
        <v>#DIV/0!</v>
      </c>
      <c r="P5" s="184">
        <f>SUM(AQ17:AR17)</f>
        <v>0</v>
      </c>
      <c r="Q5" s="194" t="e">
        <f t="shared" si="7"/>
        <v>#DIV/0!</v>
      </c>
      <c r="R5" s="184">
        <f>SUM(AT17:AU17)</f>
        <v>0</v>
      </c>
      <c r="S5" s="194" t="e">
        <f t="shared" si="2"/>
        <v>#DIV/0!</v>
      </c>
      <c r="T5" s="184">
        <f>SUM(AW17:AX17)</f>
        <v>0</v>
      </c>
      <c r="U5" s="194" t="e">
        <f t="shared" si="3"/>
        <v>#DIV/0!</v>
      </c>
      <c r="V5" s="184">
        <f>AZ17</f>
        <v>0</v>
      </c>
      <c r="W5" s="184">
        <f>BB17</f>
        <v>0</v>
      </c>
      <c r="X5" s="194">
        <f t="shared" si="4"/>
        <v>1</v>
      </c>
      <c r="Y5" s="188"/>
      <c r="Z5" s="195"/>
      <c r="AA5" s="195" t="s">
        <v>342</v>
      </c>
      <c r="AB5" s="207"/>
      <c r="AC5" s="224" t="s">
        <v>273</v>
      </c>
      <c r="AD5" s="225"/>
      <c r="AE5" s="225"/>
      <c r="AF5" s="226"/>
      <c r="AG5" s="226"/>
      <c r="AH5" s="227"/>
      <c r="AI5" s="226"/>
      <c r="AJ5" s="226"/>
      <c r="AK5" s="226"/>
      <c r="AL5" s="226"/>
      <c r="AM5" s="228" t="e">
        <f t="shared" ref="AM5:AM6" si="9">SUM(AJ5:AL5)/AH5</f>
        <v>#DIV/0!</v>
      </c>
      <c r="AN5" s="226"/>
      <c r="AO5" s="226"/>
      <c r="AP5" s="229" t="e">
        <f t="shared" ref="AP5:AP6" si="10">SUM(AN5:AO5)/AI5</f>
        <v>#DIV/0!</v>
      </c>
      <c r="AQ5" s="226"/>
      <c r="AR5" s="226"/>
      <c r="AS5" s="229" t="e">
        <f t="shared" ref="AS5:AS6" si="11">(AQ5+AR5)/$AG5</f>
        <v>#DIV/0!</v>
      </c>
      <c r="AT5" s="226"/>
      <c r="AU5" s="226"/>
      <c r="AV5" s="229" t="e">
        <f t="shared" ref="AV5:AV6" si="12">(AT5+AU5)/$AG5</f>
        <v>#DIV/0!</v>
      </c>
      <c r="AW5" s="226"/>
      <c r="AX5" s="226"/>
      <c r="AY5" s="229" t="e">
        <f t="shared" ref="AY5:AY6" si="13">(AW5+AX5)/$AG5</f>
        <v>#DIV/0!</v>
      </c>
      <c r="AZ5" s="230">
        <f t="shared" ref="AZ5:BA6" si="14">SUM(AN5,AQ5,AT5,AW5)</f>
        <v>0</v>
      </c>
      <c r="BA5" s="230">
        <f t="shared" si="14"/>
        <v>0</v>
      </c>
      <c r="BB5" s="230">
        <f t="shared" ref="BB5:BB6" si="15">SUM(AZ5:BA5)</f>
        <v>0</v>
      </c>
      <c r="BC5" s="229">
        <f t="shared" ref="BC5:BC6" si="16">(BB5+1)/(AI5+1)</f>
        <v>1</v>
      </c>
      <c r="BD5" s="231"/>
      <c r="BE5" s="231"/>
      <c r="BH5" s="17"/>
    </row>
    <row r="6" spans="1:60" ht="15" customHeight="1" x14ac:dyDescent="0.2">
      <c r="A6" s="321">
        <v>44</v>
      </c>
      <c r="B6" s="331"/>
      <c r="C6" s="328"/>
      <c r="D6" s="324"/>
      <c r="E6" s="346">
        <f t="shared" ref="E6:J6" si="17">AG22</f>
        <v>0</v>
      </c>
      <c r="F6" s="336">
        <f t="shared" si="17"/>
        <v>0</v>
      </c>
      <c r="G6" s="192">
        <f t="shared" si="17"/>
        <v>0</v>
      </c>
      <c r="H6" s="192">
        <f t="shared" si="17"/>
        <v>0</v>
      </c>
      <c r="I6" s="192">
        <f t="shared" si="17"/>
        <v>0</v>
      </c>
      <c r="J6" s="337">
        <f t="shared" si="17"/>
        <v>0</v>
      </c>
      <c r="K6" s="313">
        <f>BA22</f>
        <v>0</v>
      </c>
      <c r="L6" s="184">
        <f t="shared" si="6"/>
        <v>0</v>
      </c>
      <c r="M6" s="193" t="e">
        <f>L6/E6</f>
        <v>#DIV/0!</v>
      </c>
      <c r="N6" s="184">
        <f>AN22+AO22</f>
        <v>0</v>
      </c>
      <c r="O6" s="194" t="e">
        <f t="shared" si="1"/>
        <v>#DIV/0!</v>
      </c>
      <c r="P6" s="184">
        <f>SUM(AQ22:AR22)</f>
        <v>0</v>
      </c>
      <c r="Q6" s="194" t="e">
        <f t="shared" si="7"/>
        <v>#DIV/0!</v>
      </c>
      <c r="R6" s="184">
        <f>SUM(AT22:AU22)</f>
        <v>0</v>
      </c>
      <c r="S6" s="194" t="e">
        <f t="shared" si="2"/>
        <v>#DIV/0!</v>
      </c>
      <c r="T6" s="184">
        <f>SUM(AW22:AX22)</f>
        <v>0</v>
      </c>
      <c r="U6" s="194" t="e">
        <f t="shared" si="3"/>
        <v>#DIV/0!</v>
      </c>
      <c r="V6" s="184">
        <f>AZ22</f>
        <v>0</v>
      </c>
      <c r="W6" s="184">
        <f>BB22</f>
        <v>0</v>
      </c>
      <c r="X6" s="194">
        <f t="shared" si="4"/>
        <v>1</v>
      </c>
      <c r="Y6" s="195"/>
      <c r="Z6" s="195"/>
      <c r="AA6" s="195" t="s">
        <v>342</v>
      </c>
      <c r="AB6" s="207"/>
      <c r="AC6" s="232" t="s">
        <v>275</v>
      </c>
      <c r="AD6" s="233">
        <v>46168</v>
      </c>
      <c r="AE6" s="233">
        <v>46169</v>
      </c>
      <c r="AF6" s="234">
        <v>1</v>
      </c>
      <c r="AG6" s="234">
        <v>278</v>
      </c>
      <c r="AH6" s="235">
        <v>278</v>
      </c>
      <c r="AI6" s="234">
        <v>244</v>
      </c>
      <c r="AJ6" s="234">
        <v>0</v>
      </c>
      <c r="AK6" s="234">
        <v>8</v>
      </c>
      <c r="AL6" s="234">
        <v>1</v>
      </c>
      <c r="AM6" s="236">
        <f t="shared" si="9"/>
        <v>3.237410071942446E-2</v>
      </c>
      <c r="AN6" s="234">
        <v>33</v>
      </c>
      <c r="AO6" s="234">
        <v>0</v>
      </c>
      <c r="AP6" s="237">
        <f t="shared" si="10"/>
        <v>0.13524590163934427</v>
      </c>
      <c r="AQ6" s="234">
        <v>3</v>
      </c>
      <c r="AR6" s="234">
        <v>0</v>
      </c>
      <c r="AS6" s="237">
        <f t="shared" si="11"/>
        <v>1.0791366906474821E-2</v>
      </c>
      <c r="AT6" s="234">
        <v>0</v>
      </c>
      <c r="AU6" s="234">
        <v>0</v>
      </c>
      <c r="AV6" s="237">
        <f t="shared" si="12"/>
        <v>0</v>
      </c>
      <c r="AW6" s="234">
        <v>0</v>
      </c>
      <c r="AX6" s="234">
        <v>0</v>
      </c>
      <c r="AY6" s="237">
        <f t="shared" si="13"/>
        <v>0</v>
      </c>
      <c r="AZ6" s="238">
        <f t="shared" si="14"/>
        <v>36</v>
      </c>
      <c r="BA6" s="238">
        <f t="shared" si="14"/>
        <v>0</v>
      </c>
      <c r="BB6" s="238">
        <f t="shared" si="15"/>
        <v>36</v>
      </c>
      <c r="BC6" s="237">
        <f t="shared" si="16"/>
        <v>0.15102040816326531</v>
      </c>
      <c r="BD6" s="239"/>
      <c r="BE6" s="239"/>
      <c r="BH6" s="17"/>
    </row>
    <row r="7" spans="1:60" ht="15" customHeight="1" x14ac:dyDescent="0.2">
      <c r="A7" s="321">
        <v>45</v>
      </c>
      <c r="B7" s="331"/>
      <c r="C7" s="328"/>
      <c r="D7" s="325"/>
      <c r="E7" s="192">
        <f t="shared" ref="E7:J7" si="18">AG27</f>
        <v>0</v>
      </c>
      <c r="F7" s="336">
        <f t="shared" si="18"/>
        <v>0</v>
      </c>
      <c r="G7" s="192">
        <f t="shared" si="18"/>
        <v>0</v>
      </c>
      <c r="H7" s="192">
        <f t="shared" si="18"/>
        <v>0</v>
      </c>
      <c r="I7" s="192">
        <f t="shared" si="18"/>
        <v>0</v>
      </c>
      <c r="J7" s="337">
        <f t="shared" si="18"/>
        <v>0</v>
      </c>
      <c r="K7" s="313">
        <f>BA27</f>
        <v>0</v>
      </c>
      <c r="L7" s="184">
        <f t="shared" si="6"/>
        <v>0</v>
      </c>
      <c r="M7" s="193" t="e">
        <f t="shared" ref="M7:M22" si="19">L7/E7</f>
        <v>#DIV/0!</v>
      </c>
      <c r="N7" s="184">
        <f>AN27+AO27</f>
        <v>0</v>
      </c>
      <c r="O7" s="194" t="e">
        <f t="shared" si="1"/>
        <v>#DIV/0!</v>
      </c>
      <c r="P7" s="184">
        <f>SUM(AQ27:AR27)</f>
        <v>0</v>
      </c>
      <c r="Q7" s="194" t="e">
        <f t="shared" si="7"/>
        <v>#DIV/0!</v>
      </c>
      <c r="R7" s="184">
        <f>SUM(AT27:AU27)</f>
        <v>0</v>
      </c>
      <c r="S7" s="194" t="e">
        <f t="shared" si="2"/>
        <v>#DIV/0!</v>
      </c>
      <c r="T7" s="184">
        <f>SUM(AW27:AX27)</f>
        <v>0</v>
      </c>
      <c r="U7" s="194" t="e">
        <f t="shared" si="3"/>
        <v>#DIV/0!</v>
      </c>
      <c r="V7" s="184">
        <f>AZ27</f>
        <v>0</v>
      </c>
      <c r="W7" s="184">
        <f>BB27</f>
        <v>0</v>
      </c>
      <c r="X7" s="194">
        <f t="shared" si="4"/>
        <v>1</v>
      </c>
      <c r="Y7" s="195"/>
      <c r="Z7" s="195"/>
      <c r="AA7" s="195" t="s">
        <v>342</v>
      </c>
      <c r="AB7" s="207"/>
      <c r="AC7" s="7"/>
      <c r="AG7" s="240">
        <f>SUM(AG4:AG6)</f>
        <v>278</v>
      </c>
      <c r="AH7" s="240">
        <f>SUM(AH4:AH6)</f>
        <v>278</v>
      </c>
      <c r="AI7" s="240">
        <f t="shared" ref="AI7:AL7" si="20">SUM(AI4:AI6)</f>
        <v>244</v>
      </c>
      <c r="AJ7" s="240">
        <f t="shared" si="20"/>
        <v>0</v>
      </c>
      <c r="AK7" s="240">
        <f t="shared" si="20"/>
        <v>8</v>
      </c>
      <c r="AL7" s="240">
        <f t="shared" si="20"/>
        <v>1</v>
      </c>
      <c r="AM7" s="135"/>
      <c r="AN7" s="240">
        <f>SUM(AN4:AN6)</f>
        <v>33</v>
      </c>
      <c r="AO7" s="240">
        <f>SUM(AO4:AO6)</f>
        <v>0</v>
      </c>
      <c r="AP7" s="241"/>
      <c r="AQ7" s="240">
        <f>SUM(AQ4:AQ6)</f>
        <v>3</v>
      </c>
      <c r="AR7" s="240">
        <f>SUM(AR4:AR6)</f>
        <v>0</v>
      </c>
      <c r="AS7" s="241">
        <f ca="1">SUM(AS7:AT7)</f>
        <v>0</v>
      </c>
      <c r="AT7" s="240">
        <f>SUM(AT4:AT6)</f>
        <v>0</v>
      </c>
      <c r="AU7" s="240">
        <f>SUM(AU4:AU6)</f>
        <v>0</v>
      </c>
      <c r="AV7" s="241"/>
      <c r="AW7" s="240">
        <f>SUM(AW4:AW6)</f>
        <v>0</v>
      </c>
      <c r="AX7" s="240">
        <f>SUM(AX4:AX6)</f>
        <v>0</v>
      </c>
      <c r="AY7" s="241"/>
      <c r="AZ7" s="240">
        <f>SUM(AZ4:AZ6)</f>
        <v>36</v>
      </c>
      <c r="BA7" s="240">
        <f>SUM(BA4:BA6)</f>
        <v>0</v>
      </c>
      <c r="BB7" s="240">
        <f>SUM(AZ7:BA7)</f>
        <v>36</v>
      </c>
      <c r="BC7" s="242">
        <f>(BB7+1)/(AI7+1)</f>
        <v>0.15102040816326531</v>
      </c>
      <c r="BD7" s="98"/>
      <c r="BE7" s="98"/>
      <c r="BH7" s="17"/>
    </row>
    <row r="8" spans="1:60" ht="12.75" x14ac:dyDescent="0.2">
      <c r="A8" s="321">
        <v>46</v>
      </c>
      <c r="B8" s="331"/>
      <c r="C8" s="328"/>
      <c r="D8" s="325"/>
      <c r="E8" s="192">
        <f>AG32</f>
        <v>0</v>
      </c>
      <c r="F8" s="338">
        <f t="shared" ref="F8:J8" si="21">AH32</f>
        <v>0</v>
      </c>
      <c r="G8" s="184">
        <f t="shared" si="21"/>
        <v>0</v>
      </c>
      <c r="H8" s="192">
        <f t="shared" ref="H8" si="22">AJ24</f>
        <v>0</v>
      </c>
      <c r="I8" s="184">
        <f t="shared" si="21"/>
        <v>0</v>
      </c>
      <c r="J8" s="339">
        <f t="shared" si="21"/>
        <v>0</v>
      </c>
      <c r="K8" s="314">
        <f>BA32</f>
        <v>0</v>
      </c>
      <c r="L8" s="184">
        <f t="shared" si="6"/>
        <v>0</v>
      </c>
      <c r="M8" s="193" t="e">
        <f t="shared" si="19"/>
        <v>#DIV/0!</v>
      </c>
      <c r="N8" s="184">
        <f>AN32+AO32</f>
        <v>0</v>
      </c>
      <c r="O8" s="194" t="e">
        <f t="shared" si="1"/>
        <v>#DIV/0!</v>
      </c>
      <c r="P8" s="184">
        <f>SUM(AQ32:AR32)</f>
        <v>0</v>
      </c>
      <c r="Q8" s="194" t="e">
        <f t="shared" si="7"/>
        <v>#DIV/0!</v>
      </c>
      <c r="R8" s="184">
        <f>SUM(AT32:AU32)</f>
        <v>0</v>
      </c>
      <c r="S8" s="194" t="e">
        <f t="shared" si="2"/>
        <v>#DIV/0!</v>
      </c>
      <c r="T8" s="184">
        <f>SUM(AW32:AX32)</f>
        <v>0</v>
      </c>
      <c r="U8" s="194" t="e">
        <f t="shared" si="3"/>
        <v>#DIV/0!</v>
      </c>
      <c r="V8" s="184">
        <f>AZ32</f>
        <v>0</v>
      </c>
      <c r="W8" s="184">
        <f>BB32</f>
        <v>0</v>
      </c>
      <c r="X8" s="194">
        <f t="shared" si="4"/>
        <v>1</v>
      </c>
      <c r="Y8" s="195"/>
      <c r="Z8" s="195"/>
      <c r="AA8" s="195" t="s">
        <v>342</v>
      </c>
      <c r="AB8" s="207"/>
      <c r="AC8" s="212" t="s">
        <v>323</v>
      </c>
      <c r="AD8" s="15"/>
      <c r="AE8" s="23"/>
      <c r="AF8" s="16"/>
      <c r="AG8" s="15"/>
      <c r="AH8" s="15"/>
      <c r="AI8" s="15"/>
      <c r="AJ8" s="15"/>
      <c r="AK8" s="15"/>
      <c r="AL8" s="22"/>
      <c r="AM8" s="213"/>
      <c r="AN8" s="23"/>
      <c r="AO8" s="23"/>
      <c r="AP8" s="7"/>
      <c r="AQ8" s="15"/>
      <c r="AR8" s="15"/>
      <c r="AS8" s="7"/>
      <c r="AT8" s="15"/>
      <c r="AU8" s="15"/>
      <c r="AV8" s="7"/>
      <c r="AW8" s="15"/>
      <c r="AX8" s="15"/>
      <c r="AY8" s="214"/>
      <c r="AZ8" s="215"/>
      <c r="BA8" s="10"/>
      <c r="BB8" s="7"/>
      <c r="BC8" s="7"/>
      <c r="BD8" s="7"/>
      <c r="BE8" s="7"/>
      <c r="BH8" s="17"/>
    </row>
    <row r="9" spans="1:60" ht="12.75" x14ac:dyDescent="0.2">
      <c r="A9" s="321">
        <v>47</v>
      </c>
      <c r="B9" s="331"/>
      <c r="C9" s="328"/>
      <c r="D9" s="325"/>
      <c r="E9" s="347">
        <f>AG37</f>
        <v>0</v>
      </c>
      <c r="F9" s="340">
        <f t="shared" ref="F9:J9" si="23">AH37</f>
        <v>0</v>
      </c>
      <c r="G9" s="197">
        <f t="shared" si="23"/>
        <v>0</v>
      </c>
      <c r="H9" s="197">
        <f t="shared" si="23"/>
        <v>0</v>
      </c>
      <c r="I9" s="197">
        <f t="shared" si="23"/>
        <v>0</v>
      </c>
      <c r="J9" s="341">
        <f t="shared" si="23"/>
        <v>0</v>
      </c>
      <c r="K9" s="315">
        <f>BA37</f>
        <v>0</v>
      </c>
      <c r="L9" s="184">
        <f t="shared" si="6"/>
        <v>0</v>
      </c>
      <c r="M9" s="193" t="e">
        <f t="shared" si="19"/>
        <v>#DIV/0!</v>
      </c>
      <c r="N9" s="184">
        <f>AN37+AO37</f>
        <v>0</v>
      </c>
      <c r="O9" s="194" t="e">
        <f t="shared" si="1"/>
        <v>#DIV/0!</v>
      </c>
      <c r="P9" s="184">
        <f>SUM(AQ37:AR37)</f>
        <v>0</v>
      </c>
      <c r="Q9" s="194" t="e">
        <f t="shared" si="7"/>
        <v>#DIV/0!</v>
      </c>
      <c r="R9" s="184">
        <f>SUM(AT37:AU37)</f>
        <v>0</v>
      </c>
      <c r="S9" s="194" t="e">
        <f t="shared" si="2"/>
        <v>#DIV/0!</v>
      </c>
      <c r="T9" s="184">
        <f>SUM(AW37:AX37)</f>
        <v>0</v>
      </c>
      <c r="U9" s="194" t="e">
        <f t="shared" si="3"/>
        <v>#DIV/0!</v>
      </c>
      <c r="V9" s="184">
        <f>AZ37</f>
        <v>0</v>
      </c>
      <c r="W9" s="184">
        <f>BB37</f>
        <v>0</v>
      </c>
      <c r="X9" s="194">
        <f t="shared" si="4"/>
        <v>1</v>
      </c>
      <c r="Y9" s="195"/>
      <c r="Z9" s="195"/>
      <c r="AA9" s="195" t="s">
        <v>342</v>
      </c>
      <c r="AB9" s="207"/>
      <c r="AC9" s="216" t="s">
        <v>271</v>
      </c>
      <c r="AD9" s="217"/>
      <c r="AE9" s="217"/>
      <c r="AF9" s="218"/>
      <c r="AG9" s="218"/>
      <c r="AH9" s="219"/>
      <c r="AI9" s="218"/>
      <c r="AJ9" s="218"/>
      <c r="AK9" s="218"/>
      <c r="AL9" s="218"/>
      <c r="AM9" s="220" t="e">
        <f>SUM(AJ9:AL9)/AH9</f>
        <v>#DIV/0!</v>
      </c>
      <c r="AN9" s="218"/>
      <c r="AO9" s="218"/>
      <c r="AP9" s="221" t="e">
        <f>SUM(AN9:AO9)/AI9</f>
        <v>#DIV/0!</v>
      </c>
      <c r="AQ9" s="218"/>
      <c r="AR9" s="218"/>
      <c r="AS9" s="221" t="e">
        <f>(AQ9+AR9)/$AG9</f>
        <v>#DIV/0!</v>
      </c>
      <c r="AT9" s="218"/>
      <c r="AU9" s="218"/>
      <c r="AV9" s="221" t="e">
        <f>(AT9+AU9)/$AG9</f>
        <v>#DIV/0!</v>
      </c>
      <c r="AW9" s="218"/>
      <c r="AX9" s="218"/>
      <c r="AY9" s="221" t="e">
        <f>(AW9+AX9)/$AG9</f>
        <v>#DIV/0!</v>
      </c>
      <c r="AZ9" s="222">
        <f>SUM(AN9,AQ9,AT9,AW9)</f>
        <v>0</v>
      </c>
      <c r="BA9" s="222">
        <f>SUM(AO9,AR9,AU9,AX9)</f>
        <v>0</v>
      </c>
      <c r="BB9" s="222">
        <f>SUM(AZ9:BA9)</f>
        <v>0</v>
      </c>
      <c r="BC9" s="221">
        <f>(BB9+1)/(AI9+1)</f>
        <v>1</v>
      </c>
      <c r="BD9" s="223"/>
      <c r="BE9" s="223"/>
      <c r="BH9" s="17"/>
    </row>
    <row r="10" spans="1:60" ht="12.75" x14ac:dyDescent="0.2">
      <c r="A10" s="321">
        <v>48</v>
      </c>
      <c r="B10" s="331"/>
      <c r="C10" s="328"/>
      <c r="D10" s="325"/>
      <c r="E10" s="347">
        <f t="shared" ref="E10:J10" si="24">AG42</f>
        <v>0</v>
      </c>
      <c r="F10" s="340">
        <f t="shared" si="24"/>
        <v>0</v>
      </c>
      <c r="G10" s="197">
        <f t="shared" si="24"/>
        <v>0</v>
      </c>
      <c r="H10" s="197">
        <f t="shared" si="24"/>
        <v>0</v>
      </c>
      <c r="I10" s="197">
        <f t="shared" si="24"/>
        <v>0</v>
      </c>
      <c r="J10" s="341">
        <f t="shared" si="24"/>
        <v>0</v>
      </c>
      <c r="K10" s="315">
        <f>BA42</f>
        <v>0</v>
      </c>
      <c r="L10" s="184">
        <f t="shared" si="6"/>
        <v>0</v>
      </c>
      <c r="M10" s="193" t="e">
        <f t="shared" si="19"/>
        <v>#DIV/0!</v>
      </c>
      <c r="N10" s="184">
        <f>AN42+AO42</f>
        <v>0</v>
      </c>
      <c r="O10" s="194" t="e">
        <f t="shared" si="1"/>
        <v>#DIV/0!</v>
      </c>
      <c r="P10" s="184">
        <f>SUM(AQ42:AR42)</f>
        <v>0</v>
      </c>
      <c r="Q10" s="194" t="e">
        <f t="shared" si="7"/>
        <v>#DIV/0!</v>
      </c>
      <c r="R10" s="184">
        <f>SUM(AT42:AU42)</f>
        <v>0</v>
      </c>
      <c r="S10" s="194" t="e">
        <f t="shared" si="2"/>
        <v>#DIV/0!</v>
      </c>
      <c r="T10" s="184">
        <f>SUM(AW42:AX42)</f>
        <v>0</v>
      </c>
      <c r="U10" s="194" t="e">
        <f t="shared" si="3"/>
        <v>#DIV/0!</v>
      </c>
      <c r="V10" s="184">
        <f>AZ42</f>
        <v>0</v>
      </c>
      <c r="W10" s="184">
        <f>BB42</f>
        <v>0</v>
      </c>
      <c r="X10" s="194">
        <f t="shared" si="4"/>
        <v>1</v>
      </c>
      <c r="Y10" s="195"/>
      <c r="Z10" s="195"/>
      <c r="AA10" s="195" t="s">
        <v>342</v>
      </c>
      <c r="AB10" s="207"/>
      <c r="AC10" s="224" t="s">
        <v>273</v>
      </c>
      <c r="AD10" s="225">
        <v>46176</v>
      </c>
      <c r="AE10" s="225">
        <v>46177</v>
      </c>
      <c r="AF10" s="226">
        <v>1</v>
      </c>
      <c r="AG10" s="226">
        <v>255</v>
      </c>
      <c r="AH10" s="227">
        <v>255</v>
      </c>
      <c r="AI10" s="226"/>
      <c r="AJ10" s="226">
        <v>0</v>
      </c>
      <c r="AK10" s="226">
        <v>29</v>
      </c>
      <c r="AL10" s="226"/>
      <c r="AM10" s="228">
        <f t="shared" ref="AM10:AM11" si="25">SUM(AJ10:AL10)/AH10</f>
        <v>0.11372549019607843</v>
      </c>
      <c r="AN10" s="226"/>
      <c r="AO10" s="226"/>
      <c r="AP10" s="229" t="e">
        <f t="shared" ref="AP10:AP11" si="26">SUM(AN10:AO10)/AI10</f>
        <v>#DIV/0!</v>
      </c>
      <c r="AQ10" s="226"/>
      <c r="AR10" s="226"/>
      <c r="AS10" s="229">
        <f t="shared" ref="AS10:AS11" si="27">(AQ10+AR10)/$AG10</f>
        <v>0</v>
      </c>
      <c r="AT10" s="226"/>
      <c r="AU10" s="226"/>
      <c r="AV10" s="229">
        <f t="shared" ref="AV10:AV11" si="28">(AT10+AU10)/$AG10</f>
        <v>0</v>
      </c>
      <c r="AW10" s="226"/>
      <c r="AX10" s="226"/>
      <c r="AY10" s="229">
        <f t="shared" ref="AY10:AY11" si="29">(AW10+AX10)/$AG10</f>
        <v>0</v>
      </c>
      <c r="AZ10" s="230">
        <f t="shared" ref="AZ10:BA11" si="30">SUM(AN10,AQ10,AT10,AW10)</f>
        <v>0</v>
      </c>
      <c r="BA10" s="230">
        <f t="shared" si="30"/>
        <v>0</v>
      </c>
      <c r="BB10" s="230">
        <f t="shared" ref="BB10:BB11" si="31">SUM(AZ10:BA10)</f>
        <v>0</v>
      </c>
      <c r="BC10" s="229">
        <f t="shared" ref="BC10:BC11" si="32">(BB10+1)/(AI10+1)</f>
        <v>1</v>
      </c>
      <c r="BD10" s="231"/>
      <c r="BE10" s="231"/>
      <c r="BH10" s="17"/>
    </row>
    <row r="11" spans="1:60" ht="15" customHeight="1" x14ac:dyDescent="0.2">
      <c r="A11" s="321">
        <v>49</v>
      </c>
      <c r="B11" s="331"/>
      <c r="C11" s="328"/>
      <c r="D11" s="325"/>
      <c r="E11" s="347">
        <f t="shared" ref="E11:J11" si="33">AG47</f>
        <v>0</v>
      </c>
      <c r="F11" s="340">
        <f t="shared" si="33"/>
        <v>0</v>
      </c>
      <c r="G11" s="197">
        <f t="shared" si="33"/>
        <v>0</v>
      </c>
      <c r="H11" s="197">
        <f t="shared" si="33"/>
        <v>0</v>
      </c>
      <c r="I11" s="197">
        <f t="shared" si="33"/>
        <v>0</v>
      </c>
      <c r="J11" s="341">
        <f t="shared" si="33"/>
        <v>0</v>
      </c>
      <c r="K11" s="315">
        <f>BA47</f>
        <v>0</v>
      </c>
      <c r="L11" s="184">
        <f t="shared" si="6"/>
        <v>0</v>
      </c>
      <c r="M11" s="193" t="e">
        <f t="shared" si="19"/>
        <v>#DIV/0!</v>
      </c>
      <c r="N11" s="184">
        <f>AN47+AO47</f>
        <v>0</v>
      </c>
      <c r="O11" s="194" t="e">
        <f t="shared" si="1"/>
        <v>#DIV/0!</v>
      </c>
      <c r="P11" s="184">
        <f>SUM(AQ47:AR47)</f>
        <v>0</v>
      </c>
      <c r="Q11" s="194" t="e">
        <f t="shared" si="7"/>
        <v>#DIV/0!</v>
      </c>
      <c r="R11" s="184">
        <f>SUM(AT47:AU47)</f>
        <v>0</v>
      </c>
      <c r="S11" s="194" t="e">
        <f t="shared" si="2"/>
        <v>#DIV/0!</v>
      </c>
      <c r="T11" s="184">
        <f>SUM(AW47:AX47)</f>
        <v>0</v>
      </c>
      <c r="U11" s="194" t="e">
        <f t="shared" si="3"/>
        <v>#DIV/0!</v>
      </c>
      <c r="V11" s="184">
        <f>AZ47</f>
        <v>0</v>
      </c>
      <c r="W11" s="184">
        <f>BB47</f>
        <v>0</v>
      </c>
      <c r="X11" s="194">
        <f t="shared" si="4"/>
        <v>1</v>
      </c>
      <c r="Y11" s="195"/>
      <c r="Z11" s="195"/>
      <c r="AA11" s="195" t="s">
        <v>342</v>
      </c>
      <c r="AB11" s="207"/>
      <c r="AC11" s="232" t="s">
        <v>275</v>
      </c>
      <c r="AD11" s="233"/>
      <c r="AE11" s="233"/>
      <c r="AF11" s="234"/>
      <c r="AG11" s="234"/>
      <c r="AH11" s="235"/>
      <c r="AI11" s="234"/>
      <c r="AJ11" s="234"/>
      <c r="AK11" s="234"/>
      <c r="AL11" s="234"/>
      <c r="AM11" s="236" t="e">
        <f t="shared" si="25"/>
        <v>#DIV/0!</v>
      </c>
      <c r="AN11" s="234"/>
      <c r="AO11" s="234"/>
      <c r="AP11" s="237" t="e">
        <f t="shared" si="26"/>
        <v>#DIV/0!</v>
      </c>
      <c r="AQ11" s="234"/>
      <c r="AR11" s="234"/>
      <c r="AS11" s="237" t="e">
        <f t="shared" si="27"/>
        <v>#DIV/0!</v>
      </c>
      <c r="AT11" s="234"/>
      <c r="AU11" s="234"/>
      <c r="AV11" s="237" t="e">
        <f t="shared" si="28"/>
        <v>#DIV/0!</v>
      </c>
      <c r="AW11" s="234"/>
      <c r="AX11" s="234"/>
      <c r="AY11" s="237" t="e">
        <f t="shared" si="29"/>
        <v>#DIV/0!</v>
      </c>
      <c r="AZ11" s="238">
        <f t="shared" si="30"/>
        <v>0</v>
      </c>
      <c r="BA11" s="238">
        <f t="shared" si="30"/>
        <v>0</v>
      </c>
      <c r="BB11" s="238">
        <f t="shared" si="31"/>
        <v>0</v>
      </c>
      <c r="BC11" s="237">
        <f t="shared" si="32"/>
        <v>1</v>
      </c>
      <c r="BD11" s="239"/>
      <c r="BE11" s="239"/>
      <c r="BH11" s="17"/>
    </row>
    <row r="12" spans="1:60" ht="15" customHeight="1" x14ac:dyDescent="0.2">
      <c r="A12" s="321">
        <v>50</v>
      </c>
      <c r="B12" s="331"/>
      <c r="C12" s="328"/>
      <c r="D12" s="325"/>
      <c r="E12" s="347">
        <f t="shared" ref="E12:J12" si="34">AG52</f>
        <v>0</v>
      </c>
      <c r="F12" s="340">
        <f t="shared" si="34"/>
        <v>0</v>
      </c>
      <c r="G12" s="197">
        <f t="shared" si="34"/>
        <v>0</v>
      </c>
      <c r="H12" s="197">
        <f t="shared" si="34"/>
        <v>0</v>
      </c>
      <c r="I12" s="197">
        <f t="shared" si="34"/>
        <v>0</v>
      </c>
      <c r="J12" s="341">
        <f t="shared" si="34"/>
        <v>0</v>
      </c>
      <c r="K12" s="315">
        <f>BA52</f>
        <v>0</v>
      </c>
      <c r="L12" s="184">
        <f t="shared" si="6"/>
        <v>0</v>
      </c>
      <c r="M12" s="193" t="e">
        <f t="shared" si="19"/>
        <v>#DIV/0!</v>
      </c>
      <c r="N12" s="184">
        <f>AN52+AO52</f>
        <v>0</v>
      </c>
      <c r="O12" s="194" t="e">
        <f t="shared" si="1"/>
        <v>#DIV/0!</v>
      </c>
      <c r="P12" s="184">
        <f>SUM(AQ52:AR52)</f>
        <v>0</v>
      </c>
      <c r="Q12" s="194" t="e">
        <f t="shared" si="7"/>
        <v>#DIV/0!</v>
      </c>
      <c r="R12" s="184">
        <f>SUM(AT52:AU52)</f>
        <v>0</v>
      </c>
      <c r="S12" s="194" t="e">
        <f t="shared" si="2"/>
        <v>#DIV/0!</v>
      </c>
      <c r="T12" s="184">
        <f>SUM(AW52:AX52)</f>
        <v>0</v>
      </c>
      <c r="U12" s="194" t="e">
        <f t="shared" si="3"/>
        <v>#DIV/0!</v>
      </c>
      <c r="V12" s="184">
        <f>AZ52</f>
        <v>0</v>
      </c>
      <c r="W12" s="184">
        <f>BB52</f>
        <v>0</v>
      </c>
      <c r="X12" s="194">
        <f t="shared" si="4"/>
        <v>1</v>
      </c>
      <c r="Y12" s="195"/>
      <c r="Z12" s="195"/>
      <c r="AA12" s="195" t="s">
        <v>342</v>
      </c>
      <c r="AB12" s="207"/>
      <c r="AC12" s="7"/>
      <c r="AG12" s="240">
        <f>SUM(AG9:AG11)</f>
        <v>255</v>
      </c>
      <c r="AH12" s="240">
        <f>SUM(AH9:AH11)</f>
        <v>255</v>
      </c>
      <c r="AI12" s="240">
        <f t="shared" ref="AI12:AL12" si="35">SUM(AI9:AI11)</f>
        <v>0</v>
      </c>
      <c r="AJ12" s="240">
        <f t="shared" si="35"/>
        <v>0</v>
      </c>
      <c r="AK12" s="240">
        <f t="shared" si="35"/>
        <v>29</v>
      </c>
      <c r="AL12" s="240">
        <f t="shared" si="35"/>
        <v>0</v>
      </c>
      <c r="AM12" s="135"/>
      <c r="AN12" s="240">
        <f>SUM(AN9:AN11)</f>
        <v>0</v>
      </c>
      <c r="AO12" s="240">
        <f>SUM(AO9:AO11)</f>
        <v>0</v>
      </c>
      <c r="AP12" s="241"/>
      <c r="AQ12" s="240">
        <f>SUM(AQ9:AQ11)</f>
        <v>0</v>
      </c>
      <c r="AR12" s="240">
        <f>SUM(AR9:AR11)</f>
        <v>0</v>
      </c>
      <c r="AS12" s="241"/>
      <c r="AT12" s="240">
        <f>SUM(AT9:AT11)</f>
        <v>0</v>
      </c>
      <c r="AU12" s="240">
        <f>SUM(AU9:AU11)</f>
        <v>0</v>
      </c>
      <c r="AV12" s="241"/>
      <c r="AW12" s="240">
        <f>SUM(AW9:AW11)</f>
        <v>0</v>
      </c>
      <c r="AX12" s="240">
        <f>SUM(AX9:AX11)</f>
        <v>0</v>
      </c>
      <c r="AY12" s="241"/>
      <c r="AZ12" s="240">
        <f>SUM(AZ9:AZ11)</f>
        <v>0</v>
      </c>
      <c r="BA12" s="240">
        <f>SUM(BA9:BA11)</f>
        <v>0</v>
      </c>
      <c r="BB12" s="240">
        <f>SUM(AZ12:BA12)</f>
        <v>0</v>
      </c>
      <c r="BC12" s="242">
        <f>(BB12+1)/(AI12+1)</f>
        <v>1</v>
      </c>
      <c r="BD12" s="98"/>
      <c r="BE12" s="98"/>
      <c r="BH12" s="17"/>
    </row>
    <row r="13" spans="1:60" ht="15" customHeight="1" x14ac:dyDescent="0.2">
      <c r="A13" s="321">
        <v>51</v>
      </c>
      <c r="B13" s="331"/>
      <c r="C13" s="328"/>
      <c r="D13" s="325"/>
      <c r="E13" s="347">
        <f t="shared" ref="E13:J13" si="36">AG57</f>
        <v>0</v>
      </c>
      <c r="F13" s="340">
        <f t="shared" si="36"/>
        <v>0</v>
      </c>
      <c r="G13" s="197">
        <f t="shared" si="36"/>
        <v>0</v>
      </c>
      <c r="H13" s="197">
        <f t="shared" si="36"/>
        <v>0</v>
      </c>
      <c r="I13" s="197">
        <f t="shared" si="36"/>
        <v>0</v>
      </c>
      <c r="J13" s="341">
        <f t="shared" si="36"/>
        <v>0</v>
      </c>
      <c r="K13" s="315">
        <f>BA57</f>
        <v>0</v>
      </c>
      <c r="L13" s="184">
        <f t="shared" si="6"/>
        <v>0</v>
      </c>
      <c r="M13" s="193" t="e">
        <f t="shared" si="19"/>
        <v>#DIV/0!</v>
      </c>
      <c r="N13" s="184">
        <f>AN57+AO57</f>
        <v>0</v>
      </c>
      <c r="O13" s="194" t="e">
        <f t="shared" si="1"/>
        <v>#DIV/0!</v>
      </c>
      <c r="P13" s="184">
        <f>SUM(AQ57:AR57)</f>
        <v>0</v>
      </c>
      <c r="Q13" s="194" t="e">
        <f t="shared" si="7"/>
        <v>#DIV/0!</v>
      </c>
      <c r="R13" s="184">
        <f>SUM(AT57:AU57)</f>
        <v>0</v>
      </c>
      <c r="S13" s="194" t="e">
        <f t="shared" si="2"/>
        <v>#DIV/0!</v>
      </c>
      <c r="T13" s="184">
        <f>SUM(AW57:AX57)</f>
        <v>0</v>
      </c>
      <c r="U13" s="194" t="e">
        <f t="shared" si="3"/>
        <v>#DIV/0!</v>
      </c>
      <c r="V13" s="184">
        <f>AZ57</f>
        <v>0</v>
      </c>
      <c r="W13" s="184">
        <f>BB57</f>
        <v>0</v>
      </c>
      <c r="X13" s="194">
        <f t="shared" si="4"/>
        <v>1</v>
      </c>
      <c r="Y13" s="195"/>
      <c r="Z13" s="195"/>
      <c r="AA13" s="195" t="s">
        <v>342</v>
      </c>
      <c r="AB13" s="207"/>
      <c r="AC13" s="212" t="s">
        <v>324</v>
      </c>
      <c r="AD13" s="15"/>
      <c r="AE13" s="23"/>
      <c r="AF13" s="16"/>
      <c r="AG13" s="15"/>
      <c r="AH13" s="15"/>
      <c r="AI13" s="15"/>
      <c r="AJ13" s="15"/>
      <c r="AK13" s="15"/>
      <c r="AL13" s="22"/>
      <c r="AM13" s="213"/>
      <c r="AN13" s="23"/>
      <c r="AO13" s="23"/>
      <c r="AP13" s="7"/>
      <c r="AQ13" s="15"/>
      <c r="AR13" s="15"/>
      <c r="AS13" s="7"/>
      <c r="AT13" s="15"/>
      <c r="AU13" s="15"/>
      <c r="AV13" s="7"/>
      <c r="AW13" s="15"/>
      <c r="AX13" s="15"/>
      <c r="AY13" s="214"/>
      <c r="AZ13" s="215"/>
      <c r="BA13" s="10"/>
      <c r="BB13" s="7"/>
      <c r="BC13" s="7"/>
      <c r="BD13" s="7"/>
      <c r="BE13" s="7"/>
      <c r="BH13" s="17"/>
    </row>
    <row r="14" spans="1:60" ht="15" customHeight="1" x14ac:dyDescent="0.2">
      <c r="A14" s="321">
        <v>52</v>
      </c>
      <c r="B14" s="331"/>
      <c r="C14" s="328"/>
      <c r="D14" s="325"/>
      <c r="E14" s="347">
        <f t="shared" ref="E14:J14" si="37">AG62</f>
        <v>0</v>
      </c>
      <c r="F14" s="340">
        <f t="shared" si="37"/>
        <v>0</v>
      </c>
      <c r="G14" s="197">
        <f t="shared" si="37"/>
        <v>0</v>
      </c>
      <c r="H14" s="197">
        <f t="shared" si="37"/>
        <v>0</v>
      </c>
      <c r="I14" s="197">
        <f t="shared" si="37"/>
        <v>0</v>
      </c>
      <c r="J14" s="341">
        <f t="shared" si="37"/>
        <v>0</v>
      </c>
      <c r="K14" s="315">
        <f>BA62</f>
        <v>0</v>
      </c>
      <c r="L14" s="184">
        <f t="shared" si="6"/>
        <v>0</v>
      </c>
      <c r="M14" s="193" t="e">
        <f t="shared" si="19"/>
        <v>#DIV/0!</v>
      </c>
      <c r="N14" s="184">
        <f>AN62+AO62</f>
        <v>0</v>
      </c>
      <c r="O14" s="194" t="e">
        <f t="shared" si="1"/>
        <v>#DIV/0!</v>
      </c>
      <c r="P14" s="184">
        <f>SUM(AQ62:AR62)</f>
        <v>0</v>
      </c>
      <c r="Q14" s="194" t="e">
        <f t="shared" si="7"/>
        <v>#DIV/0!</v>
      </c>
      <c r="R14" s="184">
        <f>SUM(AT62:AU62)</f>
        <v>0</v>
      </c>
      <c r="S14" s="194" t="e">
        <f t="shared" si="2"/>
        <v>#DIV/0!</v>
      </c>
      <c r="T14" s="184">
        <f>SUM(AW62:AX62)</f>
        <v>0</v>
      </c>
      <c r="U14" s="194" t="e">
        <f t="shared" si="3"/>
        <v>#DIV/0!</v>
      </c>
      <c r="V14" s="184">
        <f>AZ62</f>
        <v>0</v>
      </c>
      <c r="W14" s="184">
        <f>BB62</f>
        <v>0</v>
      </c>
      <c r="X14" s="194">
        <f t="shared" si="4"/>
        <v>1</v>
      </c>
      <c r="Y14" s="195"/>
      <c r="Z14" s="195"/>
      <c r="AA14" s="195" t="s">
        <v>342</v>
      </c>
      <c r="AB14" s="207"/>
      <c r="AC14" s="216" t="s">
        <v>271</v>
      </c>
      <c r="AD14" s="217"/>
      <c r="AE14" s="217"/>
      <c r="AF14" s="218"/>
      <c r="AG14" s="218"/>
      <c r="AH14" s="219"/>
      <c r="AI14" s="218"/>
      <c r="AJ14" s="218"/>
      <c r="AK14" s="218"/>
      <c r="AL14" s="218"/>
      <c r="AM14" s="220" t="e">
        <f>SUM(AJ14:AL14)/AH14</f>
        <v>#DIV/0!</v>
      </c>
      <c r="AN14" s="218"/>
      <c r="AO14" s="218"/>
      <c r="AP14" s="221" t="e">
        <f>SUM(AN14:AO14)/AI14</f>
        <v>#DIV/0!</v>
      </c>
      <c r="AQ14" s="218"/>
      <c r="AR14" s="218"/>
      <c r="AS14" s="221" t="e">
        <f>(AQ14+AR14)/$AG14</f>
        <v>#DIV/0!</v>
      </c>
      <c r="AT14" s="218"/>
      <c r="AU14" s="218"/>
      <c r="AV14" s="221" t="e">
        <f>(AT14+AU14)/$AG14</f>
        <v>#DIV/0!</v>
      </c>
      <c r="AW14" s="218"/>
      <c r="AX14" s="218"/>
      <c r="AY14" s="221" t="e">
        <f>(AW14+AX14)/$AG14</f>
        <v>#DIV/0!</v>
      </c>
      <c r="AZ14" s="222">
        <f>SUM(AN14,AQ14,AT14,AW14)</f>
        <v>0</v>
      </c>
      <c r="BA14" s="222">
        <f>SUM(AO14,AR14,AU14,AX14)</f>
        <v>0</v>
      </c>
      <c r="BB14" s="222">
        <f>SUM(AZ14:BA14)</f>
        <v>0</v>
      </c>
      <c r="BC14" s="221">
        <f>(BB14+1)/(AI14+1)</f>
        <v>1</v>
      </c>
      <c r="BD14" s="223"/>
      <c r="BE14" s="223"/>
      <c r="BH14" s="17"/>
    </row>
    <row r="15" spans="1:60" ht="15" customHeight="1" x14ac:dyDescent="0.2">
      <c r="A15" s="321">
        <v>53</v>
      </c>
      <c r="B15" s="331"/>
      <c r="C15" s="328"/>
      <c r="D15" s="325"/>
      <c r="E15" s="347">
        <f t="shared" ref="E15:J15" si="38">AG67</f>
        <v>0</v>
      </c>
      <c r="F15" s="340">
        <f t="shared" si="38"/>
        <v>0</v>
      </c>
      <c r="G15" s="197">
        <f t="shared" si="38"/>
        <v>0</v>
      </c>
      <c r="H15" s="197">
        <f t="shared" si="38"/>
        <v>0</v>
      </c>
      <c r="I15" s="197">
        <f t="shared" si="38"/>
        <v>0</v>
      </c>
      <c r="J15" s="341">
        <f t="shared" si="38"/>
        <v>0</v>
      </c>
      <c r="K15" s="315">
        <f>BA67</f>
        <v>0</v>
      </c>
      <c r="L15" s="184">
        <f t="shared" si="6"/>
        <v>0</v>
      </c>
      <c r="M15" s="193" t="e">
        <f t="shared" si="19"/>
        <v>#DIV/0!</v>
      </c>
      <c r="N15" s="184">
        <f>AN67+AO67</f>
        <v>0</v>
      </c>
      <c r="O15" s="194" t="e">
        <f t="shared" si="1"/>
        <v>#DIV/0!</v>
      </c>
      <c r="P15" s="184">
        <f>SUM(AQ67:AR67)</f>
        <v>0</v>
      </c>
      <c r="Q15" s="194" t="e">
        <f t="shared" si="7"/>
        <v>#DIV/0!</v>
      </c>
      <c r="R15" s="184">
        <f>SUM(AT67:AU67)</f>
        <v>0</v>
      </c>
      <c r="S15" s="194" t="e">
        <f t="shared" si="2"/>
        <v>#DIV/0!</v>
      </c>
      <c r="T15" s="184">
        <f>SUM(AW67:AX67)</f>
        <v>0</v>
      </c>
      <c r="U15" s="194" t="e">
        <f t="shared" si="3"/>
        <v>#DIV/0!</v>
      </c>
      <c r="V15" s="184">
        <f>AZ67</f>
        <v>0</v>
      </c>
      <c r="W15" s="184">
        <f>BB67</f>
        <v>0</v>
      </c>
      <c r="X15" s="194">
        <f t="shared" si="4"/>
        <v>1</v>
      </c>
      <c r="Y15" s="195"/>
      <c r="Z15" s="195"/>
      <c r="AA15" s="195" t="s">
        <v>342</v>
      </c>
      <c r="AB15" s="207"/>
      <c r="AC15" s="224" t="s">
        <v>273</v>
      </c>
      <c r="AD15" s="225"/>
      <c r="AE15" s="225"/>
      <c r="AF15" s="226"/>
      <c r="AG15" s="226"/>
      <c r="AH15" s="227"/>
      <c r="AI15" s="226"/>
      <c r="AJ15" s="226"/>
      <c r="AK15" s="226"/>
      <c r="AL15" s="226"/>
      <c r="AM15" s="228" t="e">
        <f t="shared" ref="AM15:AM16" si="39">SUM(AJ15:AL15)/AH15</f>
        <v>#DIV/0!</v>
      </c>
      <c r="AN15" s="226"/>
      <c r="AO15" s="226"/>
      <c r="AP15" s="229" t="e">
        <f t="shared" ref="AP15:AP16" si="40">SUM(AN15:AO15)/AI15</f>
        <v>#DIV/0!</v>
      </c>
      <c r="AQ15" s="226"/>
      <c r="AR15" s="226"/>
      <c r="AS15" s="229" t="e">
        <f t="shared" ref="AS15:AS16" si="41">(AQ15+AR15)/$AG15</f>
        <v>#DIV/0!</v>
      </c>
      <c r="AT15" s="226"/>
      <c r="AU15" s="226"/>
      <c r="AV15" s="229" t="e">
        <f t="shared" ref="AV15:AV16" si="42">(AT15+AU15)/$AG15</f>
        <v>#DIV/0!</v>
      </c>
      <c r="AW15" s="226"/>
      <c r="AX15" s="226"/>
      <c r="AY15" s="229" t="e">
        <f t="shared" ref="AY15:AY16" si="43">(AW15+AX15)/$AG15</f>
        <v>#DIV/0!</v>
      </c>
      <c r="AZ15" s="230">
        <f t="shared" ref="AZ15:BA16" si="44">SUM(AN15,AQ15,AT15,AW15)</f>
        <v>0</v>
      </c>
      <c r="BA15" s="230">
        <f t="shared" si="44"/>
        <v>0</v>
      </c>
      <c r="BB15" s="230">
        <f t="shared" ref="BB15:BB16" si="45">SUM(AZ15:BA15)</f>
        <v>0</v>
      </c>
      <c r="BC15" s="229">
        <f t="shared" ref="BC15:BC16" si="46">(BB15+1)/(AI15+1)</f>
        <v>1</v>
      </c>
      <c r="BD15" s="231"/>
      <c r="BE15" s="231"/>
      <c r="BH15" s="17"/>
    </row>
    <row r="16" spans="1:60" ht="15" customHeight="1" x14ac:dyDescent="0.2">
      <c r="A16" s="321">
        <v>54</v>
      </c>
      <c r="B16" s="331"/>
      <c r="C16" s="328"/>
      <c r="D16" s="325"/>
      <c r="E16" s="347">
        <f t="shared" ref="E16:J16" si="47">AG72</f>
        <v>0</v>
      </c>
      <c r="F16" s="340">
        <f t="shared" si="47"/>
        <v>0</v>
      </c>
      <c r="G16" s="197">
        <f t="shared" si="47"/>
        <v>0</v>
      </c>
      <c r="H16" s="197">
        <f t="shared" si="47"/>
        <v>0</v>
      </c>
      <c r="I16" s="197">
        <f t="shared" si="47"/>
        <v>0</v>
      </c>
      <c r="J16" s="341">
        <f t="shared" si="47"/>
        <v>0</v>
      </c>
      <c r="K16" s="315">
        <f>BA72</f>
        <v>0</v>
      </c>
      <c r="L16" s="184">
        <f t="shared" si="6"/>
        <v>0</v>
      </c>
      <c r="M16" s="193" t="e">
        <f t="shared" si="19"/>
        <v>#DIV/0!</v>
      </c>
      <c r="N16" s="184">
        <f>AN72+AO72</f>
        <v>0</v>
      </c>
      <c r="O16" s="194" t="e">
        <f t="shared" si="1"/>
        <v>#DIV/0!</v>
      </c>
      <c r="P16" s="184">
        <f>SUM(AQ72:AR72)</f>
        <v>0</v>
      </c>
      <c r="Q16" s="194" t="e">
        <f t="shared" si="7"/>
        <v>#DIV/0!</v>
      </c>
      <c r="R16" s="184">
        <f>SUM(AT72:AU72)</f>
        <v>0</v>
      </c>
      <c r="S16" s="194" t="e">
        <f t="shared" si="2"/>
        <v>#DIV/0!</v>
      </c>
      <c r="T16" s="184">
        <f>SUM(AW72:AX72)</f>
        <v>0</v>
      </c>
      <c r="U16" s="194" t="e">
        <f t="shared" si="3"/>
        <v>#DIV/0!</v>
      </c>
      <c r="V16" s="184">
        <f>AZ72</f>
        <v>0</v>
      </c>
      <c r="W16" s="184">
        <f>BB72</f>
        <v>0</v>
      </c>
      <c r="X16" s="194">
        <f t="shared" si="4"/>
        <v>1</v>
      </c>
      <c r="Y16" s="195"/>
      <c r="Z16" s="195"/>
      <c r="AA16" s="195" t="s">
        <v>342</v>
      </c>
      <c r="AB16" s="207"/>
      <c r="AC16" s="232" t="s">
        <v>275</v>
      </c>
      <c r="AD16" s="233">
        <v>46176</v>
      </c>
      <c r="AE16" s="233">
        <v>46177</v>
      </c>
      <c r="AF16" s="234">
        <v>1</v>
      </c>
      <c r="AG16" s="234">
        <v>248</v>
      </c>
      <c r="AH16" s="235">
        <v>248</v>
      </c>
      <c r="AI16" s="234"/>
      <c r="AJ16" s="234">
        <v>0</v>
      </c>
      <c r="AK16" s="234">
        <v>6</v>
      </c>
      <c r="AL16" s="234"/>
      <c r="AM16" s="236">
        <f t="shared" si="39"/>
        <v>2.4193548387096774E-2</v>
      </c>
      <c r="AN16" s="234"/>
      <c r="AO16" s="234"/>
      <c r="AP16" s="237" t="e">
        <f t="shared" si="40"/>
        <v>#DIV/0!</v>
      </c>
      <c r="AQ16" s="234"/>
      <c r="AR16" s="234"/>
      <c r="AS16" s="237">
        <f t="shared" si="41"/>
        <v>0</v>
      </c>
      <c r="AT16" s="234"/>
      <c r="AU16" s="234"/>
      <c r="AV16" s="237">
        <f t="shared" si="42"/>
        <v>0</v>
      </c>
      <c r="AW16" s="234"/>
      <c r="AX16" s="234"/>
      <c r="AY16" s="237">
        <f t="shared" si="43"/>
        <v>0</v>
      </c>
      <c r="AZ16" s="238">
        <f t="shared" si="44"/>
        <v>0</v>
      </c>
      <c r="BA16" s="238">
        <f t="shared" si="44"/>
        <v>0</v>
      </c>
      <c r="BB16" s="238">
        <f t="shared" si="45"/>
        <v>0</v>
      </c>
      <c r="BC16" s="237">
        <f t="shared" si="46"/>
        <v>1</v>
      </c>
      <c r="BD16" s="239"/>
      <c r="BE16" s="239"/>
      <c r="BH16" s="17"/>
    </row>
    <row r="17" spans="1:60" ht="15" customHeight="1" x14ac:dyDescent="0.2">
      <c r="A17" s="321">
        <v>55</v>
      </c>
      <c r="B17" s="331"/>
      <c r="C17" s="328"/>
      <c r="D17" s="325"/>
      <c r="E17" s="347">
        <f t="shared" ref="E17:J17" si="48">AG77</f>
        <v>0</v>
      </c>
      <c r="F17" s="340">
        <f t="shared" si="48"/>
        <v>0</v>
      </c>
      <c r="G17" s="197">
        <f t="shared" si="48"/>
        <v>0</v>
      </c>
      <c r="H17" s="197">
        <f t="shared" si="48"/>
        <v>0</v>
      </c>
      <c r="I17" s="197">
        <f t="shared" si="48"/>
        <v>0</v>
      </c>
      <c r="J17" s="341">
        <f t="shared" si="48"/>
        <v>0</v>
      </c>
      <c r="K17" s="315">
        <f>BA77</f>
        <v>0</v>
      </c>
      <c r="L17" s="184">
        <f t="shared" si="6"/>
        <v>0</v>
      </c>
      <c r="M17" s="193" t="e">
        <f t="shared" si="19"/>
        <v>#DIV/0!</v>
      </c>
      <c r="N17" s="184">
        <f>AN77+AO77</f>
        <v>0</v>
      </c>
      <c r="O17" s="194" t="e">
        <f t="shared" si="1"/>
        <v>#DIV/0!</v>
      </c>
      <c r="P17" s="184">
        <f>SUM(AQ77:AR77)</f>
        <v>0</v>
      </c>
      <c r="Q17" s="194" t="e">
        <f t="shared" si="7"/>
        <v>#DIV/0!</v>
      </c>
      <c r="R17" s="184">
        <f>SUM(AT77:AU77)</f>
        <v>0</v>
      </c>
      <c r="S17" s="194" t="e">
        <f t="shared" si="2"/>
        <v>#DIV/0!</v>
      </c>
      <c r="T17" s="184">
        <f>SUM(AW77:AX77)</f>
        <v>0</v>
      </c>
      <c r="U17" s="194" t="e">
        <f t="shared" si="3"/>
        <v>#DIV/0!</v>
      </c>
      <c r="V17" s="184">
        <f>AZ77</f>
        <v>0</v>
      </c>
      <c r="W17" s="184">
        <f>BB77</f>
        <v>0</v>
      </c>
      <c r="X17" s="194">
        <f t="shared" si="4"/>
        <v>1</v>
      </c>
      <c r="Y17" s="195"/>
      <c r="Z17" s="195"/>
      <c r="AA17" s="195" t="s">
        <v>342</v>
      </c>
      <c r="AB17" s="207"/>
      <c r="AC17" s="7"/>
      <c r="AG17" s="240">
        <f>SUM(AG14:AG16)</f>
        <v>248</v>
      </c>
      <c r="AH17" s="240">
        <f>SUM(AH14:AH16)</f>
        <v>248</v>
      </c>
      <c r="AI17" s="240">
        <f t="shared" ref="AI17:AL17" si="49">SUM(AI14:AI16)</f>
        <v>0</v>
      </c>
      <c r="AJ17" s="240">
        <f t="shared" si="49"/>
        <v>0</v>
      </c>
      <c r="AK17" s="240">
        <f t="shared" si="49"/>
        <v>6</v>
      </c>
      <c r="AL17" s="240">
        <f t="shared" si="49"/>
        <v>0</v>
      </c>
      <c r="AM17" s="135"/>
      <c r="AN17" s="240">
        <f>SUM(AN14:AN16)</f>
        <v>0</v>
      </c>
      <c r="AO17" s="240">
        <f>SUM(AO14:AO16)</f>
        <v>0</v>
      </c>
      <c r="AP17" s="241"/>
      <c r="AQ17" s="240">
        <f>SUM(AQ14:AQ16)</f>
        <v>0</v>
      </c>
      <c r="AR17" s="240">
        <f>SUM(AR14:AR16)</f>
        <v>0</v>
      </c>
      <c r="AS17" s="241"/>
      <c r="AT17" s="240">
        <f>SUM(AT14:AT16)</f>
        <v>0</v>
      </c>
      <c r="AU17" s="240">
        <f>SUM(AU14:AU16)</f>
        <v>0</v>
      </c>
      <c r="AV17" s="241"/>
      <c r="AW17" s="240">
        <f>SUM(AW14:AW16)</f>
        <v>0</v>
      </c>
      <c r="AX17" s="240">
        <f>SUM(AX14:AX16)</f>
        <v>0</v>
      </c>
      <c r="AY17" s="241"/>
      <c r="AZ17" s="240">
        <f>SUM(AZ14:AZ16)</f>
        <v>0</v>
      </c>
      <c r="BA17" s="240">
        <f>SUM(BA14:BA16)</f>
        <v>0</v>
      </c>
      <c r="BB17" s="240">
        <f>SUM(AZ17:BA17)</f>
        <v>0</v>
      </c>
      <c r="BC17" s="242">
        <f>(BB17+1)/(AI17+1)</f>
        <v>1</v>
      </c>
      <c r="BD17" s="98"/>
      <c r="BE17" s="98"/>
      <c r="BH17" s="17"/>
    </row>
    <row r="18" spans="1:60" ht="15" customHeight="1" x14ac:dyDescent="0.2">
      <c r="A18" s="321">
        <v>56</v>
      </c>
      <c r="B18" s="331"/>
      <c r="C18" s="328"/>
      <c r="D18" s="325"/>
      <c r="E18" s="197">
        <f>AG82</f>
        <v>0</v>
      </c>
      <c r="F18" s="197">
        <f>AH82</f>
        <v>0</v>
      </c>
      <c r="G18" s="197">
        <f t="shared" ref="G18:J18" si="50">AI82</f>
        <v>0</v>
      </c>
      <c r="H18" s="197">
        <f t="shared" si="50"/>
        <v>0</v>
      </c>
      <c r="I18" s="197">
        <f t="shared" si="50"/>
        <v>0</v>
      </c>
      <c r="J18" s="341">
        <f t="shared" si="50"/>
        <v>0</v>
      </c>
      <c r="K18" s="315">
        <f>BA82</f>
        <v>0</v>
      </c>
      <c r="L18" s="184">
        <f t="shared" si="6"/>
        <v>0</v>
      </c>
      <c r="M18" s="193" t="e">
        <f t="shared" si="19"/>
        <v>#DIV/0!</v>
      </c>
      <c r="N18" s="184">
        <f>AN82+AO82</f>
        <v>0</v>
      </c>
      <c r="O18" s="194" t="e">
        <f t="shared" si="1"/>
        <v>#DIV/0!</v>
      </c>
      <c r="P18" s="184">
        <f>SUM(AQ82:AR82)</f>
        <v>0</v>
      </c>
      <c r="Q18" s="194" t="e">
        <f t="shared" si="7"/>
        <v>#DIV/0!</v>
      </c>
      <c r="R18" s="184">
        <f>SUM(AT82:AU82)</f>
        <v>0</v>
      </c>
      <c r="S18" s="194" t="e">
        <f t="shared" si="2"/>
        <v>#DIV/0!</v>
      </c>
      <c r="T18" s="184">
        <f>SUM(AW82:AX82)</f>
        <v>0</v>
      </c>
      <c r="U18" s="194" t="e">
        <f t="shared" si="3"/>
        <v>#DIV/0!</v>
      </c>
      <c r="V18" s="184">
        <f>AZ82</f>
        <v>0</v>
      </c>
      <c r="W18" s="184">
        <f>BB82</f>
        <v>0</v>
      </c>
      <c r="X18" s="194">
        <f t="shared" si="4"/>
        <v>1</v>
      </c>
      <c r="Y18" s="195"/>
      <c r="Z18" s="195"/>
      <c r="AA18" s="195" t="s">
        <v>342</v>
      </c>
      <c r="AB18" s="207"/>
      <c r="AC18" s="212" t="s">
        <v>325</v>
      </c>
      <c r="AD18" s="15"/>
      <c r="AE18" s="23"/>
      <c r="AF18" s="16"/>
      <c r="AG18" s="15"/>
      <c r="AH18" s="15"/>
      <c r="AI18" s="15"/>
      <c r="AJ18" s="15"/>
      <c r="AK18" s="15"/>
      <c r="AL18" s="22"/>
      <c r="AM18" s="213"/>
      <c r="AN18" s="23"/>
      <c r="AO18" s="23"/>
      <c r="AP18" s="7"/>
      <c r="AQ18" s="15"/>
      <c r="AR18" s="15"/>
      <c r="AS18" s="7"/>
      <c r="AT18" s="15"/>
      <c r="AU18" s="15"/>
      <c r="AV18" s="7"/>
      <c r="AW18" s="15"/>
      <c r="AX18" s="15"/>
      <c r="AY18" s="214"/>
      <c r="AZ18" s="215"/>
      <c r="BA18" s="10"/>
      <c r="BB18" s="7"/>
      <c r="BC18" s="7"/>
      <c r="BD18" s="7"/>
      <c r="BE18" s="7"/>
    </row>
    <row r="19" spans="1:60" ht="15" customHeight="1" x14ac:dyDescent="0.2">
      <c r="A19" s="321">
        <v>57</v>
      </c>
      <c r="B19" s="331"/>
      <c r="C19" s="328"/>
      <c r="D19" s="325"/>
      <c r="E19" s="197">
        <f>AG87</f>
        <v>0</v>
      </c>
      <c r="F19" s="197">
        <f>AH87</f>
        <v>0</v>
      </c>
      <c r="G19" s="197">
        <f>AI87</f>
        <v>0</v>
      </c>
      <c r="H19" s="197">
        <f>AJ87</f>
        <v>0</v>
      </c>
      <c r="I19" s="197">
        <f>AK87</f>
        <v>0</v>
      </c>
      <c r="J19" s="341">
        <f>AL878</f>
        <v>0</v>
      </c>
      <c r="K19" s="315">
        <f>BA87</f>
        <v>0</v>
      </c>
      <c r="L19" s="184">
        <f t="shared" si="6"/>
        <v>0</v>
      </c>
      <c r="M19" s="193" t="e">
        <f t="shared" si="19"/>
        <v>#DIV/0!</v>
      </c>
      <c r="N19" s="184">
        <f>AN87+AO87</f>
        <v>0</v>
      </c>
      <c r="O19" s="194" t="e">
        <f t="shared" si="1"/>
        <v>#DIV/0!</v>
      </c>
      <c r="P19" s="184">
        <f>SUM(AQ87:AR87)</f>
        <v>0</v>
      </c>
      <c r="Q19" s="194" t="e">
        <f t="shared" si="7"/>
        <v>#DIV/0!</v>
      </c>
      <c r="R19" s="184">
        <f>SUM(AT87:AU87)</f>
        <v>0</v>
      </c>
      <c r="S19" s="194" t="e">
        <f t="shared" si="2"/>
        <v>#DIV/0!</v>
      </c>
      <c r="T19" s="184">
        <f>SUM(AW87:AX87)</f>
        <v>0</v>
      </c>
      <c r="U19" s="194" t="e">
        <f t="shared" si="3"/>
        <v>#DIV/0!</v>
      </c>
      <c r="V19" s="184">
        <f>AZ87</f>
        <v>0</v>
      </c>
      <c r="W19" s="184">
        <f>BB87</f>
        <v>0</v>
      </c>
      <c r="X19" s="194">
        <f t="shared" si="4"/>
        <v>1</v>
      </c>
      <c r="Y19" s="195"/>
      <c r="Z19" s="195"/>
      <c r="AA19" s="195" t="s">
        <v>342</v>
      </c>
      <c r="AB19" s="207"/>
      <c r="AC19" s="216" t="s">
        <v>271</v>
      </c>
      <c r="AD19" s="217"/>
      <c r="AE19" s="217"/>
      <c r="AF19" s="218"/>
      <c r="AG19" s="218"/>
      <c r="AH19" s="219"/>
      <c r="AI19" s="218"/>
      <c r="AJ19" s="218"/>
      <c r="AK19" s="218"/>
      <c r="AL19" s="218"/>
      <c r="AM19" s="220" t="e">
        <f>SUM(AJ19:AL19)/AH19</f>
        <v>#DIV/0!</v>
      </c>
      <c r="AN19" s="218"/>
      <c r="AO19" s="218"/>
      <c r="AP19" s="221" t="e">
        <f>SUM(AN19:AO19)/AI19</f>
        <v>#DIV/0!</v>
      </c>
      <c r="AQ19" s="218"/>
      <c r="AR19" s="218"/>
      <c r="AS19" s="221" t="e">
        <f>(AQ19+AR19)/$AG19</f>
        <v>#DIV/0!</v>
      </c>
      <c r="AT19" s="218"/>
      <c r="AU19" s="218"/>
      <c r="AV19" s="221" t="e">
        <f>(AT19+AU19)/$AG19</f>
        <v>#DIV/0!</v>
      </c>
      <c r="AW19" s="218"/>
      <c r="AX19" s="218"/>
      <c r="AY19" s="221" t="e">
        <f>(AW19+AX19)/$AG19</f>
        <v>#DIV/0!</v>
      </c>
      <c r="AZ19" s="222">
        <f>SUM(AN19,AQ19,AT19,AW19)</f>
        <v>0</v>
      </c>
      <c r="BA19" s="222">
        <f>SUM(AO19,AR19,AU19,AX19)</f>
        <v>0</v>
      </c>
      <c r="BB19" s="222">
        <f>SUM(AZ19:BA19)</f>
        <v>0</v>
      </c>
      <c r="BC19" s="221">
        <f>(BB19+1)/(AI19+1)</f>
        <v>1</v>
      </c>
      <c r="BD19" s="223"/>
      <c r="BE19" s="223"/>
    </row>
    <row r="20" spans="1:60" ht="15" customHeight="1" x14ac:dyDescent="0.2">
      <c r="A20" s="321">
        <v>58</v>
      </c>
      <c r="B20" s="331"/>
      <c r="C20" s="328"/>
      <c r="D20" s="325"/>
      <c r="E20" s="347">
        <f t="shared" ref="E20:J20" si="51">AG92</f>
        <v>0</v>
      </c>
      <c r="F20" s="340">
        <f t="shared" si="51"/>
        <v>0</v>
      </c>
      <c r="G20" s="197">
        <f t="shared" si="51"/>
        <v>0</v>
      </c>
      <c r="H20" s="197">
        <f t="shared" si="51"/>
        <v>0</v>
      </c>
      <c r="I20" s="197">
        <f t="shared" si="51"/>
        <v>0</v>
      </c>
      <c r="J20" s="341">
        <f t="shared" si="51"/>
        <v>0</v>
      </c>
      <c r="K20" s="315">
        <f>BA92</f>
        <v>0</v>
      </c>
      <c r="L20" s="184">
        <f t="shared" si="6"/>
        <v>0</v>
      </c>
      <c r="M20" s="193" t="e">
        <f t="shared" si="19"/>
        <v>#DIV/0!</v>
      </c>
      <c r="N20" s="184">
        <f>AN92+AO92</f>
        <v>0</v>
      </c>
      <c r="O20" s="194" t="e">
        <f t="shared" si="1"/>
        <v>#DIV/0!</v>
      </c>
      <c r="P20" s="184">
        <f>SUM(AQ92:AR92)</f>
        <v>0</v>
      </c>
      <c r="Q20" s="194" t="e">
        <f t="shared" si="7"/>
        <v>#DIV/0!</v>
      </c>
      <c r="R20" s="184">
        <f>SUM(AT92:AU92)</f>
        <v>0</v>
      </c>
      <c r="S20" s="194" t="e">
        <f t="shared" si="2"/>
        <v>#DIV/0!</v>
      </c>
      <c r="T20" s="184">
        <f>SUM(AW92:AX92)</f>
        <v>0</v>
      </c>
      <c r="U20" s="194" t="e">
        <f t="shared" si="3"/>
        <v>#DIV/0!</v>
      </c>
      <c r="V20" s="184">
        <f>AZ92</f>
        <v>0</v>
      </c>
      <c r="W20" s="184">
        <f>BB92</f>
        <v>0</v>
      </c>
      <c r="X20" s="194">
        <f t="shared" si="4"/>
        <v>1</v>
      </c>
      <c r="Y20" s="195"/>
      <c r="Z20" s="195"/>
      <c r="AA20" s="195" t="s">
        <v>342</v>
      </c>
      <c r="AB20" s="207"/>
      <c r="AC20" s="224" t="s">
        <v>273</v>
      </c>
      <c r="AD20" s="225"/>
      <c r="AE20" s="225"/>
      <c r="AF20" s="226"/>
      <c r="AG20" s="226"/>
      <c r="AH20" s="227"/>
      <c r="AI20" s="226"/>
      <c r="AJ20" s="226"/>
      <c r="AK20" s="226"/>
      <c r="AL20" s="226"/>
      <c r="AM20" s="228" t="e">
        <f t="shared" ref="AM20:AM21" si="52">SUM(AJ20:AL20)/AH20</f>
        <v>#DIV/0!</v>
      </c>
      <c r="AN20" s="226"/>
      <c r="AO20" s="226"/>
      <c r="AP20" s="229" t="e">
        <f t="shared" ref="AP20:AP21" si="53">SUM(AN20:AO20)/AI20</f>
        <v>#DIV/0!</v>
      </c>
      <c r="AQ20" s="226"/>
      <c r="AR20" s="226"/>
      <c r="AS20" s="229" t="e">
        <f t="shared" ref="AS20:AS21" si="54">(AQ20+AR20)/$AG20</f>
        <v>#DIV/0!</v>
      </c>
      <c r="AT20" s="226"/>
      <c r="AU20" s="226"/>
      <c r="AV20" s="229" t="e">
        <f t="shared" ref="AV20:AV21" si="55">(AT20+AU20)/$AG20</f>
        <v>#DIV/0!</v>
      </c>
      <c r="AW20" s="226"/>
      <c r="AX20" s="226"/>
      <c r="AY20" s="229" t="e">
        <f t="shared" ref="AY20:AY21" si="56">(AW20+AX20)/$AG20</f>
        <v>#DIV/0!</v>
      </c>
      <c r="AZ20" s="230">
        <f t="shared" ref="AZ20:BA21" si="57">SUM(AN20,AQ20,AT20,AW20)</f>
        <v>0</v>
      </c>
      <c r="BA20" s="230">
        <f t="shared" si="57"/>
        <v>0</v>
      </c>
      <c r="BB20" s="230">
        <f t="shared" ref="BB20:BB21" si="58">SUM(AZ20:BA20)</f>
        <v>0</v>
      </c>
      <c r="BC20" s="229">
        <f t="shared" ref="BC20:BC21" si="59">(BB20+1)/(AI20+1)</f>
        <v>1</v>
      </c>
      <c r="BD20" s="231"/>
      <c r="BE20" s="231"/>
    </row>
    <row r="21" spans="1:60" ht="15" customHeight="1" x14ac:dyDescent="0.2">
      <c r="A21" s="321">
        <v>59</v>
      </c>
      <c r="B21" s="331"/>
      <c r="C21" s="328"/>
      <c r="D21" s="325"/>
      <c r="E21" s="347">
        <f t="shared" ref="E21:J21" si="60">AG97</f>
        <v>0</v>
      </c>
      <c r="F21" s="340">
        <f t="shared" si="60"/>
        <v>0</v>
      </c>
      <c r="G21" s="197">
        <f t="shared" si="60"/>
        <v>0</v>
      </c>
      <c r="H21" s="197">
        <f t="shared" si="60"/>
        <v>0</v>
      </c>
      <c r="I21" s="197">
        <f t="shared" si="60"/>
        <v>0</v>
      </c>
      <c r="J21" s="341">
        <f t="shared" si="60"/>
        <v>0</v>
      </c>
      <c r="K21" s="315">
        <f>BA97</f>
        <v>0</v>
      </c>
      <c r="L21" s="184">
        <f t="shared" si="6"/>
        <v>0</v>
      </c>
      <c r="M21" s="193" t="e">
        <f t="shared" si="19"/>
        <v>#DIV/0!</v>
      </c>
      <c r="N21" s="184">
        <f>AN97+AO97</f>
        <v>0</v>
      </c>
      <c r="O21" s="194" t="e">
        <f t="shared" si="1"/>
        <v>#DIV/0!</v>
      </c>
      <c r="P21" s="184">
        <f>SUM(AQ97:AR97)</f>
        <v>0</v>
      </c>
      <c r="Q21" s="194" t="e">
        <f t="shared" si="7"/>
        <v>#DIV/0!</v>
      </c>
      <c r="R21" s="184">
        <f>SUM(AT97:AU97)</f>
        <v>0</v>
      </c>
      <c r="S21" s="194" t="e">
        <f t="shared" si="2"/>
        <v>#DIV/0!</v>
      </c>
      <c r="T21" s="184">
        <f>SUM(AW97:AX97)</f>
        <v>0</v>
      </c>
      <c r="U21" s="194" t="e">
        <f t="shared" si="3"/>
        <v>#DIV/0!</v>
      </c>
      <c r="V21" s="184">
        <f>AZ97</f>
        <v>0</v>
      </c>
      <c r="W21" s="184">
        <f>BB97</f>
        <v>0</v>
      </c>
      <c r="X21" s="194">
        <f t="shared" si="4"/>
        <v>1</v>
      </c>
      <c r="Y21" s="195"/>
      <c r="Z21" s="195"/>
      <c r="AA21" s="195" t="s">
        <v>342</v>
      </c>
      <c r="AB21" s="207"/>
      <c r="AC21" s="232" t="s">
        <v>275</v>
      </c>
      <c r="AD21" s="233"/>
      <c r="AE21" s="233"/>
      <c r="AF21" s="234"/>
      <c r="AG21" s="234"/>
      <c r="AH21" s="235"/>
      <c r="AI21" s="234"/>
      <c r="AJ21" s="234"/>
      <c r="AK21" s="234"/>
      <c r="AL21" s="234"/>
      <c r="AM21" s="236" t="e">
        <f t="shared" si="52"/>
        <v>#DIV/0!</v>
      </c>
      <c r="AN21" s="234"/>
      <c r="AO21" s="234"/>
      <c r="AP21" s="237" t="e">
        <f t="shared" si="53"/>
        <v>#DIV/0!</v>
      </c>
      <c r="AQ21" s="234"/>
      <c r="AR21" s="234"/>
      <c r="AS21" s="237" t="e">
        <f t="shared" si="54"/>
        <v>#DIV/0!</v>
      </c>
      <c r="AT21" s="234"/>
      <c r="AU21" s="234"/>
      <c r="AV21" s="237" t="e">
        <f t="shared" si="55"/>
        <v>#DIV/0!</v>
      </c>
      <c r="AW21" s="234"/>
      <c r="AX21" s="234"/>
      <c r="AY21" s="237" t="e">
        <f t="shared" si="56"/>
        <v>#DIV/0!</v>
      </c>
      <c r="AZ21" s="238">
        <f t="shared" si="57"/>
        <v>0</v>
      </c>
      <c r="BA21" s="238">
        <f t="shared" si="57"/>
        <v>0</v>
      </c>
      <c r="BB21" s="238">
        <f t="shared" si="58"/>
        <v>0</v>
      </c>
      <c r="BC21" s="237">
        <f t="shared" si="59"/>
        <v>1</v>
      </c>
      <c r="BD21" s="239"/>
      <c r="BE21" s="239"/>
    </row>
    <row r="22" spans="1:60" ht="15" customHeight="1" x14ac:dyDescent="0.2">
      <c r="A22" s="322">
        <v>60</v>
      </c>
      <c r="B22" s="332"/>
      <c r="C22" s="329"/>
      <c r="D22" s="326"/>
      <c r="E22" s="348">
        <f t="shared" ref="E22:J22" si="61">AG102</f>
        <v>0</v>
      </c>
      <c r="F22" s="342">
        <f t="shared" si="61"/>
        <v>0</v>
      </c>
      <c r="G22" s="343">
        <v>495</v>
      </c>
      <c r="H22" s="343">
        <f t="shared" si="61"/>
        <v>0</v>
      </c>
      <c r="I22" s="343">
        <f t="shared" si="61"/>
        <v>0</v>
      </c>
      <c r="J22" s="344">
        <f t="shared" si="61"/>
        <v>0</v>
      </c>
      <c r="K22" s="316">
        <f>BA102</f>
        <v>0</v>
      </c>
      <c r="L22" s="202">
        <f>SUM(K23:K23)</f>
        <v>0</v>
      </c>
      <c r="M22" s="203" t="e">
        <f t="shared" si="19"/>
        <v>#DIV/0!</v>
      </c>
      <c r="N22" s="202">
        <f>AN102+AO102</f>
        <v>0</v>
      </c>
      <c r="O22" s="204">
        <f t="shared" si="1"/>
        <v>0</v>
      </c>
      <c r="P22" s="202">
        <f>SUM(AQ102:AR102)</f>
        <v>0</v>
      </c>
      <c r="Q22" s="204">
        <f t="shared" si="7"/>
        <v>0</v>
      </c>
      <c r="R22" s="202">
        <f>SUM(AT102:AU102)</f>
        <v>0</v>
      </c>
      <c r="S22" s="204">
        <f t="shared" si="2"/>
        <v>0</v>
      </c>
      <c r="T22" s="202">
        <f>SUM(AW102:AX102)</f>
        <v>0</v>
      </c>
      <c r="U22" s="204">
        <f t="shared" si="3"/>
        <v>0</v>
      </c>
      <c r="V22" s="202">
        <f>AZ102</f>
        <v>0</v>
      </c>
      <c r="W22" s="202">
        <f>BB102</f>
        <v>0</v>
      </c>
      <c r="X22" s="307">
        <f t="shared" si="4"/>
        <v>2.0161290322580645E-3</v>
      </c>
      <c r="Y22" s="205"/>
      <c r="Z22" s="205"/>
      <c r="AA22" s="205" t="s">
        <v>342</v>
      </c>
      <c r="AB22" s="207"/>
      <c r="AC22" s="7"/>
      <c r="AG22" s="240">
        <f>SUM(AG19:AG21)</f>
        <v>0</v>
      </c>
      <c r="AH22" s="240">
        <f>SUM(AH19:AH21)</f>
        <v>0</v>
      </c>
      <c r="AI22" s="240">
        <f t="shared" ref="AI22:AL22" si="62">SUM(AI19:AI21)</f>
        <v>0</v>
      </c>
      <c r="AJ22" s="240">
        <f t="shared" si="62"/>
        <v>0</v>
      </c>
      <c r="AK22" s="240">
        <f t="shared" si="62"/>
        <v>0</v>
      </c>
      <c r="AL22" s="240">
        <f t="shared" si="62"/>
        <v>0</v>
      </c>
      <c r="AM22" s="135"/>
      <c r="AN22" s="240">
        <f>SUM(AN19:AN21)</f>
        <v>0</v>
      </c>
      <c r="AO22" s="240">
        <f>SUM(AO19:AO21)</f>
        <v>0</v>
      </c>
      <c r="AP22" s="241"/>
      <c r="AQ22" s="240">
        <f>SUM(AQ19:AQ21)</f>
        <v>0</v>
      </c>
      <c r="AR22" s="240">
        <f>SUM(AR19:AR21)</f>
        <v>0</v>
      </c>
      <c r="AS22" s="241"/>
      <c r="AT22" s="240">
        <f>SUM(AT19:AT21)</f>
        <v>0</v>
      </c>
      <c r="AU22" s="240">
        <f>SUM(AU19:AU21)</f>
        <v>0</v>
      </c>
      <c r="AV22" s="241"/>
      <c r="AW22" s="240">
        <f>SUM(AW19:AW21)</f>
        <v>0</v>
      </c>
      <c r="AX22" s="240">
        <f>SUM(AX19:AX21)</f>
        <v>0</v>
      </c>
      <c r="AY22" s="241"/>
      <c r="AZ22" s="240">
        <f>SUM(AZ19:AZ21)</f>
        <v>0</v>
      </c>
      <c r="BA22" s="240">
        <f>SUM(BA19:BA21)</f>
        <v>0</v>
      </c>
      <c r="BB22" s="240">
        <f>SUM(AZ22:BA22)</f>
        <v>0</v>
      </c>
      <c r="BC22" s="242">
        <f>(BB22+1)/(AI22+1)</f>
        <v>1</v>
      </c>
      <c r="BD22" s="98"/>
      <c r="BE22" s="98"/>
    </row>
    <row r="23" spans="1:60" ht="15" customHeight="1" x14ac:dyDescent="0.2">
      <c r="A23" s="311"/>
      <c r="D23" s="24"/>
      <c r="E23" s="99">
        <f t="shared" ref="E23:K23" si="63">SUM(E3:E22)</f>
        <v>781</v>
      </c>
      <c r="F23" s="99">
        <f t="shared" si="63"/>
        <v>781</v>
      </c>
      <c r="G23" s="99">
        <f t="shared" si="63"/>
        <v>739</v>
      </c>
      <c r="H23" s="99">
        <f t="shared" si="63"/>
        <v>0</v>
      </c>
      <c r="I23" s="99">
        <f t="shared" si="63"/>
        <v>43</v>
      </c>
      <c r="J23" s="99">
        <f t="shared" si="63"/>
        <v>1</v>
      </c>
      <c r="K23" s="99">
        <f t="shared" si="63"/>
        <v>0</v>
      </c>
      <c r="L23" s="99">
        <f>SUM(H24:K24)</f>
        <v>0</v>
      </c>
      <c r="M23" s="101">
        <f>L23/E23</f>
        <v>0</v>
      </c>
      <c r="N23" s="99">
        <f>SUM(N3:N22)</f>
        <v>33</v>
      </c>
      <c r="O23" s="100">
        <f>N23/G23</f>
        <v>4.4654939106901215E-2</v>
      </c>
      <c r="P23" s="99">
        <f>SUM(P3:P22)</f>
        <v>3</v>
      </c>
      <c r="Q23" s="100">
        <f>P23/G23</f>
        <v>4.0595399188092015E-3</v>
      </c>
      <c r="R23" s="99">
        <f>SUM(R3:R22)</f>
        <v>0</v>
      </c>
      <c r="S23" s="100">
        <f>R23/G23</f>
        <v>0</v>
      </c>
      <c r="T23" s="99">
        <f>SUM(T3:T6)</f>
        <v>0</v>
      </c>
      <c r="U23" s="100">
        <f>T23/G23</f>
        <v>0</v>
      </c>
      <c r="V23" s="99">
        <f>SUM(V3:V22)</f>
        <v>36</v>
      </c>
      <c r="W23" s="99">
        <f>SUM(W3:W22)</f>
        <v>36</v>
      </c>
      <c r="X23" s="99">
        <f>SUM(X3:X22)</f>
        <v>18.153036537195526</v>
      </c>
      <c r="Y23" s="100"/>
      <c r="Z23" s="101"/>
      <c r="AA23" s="101"/>
      <c r="AB23" s="101"/>
      <c r="AC23" s="212" t="s">
        <v>326</v>
      </c>
      <c r="AD23" s="15"/>
      <c r="AE23" s="23"/>
      <c r="AF23" s="16"/>
      <c r="AG23" s="15"/>
      <c r="AH23" s="15"/>
      <c r="AI23" s="15"/>
      <c r="AJ23" s="15"/>
      <c r="AK23" s="15"/>
      <c r="AL23" s="22"/>
      <c r="AM23" s="213"/>
      <c r="AN23" s="23"/>
      <c r="AO23" s="23"/>
      <c r="AP23" s="7"/>
      <c r="AQ23" s="15"/>
      <c r="AR23" s="15"/>
      <c r="AS23" s="7"/>
      <c r="AT23" s="15"/>
      <c r="AU23" s="15"/>
      <c r="AV23" s="7"/>
      <c r="AW23" s="15"/>
      <c r="AX23" s="15"/>
      <c r="AY23" s="214"/>
      <c r="AZ23" s="215"/>
      <c r="BA23" s="10"/>
      <c r="BB23" s="7"/>
      <c r="BC23" s="7"/>
      <c r="BD23" s="7"/>
      <c r="BE23" s="7"/>
    </row>
    <row r="24" spans="1:60" ht="15" customHeight="1" x14ac:dyDescent="0.2">
      <c r="A24" s="311"/>
      <c r="O24" s="18"/>
      <c r="Q24" s="18"/>
      <c r="S24" s="18"/>
      <c r="U24" s="18"/>
      <c r="Y24" s="23"/>
      <c r="Z24" s="18"/>
      <c r="AA24" s="18"/>
      <c r="AB24" s="18"/>
      <c r="AC24" s="216" t="s">
        <v>271</v>
      </c>
      <c r="AD24" s="217"/>
      <c r="AE24" s="217"/>
      <c r="AF24" s="218"/>
      <c r="AG24" s="218"/>
      <c r="AH24" s="219"/>
      <c r="AI24" s="218"/>
      <c r="AJ24" s="218"/>
      <c r="AK24" s="218"/>
      <c r="AL24" s="218"/>
      <c r="AM24" s="220" t="e">
        <f>SUM(AJ24:AL24)/AH24</f>
        <v>#DIV/0!</v>
      </c>
      <c r="AN24" s="218"/>
      <c r="AO24" s="218"/>
      <c r="AP24" s="221" t="e">
        <f>SUM(AN24:AO24)/AI24</f>
        <v>#DIV/0!</v>
      </c>
      <c r="AQ24" s="218"/>
      <c r="AR24" s="218"/>
      <c r="AS24" s="221" t="e">
        <f>(AQ24+AR24)/$AG24</f>
        <v>#DIV/0!</v>
      </c>
      <c r="AT24" s="218"/>
      <c r="AU24" s="218"/>
      <c r="AV24" s="221" t="e">
        <f>(AT24+AU24)/$AG24</f>
        <v>#DIV/0!</v>
      </c>
      <c r="AW24" s="218"/>
      <c r="AX24" s="218"/>
      <c r="AY24" s="221" t="e">
        <f>(AW24+AX24)/$AG24</f>
        <v>#DIV/0!</v>
      </c>
      <c r="AZ24" s="222">
        <f>SUM(AN24,AQ24,AT24,AW24)</f>
        <v>0</v>
      </c>
      <c r="BA24" s="222">
        <f>SUM(AO24,AR24,AU24,AX24)</f>
        <v>0</v>
      </c>
      <c r="BB24" s="222">
        <f>SUM(AZ24:BA24)</f>
        <v>0</v>
      </c>
      <c r="BC24" s="221">
        <f>(BB24+1)/(AI24+1)</f>
        <v>1</v>
      </c>
      <c r="BD24" s="223"/>
      <c r="BE24" s="223"/>
    </row>
    <row r="25" spans="1:60" ht="15" customHeight="1" x14ac:dyDescent="0.3">
      <c r="A25" s="311"/>
      <c r="F25" s="107" t="s">
        <v>289</v>
      </c>
      <c r="G25" s="122"/>
      <c r="H25" s="123"/>
      <c r="I25" s="124"/>
      <c r="J25" s="124"/>
      <c r="K25" s="124"/>
      <c r="L25" s="124"/>
      <c r="M25" s="125"/>
      <c r="N25" s="125"/>
      <c r="O25" s="12"/>
      <c r="P25" s="123"/>
      <c r="Q25" s="13"/>
      <c r="R25" s="123"/>
      <c r="S25" s="13"/>
      <c r="T25" s="123"/>
      <c r="U25" s="14"/>
      <c r="V25" s="131"/>
      <c r="Y25" s="23"/>
      <c r="Z25" s="18"/>
      <c r="AA25" s="18"/>
      <c r="AB25" s="18"/>
      <c r="AC25" s="224" t="s">
        <v>273</v>
      </c>
      <c r="AD25" s="225"/>
      <c r="AE25" s="225"/>
      <c r="AF25" s="226"/>
      <c r="AG25" s="226"/>
      <c r="AH25" s="227"/>
      <c r="AI25" s="226"/>
      <c r="AJ25" s="226"/>
      <c r="AK25" s="226"/>
      <c r="AL25" s="226"/>
      <c r="AM25" s="228" t="e">
        <f t="shared" ref="AM25:AM26" si="64">SUM(AJ25:AL25)/AH25</f>
        <v>#DIV/0!</v>
      </c>
      <c r="AN25" s="226"/>
      <c r="AO25" s="226"/>
      <c r="AP25" s="229" t="e">
        <f t="shared" ref="AP25:AP26" si="65">SUM(AN25:AO25)/AI25</f>
        <v>#DIV/0!</v>
      </c>
      <c r="AQ25" s="226"/>
      <c r="AR25" s="226"/>
      <c r="AS25" s="229" t="e">
        <f t="shared" ref="AS25:AS26" si="66">(AQ25+AR25)/$AG25</f>
        <v>#DIV/0!</v>
      </c>
      <c r="AT25" s="226"/>
      <c r="AU25" s="226"/>
      <c r="AV25" s="229" t="e">
        <f t="shared" ref="AV25:AV26" si="67">(AT25+AU25)/$AG25</f>
        <v>#DIV/0!</v>
      </c>
      <c r="AW25" s="226"/>
      <c r="AX25" s="226"/>
      <c r="AY25" s="229" t="e">
        <f t="shared" ref="AY25:AY26" si="68">(AW25+AX25)/$AG25</f>
        <v>#DIV/0!</v>
      </c>
      <c r="AZ25" s="230">
        <f t="shared" ref="AZ25:BA26" si="69">SUM(AN25,AQ25,AT25,AW25)</f>
        <v>0</v>
      </c>
      <c r="BA25" s="230">
        <f t="shared" si="69"/>
        <v>0</v>
      </c>
      <c r="BB25" s="230">
        <f t="shared" ref="BB25:BB26" si="70">SUM(AZ25:BA25)</f>
        <v>0</v>
      </c>
      <c r="BC25" s="229">
        <f t="shared" ref="BC25:BC26" si="71">(BB25+1)/(AI25+1)</f>
        <v>1</v>
      </c>
      <c r="BD25" s="231"/>
      <c r="BE25" s="231"/>
    </row>
    <row r="26" spans="1:60" ht="15" customHeight="1" x14ac:dyDescent="0.3">
      <c r="A26" s="311"/>
      <c r="F26" s="137" t="s">
        <v>228</v>
      </c>
      <c r="G26" s="138"/>
      <c r="H26" s="139"/>
      <c r="I26" s="140"/>
      <c r="J26" s="141"/>
      <c r="K26" s="141"/>
      <c r="L26" s="141"/>
      <c r="M26" s="142"/>
      <c r="N26" s="139"/>
      <c r="O26" s="143"/>
      <c r="P26" s="139"/>
      <c r="Q26" s="143"/>
      <c r="R26" s="139"/>
      <c r="S26" s="144"/>
      <c r="T26" s="145"/>
      <c r="U26" s="18"/>
      <c r="Y26" s="23"/>
      <c r="Z26" s="18"/>
      <c r="AA26" s="18"/>
      <c r="AB26" s="18"/>
      <c r="AC26" s="232" t="s">
        <v>275</v>
      </c>
      <c r="AD26" s="233"/>
      <c r="AE26" s="233"/>
      <c r="AF26" s="234"/>
      <c r="AG26" s="234"/>
      <c r="AH26" s="235"/>
      <c r="AI26" s="234"/>
      <c r="AJ26" s="234"/>
      <c r="AK26" s="234"/>
      <c r="AL26" s="234"/>
      <c r="AM26" s="236" t="e">
        <f t="shared" si="64"/>
        <v>#DIV/0!</v>
      </c>
      <c r="AN26" s="234"/>
      <c r="AO26" s="234"/>
      <c r="AP26" s="237" t="e">
        <f t="shared" si="65"/>
        <v>#DIV/0!</v>
      </c>
      <c r="AQ26" s="234"/>
      <c r="AR26" s="234"/>
      <c r="AS26" s="237" t="e">
        <f t="shared" si="66"/>
        <v>#DIV/0!</v>
      </c>
      <c r="AT26" s="234"/>
      <c r="AU26" s="234"/>
      <c r="AV26" s="237" t="e">
        <f t="shared" si="67"/>
        <v>#DIV/0!</v>
      </c>
      <c r="AW26" s="234"/>
      <c r="AX26" s="234"/>
      <c r="AY26" s="237" t="e">
        <f t="shared" si="68"/>
        <v>#DIV/0!</v>
      </c>
      <c r="AZ26" s="238">
        <f t="shared" si="69"/>
        <v>0</v>
      </c>
      <c r="BA26" s="238">
        <f t="shared" si="69"/>
        <v>0</v>
      </c>
      <c r="BB26" s="238">
        <f t="shared" si="70"/>
        <v>0</v>
      </c>
      <c r="BC26" s="237">
        <f t="shared" si="71"/>
        <v>1</v>
      </c>
      <c r="BD26" s="239"/>
      <c r="BE26" s="239"/>
    </row>
    <row r="27" spans="1:60" ht="12.75" x14ac:dyDescent="0.2">
      <c r="A27" s="311"/>
      <c r="O27" s="18"/>
      <c r="Q27" s="18"/>
      <c r="S27" s="18"/>
      <c r="U27" s="18"/>
      <c r="Y27" s="23"/>
      <c r="Z27" s="18"/>
      <c r="AA27" s="18"/>
      <c r="AB27" s="18"/>
      <c r="AC27" s="7"/>
      <c r="AG27" s="240">
        <f>SUM(AG24:AG26)</f>
        <v>0</v>
      </c>
      <c r="AH27" s="240">
        <f>SUM(AH24:AH26)</f>
        <v>0</v>
      </c>
      <c r="AI27" s="240">
        <f t="shared" ref="AI27:AL27" si="72">SUM(AI24:AI26)</f>
        <v>0</v>
      </c>
      <c r="AJ27" s="240">
        <f t="shared" si="72"/>
        <v>0</v>
      </c>
      <c r="AK27" s="240">
        <f t="shared" si="72"/>
        <v>0</v>
      </c>
      <c r="AL27" s="240">
        <f t="shared" si="72"/>
        <v>0</v>
      </c>
      <c r="AM27" s="135"/>
      <c r="AN27" s="240">
        <f>SUM(AN24:AN26)</f>
        <v>0</v>
      </c>
      <c r="AO27" s="240">
        <f>SUM(AO24:AO26)</f>
        <v>0</v>
      </c>
      <c r="AP27" s="241"/>
      <c r="AQ27" s="240">
        <f>SUM(AQ24:AQ26)</f>
        <v>0</v>
      </c>
      <c r="AR27" s="240">
        <f>SUM(AR24:AR26)</f>
        <v>0</v>
      </c>
      <c r="AS27" s="241"/>
      <c r="AT27" s="240">
        <f>SUM(AT24:AT26)</f>
        <v>0</v>
      </c>
      <c r="AU27" s="240">
        <f>SUM(AU24:AU26)</f>
        <v>0</v>
      </c>
      <c r="AV27" s="241"/>
      <c r="AW27" s="240">
        <f>SUM(AW24:AW26)</f>
        <v>0</v>
      </c>
      <c r="AX27" s="240">
        <f>SUM(AX24:AX26)</f>
        <v>0</v>
      </c>
      <c r="AY27" s="241"/>
      <c r="AZ27" s="240">
        <f>SUM(AZ24:AZ26)</f>
        <v>0</v>
      </c>
      <c r="BA27" s="240">
        <f>SUM(BA24:BA26)</f>
        <v>0</v>
      </c>
      <c r="BB27" s="240">
        <f>SUM(AZ27:BA27)</f>
        <v>0</v>
      </c>
      <c r="BC27" s="242">
        <f>(BB27+1)/(AI27+1)</f>
        <v>1</v>
      </c>
      <c r="BD27" s="98"/>
      <c r="BE27" s="98"/>
    </row>
    <row r="28" spans="1:60" ht="12.75" x14ac:dyDescent="0.2">
      <c r="A28" s="311"/>
      <c r="I28" s="116" t="s">
        <v>291</v>
      </c>
      <c r="J28" s="3" t="s">
        <v>292</v>
      </c>
      <c r="K28" s="116" t="s">
        <v>293</v>
      </c>
      <c r="L28" s="115"/>
      <c r="M28" s="115"/>
      <c r="N28" s="115"/>
      <c r="O28" s="115"/>
      <c r="P28" s="115"/>
      <c r="Q28" s="115"/>
      <c r="U28" s="31"/>
      <c r="V28" s="133"/>
      <c r="W28" s="133"/>
      <c r="X28" s="133"/>
      <c r="Z28" s="18"/>
      <c r="AA28" s="18"/>
      <c r="AB28" s="18"/>
      <c r="AC28" s="212" t="s">
        <v>327</v>
      </c>
      <c r="AD28" s="15"/>
      <c r="AE28" s="23"/>
      <c r="AF28" s="16"/>
      <c r="AG28" s="15"/>
      <c r="AH28" s="15"/>
      <c r="AI28" s="15"/>
      <c r="AJ28" s="15"/>
      <c r="AK28" s="15"/>
      <c r="AL28" s="22"/>
      <c r="AM28" s="213"/>
      <c r="AN28" s="23"/>
      <c r="AO28" s="23"/>
      <c r="AP28" s="7"/>
      <c r="AQ28" s="15"/>
      <c r="AR28" s="15"/>
      <c r="AS28" s="7"/>
      <c r="AT28" s="15"/>
      <c r="AU28" s="15"/>
      <c r="AV28" s="7"/>
      <c r="AW28" s="15"/>
      <c r="AX28" s="15"/>
      <c r="AY28" s="214"/>
      <c r="AZ28" s="215"/>
      <c r="BA28" s="10"/>
      <c r="BB28" s="7"/>
      <c r="BC28" s="7"/>
      <c r="BD28" s="7"/>
      <c r="BE28" s="7"/>
    </row>
    <row r="29" spans="1:60" ht="12.75" x14ac:dyDescent="0.2">
      <c r="A29" s="311"/>
      <c r="D29" s="117"/>
      <c r="E29" s="117"/>
      <c r="F29" s="118"/>
      <c r="I29" s="119">
        <f>ROUND(AVERAGE(G3),0)</f>
        <v>244</v>
      </c>
      <c r="J29" s="5">
        <f>AVERAGE(W3)</f>
        <v>36</v>
      </c>
      <c r="K29" s="148">
        <f>(J29+1)/(I29+1)</f>
        <v>0.15102040816326531</v>
      </c>
      <c r="L29" s="115"/>
      <c r="M29" s="115"/>
      <c r="N29" s="115"/>
      <c r="O29" s="115"/>
      <c r="P29" s="115"/>
      <c r="Q29" s="115"/>
      <c r="Y29" s="17"/>
      <c r="Z29" s="18"/>
      <c r="AA29" s="18"/>
      <c r="AB29" s="18"/>
      <c r="AC29" s="216" t="s">
        <v>271</v>
      </c>
      <c r="AD29" s="217"/>
      <c r="AE29" s="217"/>
      <c r="AF29" s="218"/>
      <c r="AG29" s="218"/>
      <c r="AH29" s="219"/>
      <c r="AI29" s="218"/>
      <c r="AJ29" s="218"/>
      <c r="AK29" s="218"/>
      <c r="AL29" s="218"/>
      <c r="AM29" s="220" t="e">
        <f>SUM(AJ29:AL29)/AH29</f>
        <v>#DIV/0!</v>
      </c>
      <c r="AN29" s="218"/>
      <c r="AO29" s="218"/>
      <c r="AP29" s="221" t="e">
        <f>SUM(AN29:AO29)/AI29</f>
        <v>#DIV/0!</v>
      </c>
      <c r="AQ29" s="218"/>
      <c r="AR29" s="218"/>
      <c r="AS29" s="221" t="e">
        <f>(AQ29+AR29)/$AG29</f>
        <v>#DIV/0!</v>
      </c>
      <c r="AT29" s="218"/>
      <c r="AU29" s="218"/>
      <c r="AV29" s="221" t="e">
        <f>(AT29+AU29)/$AG29</f>
        <v>#DIV/0!</v>
      </c>
      <c r="AW29" s="218"/>
      <c r="AX29" s="218"/>
      <c r="AY29" s="221" t="e">
        <f>(AW29+AX29)/$AG29</f>
        <v>#DIV/0!</v>
      </c>
      <c r="AZ29" s="222">
        <f>SUM(AN29,AQ29,AT29,AW29)</f>
        <v>0</v>
      </c>
      <c r="BA29" s="222">
        <f>SUM(AO29,AR29,AU29,AX29)</f>
        <v>0</v>
      </c>
      <c r="BB29" s="222">
        <f>SUM(AZ29:BA29)</f>
        <v>0</v>
      </c>
      <c r="BC29" s="221">
        <f>(BB29+1)/(AI29+1)</f>
        <v>1</v>
      </c>
      <c r="BD29" s="223"/>
      <c r="BE29" s="223"/>
    </row>
    <row r="30" spans="1:60" ht="15" customHeight="1" x14ac:dyDescent="0.2">
      <c r="A30" s="311"/>
      <c r="I30" s="120" t="s">
        <v>294</v>
      </c>
      <c r="J30" s="115"/>
      <c r="K30" s="120"/>
      <c r="L30" s="115"/>
      <c r="M30" s="115"/>
      <c r="N30" s="115"/>
      <c r="O30" s="115"/>
      <c r="P30" s="115"/>
      <c r="Q30" s="115"/>
      <c r="Y30" s="17"/>
      <c r="Z30" s="18"/>
      <c r="AA30" s="18"/>
      <c r="AB30" s="18"/>
      <c r="AC30" s="224" t="s">
        <v>273</v>
      </c>
      <c r="AD30" s="225"/>
      <c r="AE30" s="225"/>
      <c r="AF30" s="226"/>
      <c r="AG30" s="226"/>
      <c r="AH30" s="227"/>
      <c r="AI30" s="226"/>
      <c r="AJ30" s="226"/>
      <c r="AK30" s="226"/>
      <c r="AL30" s="226"/>
      <c r="AM30" s="228" t="e">
        <f t="shared" ref="AM30:AM31" si="73">SUM(AJ30:AL30)/AH30</f>
        <v>#DIV/0!</v>
      </c>
      <c r="AN30" s="226"/>
      <c r="AO30" s="226"/>
      <c r="AP30" s="229" t="e">
        <f t="shared" ref="AP30:AP31" si="74">SUM(AN30:AO30)/AI30</f>
        <v>#DIV/0!</v>
      </c>
      <c r="AQ30" s="226"/>
      <c r="AR30" s="226"/>
      <c r="AS30" s="229" t="e">
        <f t="shared" ref="AS30:AS31" si="75">(AQ30+AR30)/$AG30</f>
        <v>#DIV/0!</v>
      </c>
      <c r="AT30" s="226"/>
      <c r="AU30" s="226"/>
      <c r="AV30" s="229" t="e">
        <f t="shared" ref="AV30:AV31" si="76">(AT30+AU30)/$AG30</f>
        <v>#DIV/0!</v>
      </c>
      <c r="AW30" s="226"/>
      <c r="AX30" s="226"/>
      <c r="AY30" s="229" t="e">
        <f t="shared" ref="AY30:AY31" si="77">(AW30+AX30)/$AG30</f>
        <v>#DIV/0!</v>
      </c>
      <c r="AZ30" s="230">
        <f t="shared" ref="AZ30:BA31" si="78">SUM(AN30,AQ30,AT30,AW30)</f>
        <v>0</v>
      </c>
      <c r="BA30" s="230">
        <f t="shared" si="78"/>
        <v>0</v>
      </c>
      <c r="BB30" s="230">
        <f t="shared" ref="BB30:BB31" si="79">SUM(AZ30:BA30)</f>
        <v>0</v>
      </c>
      <c r="BC30" s="229">
        <f t="shared" ref="BC30:BC31" si="80">(BB30+1)/(AI30+1)</f>
        <v>1</v>
      </c>
      <c r="BD30" s="231"/>
      <c r="BE30" s="231"/>
    </row>
    <row r="31" spans="1:60" ht="15" customHeight="1" x14ac:dyDescent="0.2">
      <c r="A31" s="311"/>
      <c r="J31" s="121"/>
      <c r="K31" s="121"/>
      <c r="L31" s="121"/>
      <c r="M31" s="38"/>
      <c r="Y31" s="17"/>
      <c r="Z31" s="18"/>
      <c r="AA31" s="18"/>
      <c r="AB31" s="18"/>
      <c r="AC31" s="232" t="s">
        <v>275</v>
      </c>
      <c r="AD31" s="233"/>
      <c r="AE31" s="233"/>
      <c r="AF31" s="234"/>
      <c r="AG31" s="234"/>
      <c r="AH31" s="235"/>
      <c r="AI31" s="234"/>
      <c r="AJ31" s="234"/>
      <c r="AK31" s="234"/>
      <c r="AL31" s="234"/>
      <c r="AM31" s="236" t="e">
        <f t="shared" si="73"/>
        <v>#DIV/0!</v>
      </c>
      <c r="AN31" s="234"/>
      <c r="AO31" s="234"/>
      <c r="AP31" s="237" t="e">
        <f t="shared" si="74"/>
        <v>#DIV/0!</v>
      </c>
      <c r="AQ31" s="234"/>
      <c r="AR31" s="234"/>
      <c r="AS31" s="237" t="e">
        <f t="shared" si="75"/>
        <v>#DIV/0!</v>
      </c>
      <c r="AT31" s="234"/>
      <c r="AU31" s="234"/>
      <c r="AV31" s="237" t="e">
        <f t="shared" si="76"/>
        <v>#DIV/0!</v>
      </c>
      <c r="AW31" s="234"/>
      <c r="AX31" s="234"/>
      <c r="AY31" s="237" t="e">
        <f t="shared" si="77"/>
        <v>#DIV/0!</v>
      </c>
      <c r="AZ31" s="238">
        <f t="shared" si="78"/>
        <v>0</v>
      </c>
      <c r="BA31" s="238">
        <f t="shared" si="78"/>
        <v>0</v>
      </c>
      <c r="BB31" s="238">
        <f t="shared" si="79"/>
        <v>0</v>
      </c>
      <c r="BC31" s="237">
        <f t="shared" si="80"/>
        <v>1</v>
      </c>
      <c r="BD31" s="239"/>
      <c r="BE31" s="239"/>
    </row>
    <row r="32" spans="1:60" ht="15" customHeight="1" x14ac:dyDescent="0.2">
      <c r="A32" s="311"/>
      <c r="J32" s="121"/>
      <c r="K32" s="121"/>
      <c r="L32" s="121"/>
      <c r="M32" s="38"/>
      <c r="O32" s="18"/>
      <c r="Q32" s="18"/>
      <c r="S32" s="18"/>
      <c r="Y32" s="17"/>
      <c r="AC32" s="7"/>
      <c r="AG32" s="240">
        <f>SUM(AG29:AG31)</f>
        <v>0</v>
      </c>
      <c r="AH32" s="240">
        <f>SUM(AH29:AH31)</f>
        <v>0</v>
      </c>
      <c r="AI32" s="240">
        <f t="shared" ref="AI32:AL32" si="81">SUM(AI29:AI31)</f>
        <v>0</v>
      </c>
      <c r="AJ32" s="240">
        <f t="shared" si="81"/>
        <v>0</v>
      </c>
      <c r="AK32" s="240">
        <f t="shared" si="81"/>
        <v>0</v>
      </c>
      <c r="AL32" s="240">
        <f t="shared" si="81"/>
        <v>0</v>
      </c>
      <c r="AM32" s="135"/>
      <c r="AN32" s="240">
        <f>SUM(AN29:AN31)</f>
        <v>0</v>
      </c>
      <c r="AO32" s="240">
        <f>SUM(AO29:AO31)</f>
        <v>0</v>
      </c>
      <c r="AP32" s="241"/>
      <c r="AQ32" s="240">
        <f>SUM(AQ29:AQ31)</f>
        <v>0</v>
      </c>
      <c r="AR32" s="240">
        <f>SUM(AR29:AR31)</f>
        <v>0</v>
      </c>
      <c r="AS32" s="241"/>
      <c r="AT32" s="240">
        <f>SUM(AT29:AT31)</f>
        <v>0</v>
      </c>
      <c r="AU32" s="240">
        <f>SUM(AU29:AU31)</f>
        <v>0</v>
      </c>
      <c r="AV32" s="241"/>
      <c r="AW32" s="240">
        <f>SUM(AW29:AW31)</f>
        <v>0</v>
      </c>
      <c r="AX32" s="240">
        <f>SUM(AX29:AX31)</f>
        <v>0</v>
      </c>
      <c r="AY32" s="241"/>
      <c r="AZ32" s="240">
        <f>SUM(AZ29:AZ31)</f>
        <v>0</v>
      </c>
      <c r="BA32" s="240">
        <f>SUM(BA29:BA31)</f>
        <v>0</v>
      </c>
      <c r="BB32" s="240">
        <f>SUM(AZ32:BA32)</f>
        <v>0</v>
      </c>
      <c r="BC32" s="242">
        <f>(BB32+1)/(AI32+1)</f>
        <v>1</v>
      </c>
      <c r="BD32" s="98"/>
      <c r="BE32" s="98"/>
    </row>
    <row r="33" spans="1:59" ht="15" customHeight="1" x14ac:dyDescent="0.2">
      <c r="A33" s="311"/>
      <c r="D33" s="105"/>
      <c r="E33" s="105"/>
      <c r="F33" s="105"/>
      <c r="G33" s="105"/>
      <c r="H33" s="105"/>
      <c r="I33" s="105"/>
      <c r="J33" s="105"/>
      <c r="K33" s="105"/>
      <c r="L33" s="105"/>
      <c r="M33" s="105"/>
      <c r="N33" s="105"/>
      <c r="O33" s="105"/>
      <c r="P33" s="105"/>
      <c r="Q33" s="105"/>
      <c r="R33" s="105"/>
      <c r="S33" s="105"/>
      <c r="T33" s="105"/>
      <c r="U33" s="18"/>
      <c r="Y33" s="18"/>
      <c r="AC33" s="212" t="s">
        <v>328</v>
      </c>
      <c r="AD33" s="15"/>
      <c r="AE33" s="23"/>
      <c r="AF33" s="16"/>
      <c r="AG33" s="15"/>
      <c r="AH33" s="15"/>
      <c r="AI33" s="15"/>
      <c r="AJ33" s="15"/>
      <c r="AK33" s="15"/>
      <c r="AL33" s="22"/>
      <c r="AM33" s="213"/>
      <c r="AN33" s="23"/>
      <c r="AO33" s="23"/>
      <c r="AP33" s="7"/>
      <c r="AQ33" s="15"/>
      <c r="AR33" s="15"/>
      <c r="AS33" s="7"/>
      <c r="AT33" s="15"/>
      <c r="AU33" s="15"/>
      <c r="AV33" s="7"/>
      <c r="AW33" s="15"/>
      <c r="AX33" s="15"/>
      <c r="AY33" s="214"/>
      <c r="AZ33" s="215"/>
      <c r="BA33" s="10"/>
      <c r="BB33" s="7"/>
      <c r="BC33" s="7"/>
      <c r="BD33" s="7"/>
      <c r="BE33" s="7"/>
    </row>
    <row r="34" spans="1:59" ht="15" customHeight="1" x14ac:dyDescent="0.25">
      <c r="A34" s="311"/>
      <c r="C34" s="108"/>
      <c r="D34" s="126"/>
      <c r="E34" s="126"/>
      <c r="F34" s="127"/>
      <c r="G34" s="128"/>
      <c r="H34" s="128"/>
      <c r="I34" s="128"/>
      <c r="J34" s="121"/>
      <c r="K34" s="121"/>
      <c r="L34" s="121"/>
      <c r="M34" s="38"/>
      <c r="S34" s="18"/>
      <c r="U34" s="43"/>
      <c r="V34" s="134"/>
      <c r="W34" s="134"/>
      <c r="X34" s="134"/>
      <c r="AC34" s="216" t="s">
        <v>271</v>
      </c>
      <c r="AD34" s="217"/>
      <c r="AE34" s="217"/>
      <c r="AF34" s="218"/>
      <c r="AG34" s="218"/>
      <c r="AH34" s="219"/>
      <c r="AI34" s="218"/>
      <c r="AJ34" s="218"/>
      <c r="AK34" s="218"/>
      <c r="AL34" s="218"/>
      <c r="AM34" s="220" t="e">
        <f>SUM(AJ34:AL34)/AH34</f>
        <v>#DIV/0!</v>
      </c>
      <c r="AN34" s="218"/>
      <c r="AO34" s="218"/>
      <c r="AP34" s="221" t="e">
        <f>SUM(AN34:AO34)/AI34</f>
        <v>#DIV/0!</v>
      </c>
      <c r="AQ34" s="218"/>
      <c r="AR34" s="218"/>
      <c r="AS34" s="221" t="e">
        <f>(AQ34+AR34)/$AG34</f>
        <v>#DIV/0!</v>
      </c>
      <c r="AT34" s="218"/>
      <c r="AU34" s="218"/>
      <c r="AV34" s="221" t="e">
        <f>(AT34+AU34)/$AG34</f>
        <v>#DIV/0!</v>
      </c>
      <c r="AW34" s="218"/>
      <c r="AX34" s="218"/>
      <c r="AY34" s="221" t="e">
        <f>(AW34+AX34)/$AG34</f>
        <v>#DIV/0!</v>
      </c>
      <c r="AZ34" s="222">
        <f>SUM(AN34,AQ34,AT34,AW34)</f>
        <v>0</v>
      </c>
      <c r="BA34" s="222">
        <f>SUM(AO34,AR34,AU34,AX34)</f>
        <v>0</v>
      </c>
      <c r="BB34" s="222">
        <f>SUM(AZ34:BA34)</f>
        <v>0</v>
      </c>
      <c r="BC34" s="221">
        <f>(BB34+1)/(AI34+1)</f>
        <v>1</v>
      </c>
      <c r="BD34" s="223"/>
      <c r="BE34" s="223"/>
    </row>
    <row r="35" spans="1:59" ht="15" customHeight="1" x14ac:dyDescent="0.2">
      <c r="A35" s="311"/>
      <c r="S35" s="18"/>
      <c r="U35" s="43"/>
      <c r="V35" s="134"/>
      <c r="W35" s="134"/>
      <c r="X35" s="134"/>
      <c r="AC35" s="224" t="s">
        <v>273</v>
      </c>
      <c r="AD35" s="225"/>
      <c r="AE35" s="225"/>
      <c r="AF35" s="226"/>
      <c r="AG35" s="226"/>
      <c r="AH35" s="227"/>
      <c r="AI35" s="226"/>
      <c r="AJ35" s="226"/>
      <c r="AK35" s="226"/>
      <c r="AL35" s="226"/>
      <c r="AM35" s="228" t="e">
        <f t="shared" ref="AM35:AM36" si="82">SUM(AJ35:AL35)/AH35</f>
        <v>#DIV/0!</v>
      </c>
      <c r="AN35" s="226"/>
      <c r="AO35" s="226"/>
      <c r="AP35" s="229" t="e">
        <f t="shared" ref="AP35:AP36" si="83">SUM(AN35:AO35)/AI35</f>
        <v>#DIV/0!</v>
      </c>
      <c r="AQ35" s="226"/>
      <c r="AR35" s="226"/>
      <c r="AS35" s="229" t="e">
        <f t="shared" ref="AS35:AS36" si="84">(AQ35+AR35)/$AG35</f>
        <v>#DIV/0!</v>
      </c>
      <c r="AT35" s="226"/>
      <c r="AU35" s="226"/>
      <c r="AV35" s="229" t="e">
        <f t="shared" ref="AV35:AV36" si="85">(AT35+AU35)/$AG35</f>
        <v>#DIV/0!</v>
      </c>
      <c r="AW35" s="226"/>
      <c r="AX35" s="226"/>
      <c r="AY35" s="229" t="e">
        <f t="shared" ref="AY35:AY36" si="86">(AW35+AX35)/$AG35</f>
        <v>#DIV/0!</v>
      </c>
      <c r="AZ35" s="230">
        <f t="shared" ref="AZ35:BA36" si="87">SUM(AN35,AQ35,AT35,AW35)</f>
        <v>0</v>
      </c>
      <c r="BA35" s="230">
        <f t="shared" si="87"/>
        <v>0</v>
      </c>
      <c r="BB35" s="230">
        <f t="shared" ref="BB35:BB36" si="88">SUM(AZ35:BA35)</f>
        <v>0</v>
      </c>
      <c r="BC35" s="229">
        <f t="shared" ref="BC35:BC36" si="89">(BB35+1)/(AI35+1)</f>
        <v>1</v>
      </c>
      <c r="BD35" s="231"/>
      <c r="BE35" s="231"/>
    </row>
    <row r="36" spans="1:59" ht="15" customHeight="1" x14ac:dyDescent="0.2">
      <c r="A36" s="311"/>
      <c r="S36" s="18"/>
      <c r="U36" s="43"/>
      <c r="V36" s="134"/>
      <c r="W36" s="134"/>
      <c r="X36" s="134"/>
      <c r="AC36" s="232" t="s">
        <v>275</v>
      </c>
      <c r="AD36" s="233"/>
      <c r="AE36" s="233"/>
      <c r="AF36" s="234"/>
      <c r="AG36" s="234"/>
      <c r="AH36" s="235"/>
      <c r="AI36" s="234"/>
      <c r="AJ36" s="234"/>
      <c r="AK36" s="234"/>
      <c r="AL36" s="234"/>
      <c r="AM36" s="236" t="e">
        <f t="shared" si="82"/>
        <v>#DIV/0!</v>
      </c>
      <c r="AN36" s="234"/>
      <c r="AO36" s="234"/>
      <c r="AP36" s="237" t="e">
        <f t="shared" si="83"/>
        <v>#DIV/0!</v>
      </c>
      <c r="AQ36" s="234"/>
      <c r="AR36" s="234"/>
      <c r="AS36" s="237" t="e">
        <f t="shared" si="84"/>
        <v>#DIV/0!</v>
      </c>
      <c r="AT36" s="234"/>
      <c r="AU36" s="234"/>
      <c r="AV36" s="237" t="e">
        <f t="shared" si="85"/>
        <v>#DIV/0!</v>
      </c>
      <c r="AW36" s="234"/>
      <c r="AX36" s="234"/>
      <c r="AY36" s="237" t="e">
        <f t="shared" si="86"/>
        <v>#DIV/0!</v>
      </c>
      <c r="AZ36" s="238">
        <f t="shared" si="87"/>
        <v>0</v>
      </c>
      <c r="BA36" s="238">
        <f t="shared" si="87"/>
        <v>0</v>
      </c>
      <c r="BB36" s="238">
        <f t="shared" si="88"/>
        <v>0</v>
      </c>
      <c r="BC36" s="237">
        <f t="shared" si="89"/>
        <v>1</v>
      </c>
      <c r="BD36" s="239"/>
      <c r="BE36" s="239"/>
    </row>
    <row r="37" spans="1:59" ht="15" customHeight="1" x14ac:dyDescent="0.2">
      <c r="A37" s="311"/>
      <c r="S37" s="18"/>
      <c r="U37" s="43"/>
      <c r="V37" s="134"/>
      <c r="W37" s="134"/>
      <c r="X37" s="134"/>
      <c r="Z37" s="18"/>
      <c r="AA37" s="18"/>
      <c r="AB37" s="18"/>
      <c r="AC37" s="7"/>
      <c r="AG37" s="240">
        <f>SUM(AG34:AG36)</f>
        <v>0</v>
      </c>
      <c r="AH37" s="240">
        <f>SUM(AH34:AH36)</f>
        <v>0</v>
      </c>
      <c r="AI37" s="240">
        <f t="shared" ref="AI37:AL37" si="90">SUM(AI34:AI36)</f>
        <v>0</v>
      </c>
      <c r="AJ37" s="240">
        <f t="shared" si="90"/>
        <v>0</v>
      </c>
      <c r="AK37" s="240">
        <f t="shared" si="90"/>
        <v>0</v>
      </c>
      <c r="AL37" s="240">
        <f t="shared" si="90"/>
        <v>0</v>
      </c>
      <c r="AM37" s="135"/>
      <c r="AN37" s="240">
        <f>SUM(AN34:AN36)</f>
        <v>0</v>
      </c>
      <c r="AO37" s="240">
        <f>SUM(AO34:AO36)</f>
        <v>0</v>
      </c>
      <c r="AP37" s="241"/>
      <c r="AQ37" s="240">
        <f>SUM(AQ34:AQ36)</f>
        <v>0</v>
      </c>
      <c r="AR37" s="240">
        <f>SUM(AR34:AR36)</f>
        <v>0</v>
      </c>
      <c r="AS37" s="241"/>
      <c r="AT37" s="240">
        <f>SUM(AT34:AT36)</f>
        <v>0</v>
      </c>
      <c r="AU37" s="240">
        <f>SUM(AU34:AU36)</f>
        <v>0</v>
      </c>
      <c r="AV37" s="241"/>
      <c r="AW37" s="240">
        <f>SUM(AW34:AW36)</f>
        <v>0</v>
      </c>
      <c r="AX37" s="240">
        <f>SUM(AX34:AX36)</f>
        <v>0</v>
      </c>
      <c r="AY37" s="241"/>
      <c r="AZ37" s="240">
        <f>SUM(AZ34:AZ36)</f>
        <v>0</v>
      </c>
      <c r="BA37" s="240">
        <f>SUM(BA34:BA36)</f>
        <v>0</v>
      </c>
      <c r="BB37" s="240">
        <f>SUM(AZ37:BA37)</f>
        <v>0</v>
      </c>
      <c r="BC37" s="242">
        <f>(BB37+1)/(AI37+1)</f>
        <v>1</v>
      </c>
      <c r="BD37" s="98"/>
      <c r="BE37" s="98"/>
    </row>
    <row r="38" spans="1:59" ht="15" customHeight="1" x14ac:dyDescent="0.2">
      <c r="A38" s="311"/>
      <c r="AC38" s="212" t="s">
        <v>282</v>
      </c>
      <c r="AD38" s="15"/>
      <c r="AE38" s="23"/>
      <c r="AF38" s="16"/>
      <c r="AG38" s="15"/>
      <c r="AH38" s="15"/>
      <c r="AI38" s="15"/>
      <c r="AJ38" s="15"/>
      <c r="AK38" s="15"/>
      <c r="AL38" s="22"/>
      <c r="AM38" s="213"/>
      <c r="AN38" s="23"/>
      <c r="AO38" s="23"/>
      <c r="AP38" s="7"/>
      <c r="AQ38" s="15"/>
      <c r="AR38" s="15"/>
      <c r="AS38" s="7"/>
      <c r="AT38" s="15"/>
      <c r="AU38" s="15"/>
      <c r="AV38" s="7"/>
      <c r="AW38" s="15"/>
      <c r="AX38" s="15"/>
      <c r="AY38" s="214"/>
      <c r="AZ38" s="215"/>
      <c r="BA38" s="10"/>
      <c r="BB38" s="7"/>
      <c r="BC38" s="7"/>
      <c r="BD38" s="7"/>
      <c r="BE38" s="7"/>
    </row>
    <row r="39" spans="1:59" ht="15" customHeight="1" x14ac:dyDescent="0.2">
      <c r="A39" s="311"/>
      <c r="AC39" s="216" t="s">
        <v>271</v>
      </c>
      <c r="AD39" s="217"/>
      <c r="AE39" s="217"/>
      <c r="AF39" s="218"/>
      <c r="AG39" s="218"/>
      <c r="AH39" s="219"/>
      <c r="AI39" s="218"/>
      <c r="AJ39" s="218"/>
      <c r="AK39" s="218"/>
      <c r="AL39" s="218"/>
      <c r="AM39" s="220" t="e">
        <f>SUM(AJ39:AL39)/AH39</f>
        <v>#DIV/0!</v>
      </c>
      <c r="AN39" s="218"/>
      <c r="AO39" s="218"/>
      <c r="AP39" s="221" t="e">
        <f>SUM(AN39:AO39)/AI39</f>
        <v>#DIV/0!</v>
      </c>
      <c r="AQ39" s="218"/>
      <c r="AR39" s="218"/>
      <c r="AS39" s="221" t="e">
        <f>(AQ39+AR39)/$AG39</f>
        <v>#DIV/0!</v>
      </c>
      <c r="AT39" s="218"/>
      <c r="AU39" s="218"/>
      <c r="AV39" s="221" t="e">
        <f>(AT39+AU39)/$AG39</f>
        <v>#DIV/0!</v>
      </c>
      <c r="AW39" s="218"/>
      <c r="AX39" s="218"/>
      <c r="AY39" s="221" t="e">
        <f>(AW39+AX39)/$AG39</f>
        <v>#DIV/0!</v>
      </c>
      <c r="AZ39" s="222">
        <f>SUM(AN39,AQ39,AT39,AW39)</f>
        <v>0</v>
      </c>
      <c r="BA39" s="222">
        <f>SUM(AO39,AR39,AU39,AX39)</f>
        <v>0</v>
      </c>
      <c r="BB39" s="222">
        <f>SUM(AZ39:BA39)</f>
        <v>0</v>
      </c>
      <c r="BC39" s="221">
        <f>(BB39+1)/(AI39+1)</f>
        <v>1</v>
      </c>
      <c r="BD39" s="223"/>
      <c r="BE39" s="223"/>
    </row>
    <row r="40" spans="1:59" ht="15" customHeight="1" x14ac:dyDescent="0.2">
      <c r="A40" s="311"/>
      <c r="AC40" s="224" t="s">
        <v>273</v>
      </c>
      <c r="AD40" s="225"/>
      <c r="AE40" s="225"/>
      <c r="AF40" s="226"/>
      <c r="AG40" s="226"/>
      <c r="AH40" s="227"/>
      <c r="AI40" s="226"/>
      <c r="AJ40" s="226"/>
      <c r="AK40" s="226"/>
      <c r="AL40" s="226"/>
      <c r="AM40" s="228" t="e">
        <f t="shared" ref="AM40:AM41" si="91">SUM(AJ40:AL40)/AH40</f>
        <v>#DIV/0!</v>
      </c>
      <c r="AN40" s="226"/>
      <c r="AO40" s="226"/>
      <c r="AP40" s="229" t="e">
        <f t="shared" ref="AP40:AP41" si="92">SUM(AN40:AO40)/AI40</f>
        <v>#DIV/0!</v>
      </c>
      <c r="AQ40" s="226"/>
      <c r="AR40" s="226"/>
      <c r="AS40" s="229" t="e">
        <f t="shared" ref="AS40:AS41" si="93">(AQ40+AR40)/$AG40</f>
        <v>#DIV/0!</v>
      </c>
      <c r="AT40" s="226"/>
      <c r="AU40" s="226"/>
      <c r="AV40" s="229" t="e">
        <f t="shared" ref="AV40:AV41" si="94">(AT40+AU40)/$AG40</f>
        <v>#DIV/0!</v>
      </c>
      <c r="AW40" s="226"/>
      <c r="AX40" s="226"/>
      <c r="AY40" s="229" t="e">
        <f t="shared" ref="AY40:AY41" si="95">(AW40+AX40)/$AG40</f>
        <v>#DIV/0!</v>
      </c>
      <c r="AZ40" s="230">
        <f t="shared" ref="AZ40:BA41" si="96">SUM(AN40,AQ40,AT40,AW40)</f>
        <v>0</v>
      </c>
      <c r="BA40" s="230">
        <f t="shared" si="96"/>
        <v>0</v>
      </c>
      <c r="BB40" s="230">
        <f t="shared" ref="BB40:BB41" si="97">SUM(AZ40:BA40)</f>
        <v>0</v>
      </c>
      <c r="BC40" s="229">
        <f t="shared" ref="BC40:BC41" si="98">(BB40+1)/(AI40+1)</f>
        <v>1</v>
      </c>
      <c r="BD40" s="231"/>
      <c r="BE40" s="231"/>
    </row>
    <row r="41" spans="1:59" ht="15" customHeight="1" x14ac:dyDescent="0.2">
      <c r="A41" s="311"/>
      <c r="Z41" s="18"/>
      <c r="AA41" s="18"/>
      <c r="AB41" s="18"/>
      <c r="AC41" s="232" t="s">
        <v>275</v>
      </c>
      <c r="AD41" s="233"/>
      <c r="AE41" s="233"/>
      <c r="AF41" s="234"/>
      <c r="AG41" s="234"/>
      <c r="AH41" s="235"/>
      <c r="AI41" s="234"/>
      <c r="AJ41" s="234"/>
      <c r="AK41" s="234"/>
      <c r="AL41" s="234"/>
      <c r="AM41" s="236" t="e">
        <f t="shared" si="91"/>
        <v>#DIV/0!</v>
      </c>
      <c r="AN41" s="234"/>
      <c r="AO41" s="234"/>
      <c r="AP41" s="237" t="e">
        <f t="shared" si="92"/>
        <v>#DIV/0!</v>
      </c>
      <c r="AQ41" s="234"/>
      <c r="AR41" s="234"/>
      <c r="AS41" s="237" t="e">
        <f t="shared" si="93"/>
        <v>#DIV/0!</v>
      </c>
      <c r="AT41" s="234"/>
      <c r="AU41" s="234"/>
      <c r="AV41" s="237" t="e">
        <f t="shared" si="94"/>
        <v>#DIV/0!</v>
      </c>
      <c r="AW41" s="234"/>
      <c r="AX41" s="234"/>
      <c r="AY41" s="237" t="e">
        <f t="shared" si="95"/>
        <v>#DIV/0!</v>
      </c>
      <c r="AZ41" s="238">
        <f t="shared" si="96"/>
        <v>0</v>
      </c>
      <c r="BA41" s="238">
        <f t="shared" si="96"/>
        <v>0</v>
      </c>
      <c r="BB41" s="238">
        <f t="shared" si="97"/>
        <v>0</v>
      </c>
      <c r="BC41" s="237">
        <f t="shared" si="98"/>
        <v>1</v>
      </c>
      <c r="BD41" s="239"/>
      <c r="BE41" s="239"/>
    </row>
    <row r="42" spans="1:59" ht="15" customHeight="1" x14ac:dyDescent="0.2">
      <c r="A42" s="311"/>
      <c r="AC42" s="7"/>
      <c r="AG42" s="240">
        <f>SUM(AG39:AG41)</f>
        <v>0</v>
      </c>
      <c r="AH42" s="240">
        <f>SUM(AH39:AH41)</f>
        <v>0</v>
      </c>
      <c r="AI42" s="240">
        <f t="shared" ref="AI42:AL42" si="99">SUM(AI39:AI41)</f>
        <v>0</v>
      </c>
      <c r="AJ42" s="240">
        <f t="shared" si="99"/>
        <v>0</v>
      </c>
      <c r="AK42" s="240">
        <f t="shared" si="99"/>
        <v>0</v>
      </c>
      <c r="AL42" s="240">
        <f t="shared" si="99"/>
        <v>0</v>
      </c>
      <c r="AM42" s="135"/>
      <c r="AN42" s="240">
        <f>SUM(AN39:AN41)</f>
        <v>0</v>
      </c>
      <c r="AO42" s="240">
        <f>SUM(AO39:AO41)</f>
        <v>0</v>
      </c>
      <c r="AP42" s="241"/>
      <c r="AQ42" s="240">
        <f>SUM(AQ39:AQ41)</f>
        <v>0</v>
      </c>
      <c r="AR42" s="240">
        <f>SUM(AR39:AR41)</f>
        <v>0</v>
      </c>
      <c r="AS42" s="241"/>
      <c r="AT42" s="240">
        <f>SUM(AT39:AT41)</f>
        <v>0</v>
      </c>
      <c r="AU42" s="240">
        <f>SUM(AU39:AU41)</f>
        <v>0</v>
      </c>
      <c r="AV42" s="241"/>
      <c r="AW42" s="240">
        <f>SUM(AW39:AW41)</f>
        <v>0</v>
      </c>
      <c r="AX42" s="240">
        <f>SUM(AX39:AX41)</f>
        <v>0</v>
      </c>
      <c r="AY42" s="241"/>
      <c r="AZ42" s="240">
        <f>SUM(AZ39:AZ41)</f>
        <v>0</v>
      </c>
      <c r="BA42" s="240">
        <f>SUM(BA39:BA41)</f>
        <v>0</v>
      </c>
      <c r="BB42" s="240">
        <f>SUM(AZ42:BA42)</f>
        <v>0</v>
      </c>
      <c r="BC42" s="242">
        <f>(BB42+1)/(AI42+1)</f>
        <v>1</v>
      </c>
      <c r="BD42" s="98"/>
      <c r="BE42" s="98"/>
    </row>
    <row r="43" spans="1:59" ht="15" customHeight="1" x14ac:dyDescent="0.2">
      <c r="A43" s="311"/>
      <c r="AC43" s="212" t="s">
        <v>330</v>
      </c>
      <c r="AD43" s="15"/>
      <c r="AE43" s="23"/>
      <c r="AF43" s="16"/>
      <c r="AG43" s="15"/>
      <c r="AH43" s="15"/>
      <c r="AI43" s="15"/>
      <c r="AJ43" s="15"/>
      <c r="AK43" s="15"/>
      <c r="AL43" s="22"/>
      <c r="AM43" s="213"/>
      <c r="AN43" s="23"/>
      <c r="AO43" s="23"/>
      <c r="AP43" s="7"/>
      <c r="AQ43" s="15"/>
      <c r="AR43" s="15"/>
      <c r="AS43" s="7"/>
      <c r="AT43" s="15"/>
      <c r="AU43" s="15"/>
      <c r="AV43" s="7"/>
      <c r="AW43" s="15"/>
      <c r="AX43" s="15"/>
      <c r="AY43" s="214"/>
      <c r="AZ43" s="215"/>
      <c r="BA43" s="10"/>
      <c r="BB43" s="7"/>
      <c r="BC43" s="7"/>
      <c r="BD43" s="7"/>
      <c r="BE43" s="7"/>
    </row>
    <row r="44" spans="1:59" ht="15" customHeight="1" x14ac:dyDescent="0.2">
      <c r="A44" s="311"/>
      <c r="AC44" s="216" t="s">
        <v>271</v>
      </c>
      <c r="AD44" s="217"/>
      <c r="AE44" s="217"/>
      <c r="AF44" s="218"/>
      <c r="AG44" s="218"/>
      <c r="AH44" s="219"/>
      <c r="AI44" s="218"/>
      <c r="AJ44" s="218"/>
      <c r="AK44" s="218"/>
      <c r="AL44" s="218"/>
      <c r="AM44" s="220" t="e">
        <f>SUM(AJ44:AL44)/AH44</f>
        <v>#DIV/0!</v>
      </c>
      <c r="AN44" s="218"/>
      <c r="AO44" s="218"/>
      <c r="AP44" s="221" t="e">
        <f>SUM(AN44:AO44)/AI44</f>
        <v>#DIV/0!</v>
      </c>
      <c r="AQ44" s="218"/>
      <c r="AR44" s="218"/>
      <c r="AS44" s="221" t="e">
        <f>(AQ44+AR44)/$AG44</f>
        <v>#DIV/0!</v>
      </c>
      <c r="AT44" s="218"/>
      <c r="AU44" s="218"/>
      <c r="AV44" s="221" t="e">
        <f>(AT44+AU44)/$AG44</f>
        <v>#DIV/0!</v>
      </c>
      <c r="AW44" s="218"/>
      <c r="AX44" s="218"/>
      <c r="AY44" s="221" t="e">
        <f>(AW44+AX44)/$AG44</f>
        <v>#DIV/0!</v>
      </c>
      <c r="AZ44" s="222">
        <f>SUM(AN44,AQ44,AT44,AW44)</f>
        <v>0</v>
      </c>
      <c r="BA44" s="222">
        <f>SUM(AO44,AR44,AU44,AX44)</f>
        <v>0</v>
      </c>
      <c r="BB44" s="222">
        <f>SUM(AZ44:BA44)</f>
        <v>0</v>
      </c>
      <c r="BC44" s="221">
        <f>(BB44+1)/(AI44+1)</f>
        <v>1</v>
      </c>
      <c r="BD44" s="223"/>
      <c r="BE44" s="223"/>
    </row>
    <row r="45" spans="1:59" ht="15" customHeight="1" x14ac:dyDescent="0.2">
      <c r="A45" s="311"/>
      <c r="AC45" s="224" t="s">
        <v>273</v>
      </c>
      <c r="AD45" s="225"/>
      <c r="AE45" s="225"/>
      <c r="AF45" s="226"/>
      <c r="AG45" s="226"/>
      <c r="AH45" s="227"/>
      <c r="AI45" s="226"/>
      <c r="AJ45" s="226"/>
      <c r="AK45" s="226"/>
      <c r="AL45" s="226"/>
      <c r="AM45" s="228" t="e">
        <f t="shared" ref="AM45:AM46" si="100">SUM(AJ45:AL45)/AH45</f>
        <v>#DIV/0!</v>
      </c>
      <c r="AN45" s="226"/>
      <c r="AO45" s="226"/>
      <c r="AP45" s="229" t="e">
        <f t="shared" ref="AP45:AP46" si="101">SUM(AN45:AO45)/AI45</f>
        <v>#DIV/0!</v>
      </c>
      <c r="AQ45" s="226"/>
      <c r="AR45" s="226"/>
      <c r="AS45" s="229" t="e">
        <f t="shared" ref="AS45:AS46" si="102">(AQ45+AR45)/$AG45</f>
        <v>#DIV/0!</v>
      </c>
      <c r="AT45" s="226"/>
      <c r="AU45" s="226"/>
      <c r="AV45" s="229" t="e">
        <f>(AT45+AU45)/$AG45</f>
        <v>#DIV/0!</v>
      </c>
      <c r="AW45" s="226"/>
      <c r="AX45" s="226"/>
      <c r="AY45" s="229" t="e">
        <f t="shared" ref="AY45:AY46" si="103">(AW45+AX45)/$AG45</f>
        <v>#DIV/0!</v>
      </c>
      <c r="AZ45" s="230">
        <f t="shared" ref="AZ45:BA46" si="104">SUM(AN45,AQ45,AT45,AW45)</f>
        <v>0</v>
      </c>
      <c r="BA45" s="230">
        <f t="shared" si="104"/>
        <v>0</v>
      </c>
      <c r="BB45" s="230">
        <f t="shared" ref="BB45:BB46" si="105">SUM(AZ45:BA45)</f>
        <v>0</v>
      </c>
      <c r="BC45" s="229">
        <f t="shared" ref="BC45:BC46" si="106">(BB45+1)/(AI45+1)</f>
        <v>1</v>
      </c>
      <c r="BD45" s="231"/>
      <c r="BE45" s="231"/>
    </row>
    <row r="46" spans="1:59" ht="15" customHeight="1" x14ac:dyDescent="0.2">
      <c r="A46" s="311"/>
      <c r="AC46" s="232" t="s">
        <v>275</v>
      </c>
      <c r="AD46" s="233"/>
      <c r="AE46" s="233"/>
      <c r="AF46" s="234"/>
      <c r="AG46" s="234"/>
      <c r="AH46" s="235"/>
      <c r="AI46" s="234"/>
      <c r="AJ46" s="234"/>
      <c r="AK46" s="234"/>
      <c r="AL46" s="234"/>
      <c r="AM46" s="236" t="e">
        <f t="shared" si="100"/>
        <v>#DIV/0!</v>
      </c>
      <c r="AN46" s="234"/>
      <c r="AO46" s="234"/>
      <c r="AP46" s="237" t="e">
        <f t="shared" si="101"/>
        <v>#DIV/0!</v>
      </c>
      <c r="AQ46" s="234"/>
      <c r="AR46" s="234"/>
      <c r="AS46" s="237" t="e">
        <f t="shared" si="102"/>
        <v>#DIV/0!</v>
      </c>
      <c r="AT46" s="234"/>
      <c r="AU46" s="234"/>
      <c r="AV46" s="237" t="e">
        <f t="shared" ref="AV46" si="107">(AT46+AU46)/$AG46</f>
        <v>#DIV/0!</v>
      </c>
      <c r="AW46" s="234"/>
      <c r="AX46" s="234"/>
      <c r="AY46" s="237" t="e">
        <f t="shared" si="103"/>
        <v>#DIV/0!</v>
      </c>
      <c r="AZ46" s="238">
        <f t="shared" si="104"/>
        <v>0</v>
      </c>
      <c r="BA46" s="238">
        <f t="shared" si="104"/>
        <v>0</v>
      </c>
      <c r="BB46" s="238">
        <f t="shared" si="105"/>
        <v>0</v>
      </c>
      <c r="BC46" s="237">
        <f t="shared" si="106"/>
        <v>1</v>
      </c>
      <c r="BD46" s="239"/>
      <c r="BE46" s="239"/>
    </row>
    <row r="47" spans="1:59" ht="12.75" x14ac:dyDescent="0.2">
      <c r="A47" s="311"/>
      <c r="AC47" s="7"/>
      <c r="AG47" s="240">
        <f>SUM(AG44:AG46)</f>
        <v>0</v>
      </c>
      <c r="AH47" s="240">
        <f>SUM(AH44:AH46)</f>
        <v>0</v>
      </c>
      <c r="AI47" s="240">
        <f t="shared" ref="AI47:AL47" si="108">SUM(AI44:AI46)</f>
        <v>0</v>
      </c>
      <c r="AJ47" s="240">
        <f t="shared" si="108"/>
        <v>0</v>
      </c>
      <c r="AK47" s="240">
        <f t="shared" si="108"/>
        <v>0</v>
      </c>
      <c r="AL47" s="240">
        <f t="shared" si="108"/>
        <v>0</v>
      </c>
      <c r="AM47" s="135"/>
      <c r="AN47" s="240">
        <f>SUM(AN44:AN46)</f>
        <v>0</v>
      </c>
      <c r="AO47" s="240">
        <f>SUM(AO44:AO46)</f>
        <v>0</v>
      </c>
      <c r="AP47" s="241"/>
      <c r="AQ47" s="240">
        <f>SUM(AQ44:AQ46)</f>
        <v>0</v>
      </c>
      <c r="AR47" s="240">
        <f>SUM(AR44:AR46)</f>
        <v>0</v>
      </c>
      <c r="AS47" s="241"/>
      <c r="AT47" s="240">
        <f>SUM(AT44:AT46)</f>
        <v>0</v>
      </c>
      <c r="AU47" s="240">
        <f>SUM(AU44:AU46)</f>
        <v>0</v>
      </c>
      <c r="AV47" s="241"/>
      <c r="AW47" s="240">
        <f>SUM(AW44:AW46)</f>
        <v>0</v>
      </c>
      <c r="AX47" s="240">
        <f>SUM(AX44:AX46)</f>
        <v>0</v>
      </c>
      <c r="AY47" s="241"/>
      <c r="AZ47" s="240">
        <f>SUM(AZ44:AZ46)</f>
        <v>0</v>
      </c>
      <c r="BA47" s="240">
        <f>SUM(BA44:BA46)</f>
        <v>0</v>
      </c>
      <c r="BB47" s="240">
        <f>SUM(AZ47:BA47)</f>
        <v>0</v>
      </c>
      <c r="BC47" s="242">
        <f>(BB47+1)/(AI47+1)</f>
        <v>1</v>
      </c>
      <c r="BD47" s="98"/>
      <c r="BE47" s="98"/>
      <c r="BG47" s="17"/>
    </row>
    <row r="48" spans="1:59" ht="15" customHeight="1" x14ac:dyDescent="0.2">
      <c r="AC48" s="212" t="s">
        <v>331</v>
      </c>
      <c r="AD48" s="15"/>
      <c r="AE48" s="23"/>
      <c r="AF48" s="16"/>
      <c r="AG48" s="15"/>
      <c r="AH48" s="15"/>
      <c r="AI48" s="15"/>
      <c r="AJ48" s="15"/>
      <c r="AK48" s="15"/>
      <c r="AL48" s="22"/>
      <c r="AM48" s="213"/>
      <c r="AN48" s="23"/>
      <c r="AO48" s="23"/>
      <c r="AP48" s="7"/>
      <c r="AQ48" s="15"/>
      <c r="AR48" s="15"/>
      <c r="AS48" s="7"/>
      <c r="AT48" s="15"/>
      <c r="AU48" s="15"/>
      <c r="AV48" s="7"/>
      <c r="AW48" s="15"/>
      <c r="AX48" s="15"/>
      <c r="AY48" s="214"/>
      <c r="AZ48" s="215"/>
      <c r="BA48" s="10"/>
      <c r="BB48" s="7"/>
      <c r="BC48" s="7"/>
      <c r="BD48" s="7"/>
      <c r="BE48" s="7"/>
      <c r="BG48" s="17"/>
    </row>
    <row r="49" spans="19:60" ht="15" customHeight="1" x14ac:dyDescent="0.2">
      <c r="AC49" s="216" t="s">
        <v>271</v>
      </c>
      <c r="AD49" s="217"/>
      <c r="AE49" s="217"/>
      <c r="AF49" s="218"/>
      <c r="AG49" s="218"/>
      <c r="AH49" s="219"/>
      <c r="AI49" s="218"/>
      <c r="AJ49" s="218"/>
      <c r="AK49" s="218"/>
      <c r="AL49" s="218"/>
      <c r="AM49" s="220" t="e">
        <f>SUM(AJ49:AL49)/AH49</f>
        <v>#DIV/0!</v>
      </c>
      <c r="AN49" s="218"/>
      <c r="AO49" s="218"/>
      <c r="AP49" s="221" t="e">
        <f>SUM(AN49:AO49)/AI49</f>
        <v>#DIV/0!</v>
      </c>
      <c r="AQ49" s="218"/>
      <c r="AR49" s="218"/>
      <c r="AS49" s="221" t="e">
        <f>(AQ49+AR49)/$AG49</f>
        <v>#DIV/0!</v>
      </c>
      <c r="AT49" s="218"/>
      <c r="AU49" s="218"/>
      <c r="AV49" s="221" t="e">
        <f>(AT49+AU49)/$AG49</f>
        <v>#DIV/0!</v>
      </c>
      <c r="AW49" s="218"/>
      <c r="AX49" s="218"/>
      <c r="AY49" s="221" t="e">
        <f>(AW49+AX49)/$AG49</f>
        <v>#DIV/0!</v>
      </c>
      <c r="AZ49" s="222">
        <f>SUM(AN49,AQ49,AT49,AW49)</f>
        <v>0</v>
      </c>
      <c r="BA49" s="222">
        <f>SUM(AO49,AR49,AU49,AX49)</f>
        <v>0</v>
      </c>
      <c r="BB49" s="222">
        <f>SUM(AZ49:BA49)</f>
        <v>0</v>
      </c>
      <c r="BC49" s="221">
        <f>(BB49+1)/(AI49+1)</f>
        <v>1</v>
      </c>
      <c r="BD49" s="223"/>
      <c r="BE49" s="223"/>
      <c r="BG49" s="17"/>
    </row>
    <row r="50" spans="19:60" ht="15" customHeight="1" x14ac:dyDescent="0.2">
      <c r="AC50" s="224" t="s">
        <v>273</v>
      </c>
      <c r="AD50" s="225"/>
      <c r="AE50" s="225"/>
      <c r="AF50" s="226"/>
      <c r="AG50" s="226"/>
      <c r="AH50" s="227"/>
      <c r="AI50" s="226"/>
      <c r="AJ50" s="226"/>
      <c r="AK50" s="226"/>
      <c r="AL50" s="226"/>
      <c r="AM50" s="228" t="e">
        <f t="shared" ref="AM50:AM51" si="109">SUM(AJ50:AL50)/AH50</f>
        <v>#DIV/0!</v>
      </c>
      <c r="AN50" s="226"/>
      <c r="AO50" s="226"/>
      <c r="AP50" s="229" t="e">
        <f t="shared" ref="AP50:AP51" si="110">SUM(AN50:AO50)/AI50</f>
        <v>#DIV/0!</v>
      </c>
      <c r="AQ50" s="226"/>
      <c r="AR50" s="226"/>
      <c r="AS50" s="229" t="e">
        <f t="shared" ref="AS50:AS51" si="111">(AQ50+AR50)/$AG50</f>
        <v>#DIV/0!</v>
      </c>
      <c r="AT50" s="226"/>
      <c r="AU50" s="226"/>
      <c r="AV50" s="229" t="e">
        <f t="shared" ref="AV50:AV51" si="112">(AT50+AU50)/$AG50</f>
        <v>#DIV/0!</v>
      </c>
      <c r="AW50" s="226"/>
      <c r="AX50" s="226"/>
      <c r="AY50" s="229" t="e">
        <f t="shared" ref="AY50:AY51" si="113">(AW50+AX50)/$AG50</f>
        <v>#DIV/0!</v>
      </c>
      <c r="AZ50" s="230">
        <f t="shared" ref="AZ50:BA51" si="114">SUM(AN50,AQ50,AT50,AW50)</f>
        <v>0</v>
      </c>
      <c r="BA50" s="230">
        <f t="shared" si="114"/>
        <v>0</v>
      </c>
      <c r="BB50" s="230">
        <f t="shared" ref="BB50:BB51" si="115">SUM(AZ50:BA50)</f>
        <v>0</v>
      </c>
      <c r="BC50" s="229">
        <f t="shared" ref="BC50:BC51" si="116">(BB50+1)/(AI50+1)</f>
        <v>1</v>
      </c>
      <c r="BD50" s="231"/>
      <c r="BE50" s="231"/>
      <c r="BG50" s="17"/>
    </row>
    <row r="51" spans="19:60" ht="15" customHeight="1" x14ac:dyDescent="0.2">
      <c r="U51" s="18"/>
      <c r="AC51" s="232" t="s">
        <v>275</v>
      </c>
      <c r="AD51" s="233"/>
      <c r="AE51" s="233"/>
      <c r="AF51" s="234"/>
      <c r="AG51" s="234"/>
      <c r="AH51" s="235"/>
      <c r="AI51" s="234"/>
      <c r="AJ51" s="234"/>
      <c r="AK51" s="234"/>
      <c r="AL51" s="234"/>
      <c r="AM51" s="236" t="e">
        <f t="shared" si="109"/>
        <v>#DIV/0!</v>
      </c>
      <c r="AN51" s="234"/>
      <c r="AO51" s="234"/>
      <c r="AP51" s="237" t="e">
        <f t="shared" si="110"/>
        <v>#DIV/0!</v>
      </c>
      <c r="AQ51" s="234"/>
      <c r="AR51" s="234"/>
      <c r="AS51" s="237" t="e">
        <f t="shared" si="111"/>
        <v>#DIV/0!</v>
      </c>
      <c r="AT51" s="234"/>
      <c r="AU51" s="234"/>
      <c r="AV51" s="237" t="e">
        <f t="shared" si="112"/>
        <v>#DIV/0!</v>
      </c>
      <c r="AW51" s="234"/>
      <c r="AX51" s="234"/>
      <c r="AY51" s="237" t="e">
        <f t="shared" si="113"/>
        <v>#DIV/0!</v>
      </c>
      <c r="AZ51" s="238">
        <f t="shared" si="114"/>
        <v>0</v>
      </c>
      <c r="BA51" s="238">
        <f t="shared" si="114"/>
        <v>0</v>
      </c>
      <c r="BB51" s="238">
        <f t="shared" si="115"/>
        <v>0</v>
      </c>
      <c r="BC51" s="237">
        <f t="shared" si="116"/>
        <v>1</v>
      </c>
      <c r="BD51" s="239"/>
      <c r="BE51" s="239"/>
      <c r="BG51" s="17"/>
    </row>
    <row r="52" spans="19:60" ht="15" customHeight="1" x14ac:dyDescent="0.2">
      <c r="AC52" s="7"/>
      <c r="AG52" s="240">
        <f>SUM(AG49:AG51)</f>
        <v>0</v>
      </c>
      <c r="AH52" s="240">
        <f>SUM(AH49:AH51)</f>
        <v>0</v>
      </c>
      <c r="AI52" s="240">
        <f t="shared" ref="AI52:AL52" si="117">SUM(AI49:AI51)</f>
        <v>0</v>
      </c>
      <c r="AJ52" s="240">
        <f t="shared" si="117"/>
        <v>0</v>
      </c>
      <c r="AK52" s="240">
        <f t="shared" si="117"/>
        <v>0</v>
      </c>
      <c r="AL52" s="240">
        <f t="shared" si="117"/>
        <v>0</v>
      </c>
      <c r="AM52" s="135"/>
      <c r="AN52" s="240">
        <f>SUM(AN49:AN51)</f>
        <v>0</v>
      </c>
      <c r="AO52" s="240">
        <f>SUM(AO49:AO51)</f>
        <v>0</v>
      </c>
      <c r="AP52" s="241"/>
      <c r="AQ52" s="240">
        <f>SUM(AQ49:AQ51)</f>
        <v>0</v>
      </c>
      <c r="AR52" s="240">
        <f>SUM(AR49:AR51)</f>
        <v>0</v>
      </c>
      <c r="AS52" s="241"/>
      <c r="AT52" s="240">
        <f>SUM(AT49:AT51)</f>
        <v>0</v>
      </c>
      <c r="AU52" s="240">
        <f>SUM(AU49:AU51)</f>
        <v>0</v>
      </c>
      <c r="AV52" s="241"/>
      <c r="AW52" s="240">
        <f>SUM(AW49:AW51)</f>
        <v>0</v>
      </c>
      <c r="AX52" s="240">
        <f>SUM(AX49:AX51)</f>
        <v>0</v>
      </c>
      <c r="AY52" s="241"/>
      <c r="AZ52" s="240">
        <f>SUM(AZ49:AZ51)</f>
        <v>0</v>
      </c>
      <c r="BA52" s="240">
        <f>SUM(BA49:BA51)</f>
        <v>0</v>
      </c>
      <c r="BB52" s="240">
        <f>SUM(AZ52:BA52)</f>
        <v>0</v>
      </c>
      <c r="BC52" s="242">
        <f>(BB52+1)/(AI52+1)</f>
        <v>1</v>
      </c>
      <c r="BD52" s="98"/>
      <c r="BE52" s="98"/>
      <c r="BG52" s="17"/>
    </row>
    <row r="53" spans="19:60" ht="15" customHeight="1" x14ac:dyDescent="0.2">
      <c r="AC53" s="212" t="s">
        <v>332</v>
      </c>
      <c r="AD53" s="15"/>
      <c r="AE53" s="23"/>
      <c r="AF53" s="16"/>
      <c r="AG53" s="15"/>
      <c r="AH53" s="15"/>
      <c r="AI53" s="15"/>
      <c r="AJ53" s="15"/>
      <c r="AK53" s="15"/>
      <c r="AL53" s="22"/>
      <c r="AM53" s="213"/>
      <c r="AN53" s="23"/>
      <c r="AO53" s="23"/>
      <c r="AP53" s="7"/>
      <c r="AQ53" s="15"/>
      <c r="AR53" s="15"/>
      <c r="AS53" s="7"/>
      <c r="AT53" s="15"/>
      <c r="AU53" s="15"/>
      <c r="AV53" s="7"/>
      <c r="AW53" s="15"/>
      <c r="AX53" s="15"/>
      <c r="AY53" s="214"/>
      <c r="AZ53" s="215"/>
      <c r="BA53" s="10"/>
      <c r="BB53" s="7"/>
      <c r="BC53" s="7"/>
      <c r="BD53" s="7"/>
      <c r="BE53" s="7"/>
      <c r="BF53" s="17"/>
    </row>
    <row r="54" spans="19:60" ht="15" customHeight="1" x14ac:dyDescent="0.2">
      <c r="AC54" s="216" t="s">
        <v>271</v>
      </c>
      <c r="AD54" s="217"/>
      <c r="AE54" s="217"/>
      <c r="AF54" s="218"/>
      <c r="AG54" s="218"/>
      <c r="AH54" s="219"/>
      <c r="AI54" s="218"/>
      <c r="AJ54" s="218"/>
      <c r="AK54" s="218"/>
      <c r="AL54" s="218"/>
      <c r="AM54" s="220" t="e">
        <f>SUM(AJ54:AL54)/AH54</f>
        <v>#DIV/0!</v>
      </c>
      <c r="AN54" s="218"/>
      <c r="AO54" s="218"/>
      <c r="AP54" s="221" t="e">
        <f>SUM(AN54:AO54)/AI54</f>
        <v>#DIV/0!</v>
      </c>
      <c r="AQ54" s="218"/>
      <c r="AR54" s="218"/>
      <c r="AS54" s="221" t="e">
        <f>(AQ54+AR54)/$AG54</f>
        <v>#DIV/0!</v>
      </c>
      <c r="AT54" s="218"/>
      <c r="AU54" s="218"/>
      <c r="AV54" s="221" t="e">
        <f>(AT54+AU54)/$AG54</f>
        <v>#DIV/0!</v>
      </c>
      <c r="AW54" s="218"/>
      <c r="AX54" s="218"/>
      <c r="AY54" s="221" t="e">
        <f>(AW54+AX54)/$AG54</f>
        <v>#DIV/0!</v>
      </c>
      <c r="AZ54" s="222">
        <f>SUM(AN54,AQ54,AT54,AW54)</f>
        <v>0</v>
      </c>
      <c r="BA54" s="222">
        <f>SUM(AO54,AR54,AU54,AX54)</f>
        <v>0</v>
      </c>
      <c r="BB54" s="222">
        <f>SUM(AZ54:BA54)</f>
        <v>0</v>
      </c>
      <c r="BC54" s="221">
        <f>(BB54+1)/(AI54+1)</f>
        <v>1</v>
      </c>
      <c r="BD54" s="223"/>
      <c r="BE54" s="223"/>
      <c r="BH54" s="17"/>
    </row>
    <row r="55" spans="19:60" ht="15" customHeight="1" x14ac:dyDescent="0.2">
      <c r="AC55" s="224" t="s">
        <v>273</v>
      </c>
      <c r="AD55" s="225"/>
      <c r="AE55" s="225"/>
      <c r="AF55" s="226"/>
      <c r="AG55" s="226"/>
      <c r="AH55" s="227"/>
      <c r="AI55" s="226"/>
      <c r="AJ55" s="226"/>
      <c r="AK55" s="226"/>
      <c r="AL55" s="226"/>
      <c r="AM55" s="228" t="e">
        <f t="shared" ref="AM55:AM56" si="118">SUM(AJ55:AL55)/AH55</f>
        <v>#DIV/0!</v>
      </c>
      <c r="AN55" s="226"/>
      <c r="AO55" s="226"/>
      <c r="AP55" s="229" t="e">
        <f t="shared" ref="AP55:AP56" si="119">SUM(AN55:AO55)/AI55</f>
        <v>#DIV/0!</v>
      </c>
      <c r="AQ55" s="226"/>
      <c r="AR55" s="226"/>
      <c r="AS55" s="229" t="e">
        <f t="shared" ref="AS55:AS56" si="120">(AQ55+AR55)/$AG55</f>
        <v>#DIV/0!</v>
      </c>
      <c r="AT55" s="226"/>
      <c r="AU55" s="226"/>
      <c r="AV55" s="229" t="e">
        <f t="shared" ref="AV55:AV56" si="121">(AT55+AU55)/$AG55</f>
        <v>#DIV/0!</v>
      </c>
      <c r="AW55" s="226"/>
      <c r="AX55" s="226"/>
      <c r="AY55" s="229" t="e">
        <f t="shared" ref="AY55:AY56" si="122">(AW55+AX55)/$AG55</f>
        <v>#DIV/0!</v>
      </c>
      <c r="AZ55" s="230">
        <f t="shared" ref="AZ55:BA56" si="123">SUM(AN55,AQ55,AT55,AW55)</f>
        <v>0</v>
      </c>
      <c r="BA55" s="230">
        <f t="shared" si="123"/>
        <v>0</v>
      </c>
      <c r="BB55" s="230">
        <f t="shared" ref="BB55:BB56" si="124">SUM(AZ55:BA55)</f>
        <v>0</v>
      </c>
      <c r="BC55" s="229">
        <f t="shared" ref="BC55:BC56" si="125">(BB55+1)/(AI55+1)</f>
        <v>1</v>
      </c>
      <c r="BD55" s="231"/>
      <c r="BE55" s="231"/>
      <c r="BH55" s="17"/>
    </row>
    <row r="56" spans="19:60" ht="15" customHeight="1" x14ac:dyDescent="0.2">
      <c r="AC56" s="232" t="s">
        <v>275</v>
      </c>
      <c r="AD56" s="233"/>
      <c r="AE56" s="233"/>
      <c r="AF56" s="234"/>
      <c r="AG56" s="234"/>
      <c r="AH56" s="235"/>
      <c r="AI56" s="234"/>
      <c r="AJ56" s="234"/>
      <c r="AK56" s="234"/>
      <c r="AL56" s="234"/>
      <c r="AM56" s="236" t="e">
        <f t="shared" si="118"/>
        <v>#DIV/0!</v>
      </c>
      <c r="AN56" s="234"/>
      <c r="AO56" s="234"/>
      <c r="AP56" s="237" t="e">
        <f t="shared" si="119"/>
        <v>#DIV/0!</v>
      </c>
      <c r="AQ56" s="234"/>
      <c r="AR56" s="234"/>
      <c r="AS56" s="237" t="e">
        <f t="shared" si="120"/>
        <v>#DIV/0!</v>
      </c>
      <c r="AT56" s="234"/>
      <c r="AU56" s="234"/>
      <c r="AV56" s="237" t="e">
        <f t="shared" si="121"/>
        <v>#DIV/0!</v>
      </c>
      <c r="AW56" s="234"/>
      <c r="AX56" s="234"/>
      <c r="AY56" s="237" t="e">
        <f t="shared" si="122"/>
        <v>#DIV/0!</v>
      </c>
      <c r="AZ56" s="238">
        <f t="shared" si="123"/>
        <v>0</v>
      </c>
      <c r="BA56" s="238">
        <f t="shared" si="123"/>
        <v>0</v>
      </c>
      <c r="BB56" s="238">
        <f t="shared" si="124"/>
        <v>0</v>
      </c>
      <c r="BC56" s="237">
        <f t="shared" si="125"/>
        <v>1</v>
      </c>
      <c r="BD56" s="239"/>
      <c r="BE56" s="239"/>
      <c r="BH56" s="17"/>
    </row>
    <row r="57" spans="19:60" ht="15" customHeight="1" x14ac:dyDescent="0.2">
      <c r="AC57" s="7"/>
      <c r="AG57" s="240">
        <f>SUM(AG54:AG56)</f>
        <v>0</v>
      </c>
      <c r="AH57" s="240">
        <f>SUM(AH54:AH56)</f>
        <v>0</v>
      </c>
      <c r="AI57" s="240">
        <f t="shared" ref="AI57:AL57" si="126">SUM(AI54:AI56)</f>
        <v>0</v>
      </c>
      <c r="AJ57" s="240">
        <f t="shared" si="126"/>
        <v>0</v>
      </c>
      <c r="AK57" s="240">
        <f t="shared" si="126"/>
        <v>0</v>
      </c>
      <c r="AL57" s="240">
        <f t="shared" si="126"/>
        <v>0</v>
      </c>
      <c r="AM57" s="135"/>
      <c r="AN57" s="240">
        <f>SUM(AN54:AN56)</f>
        <v>0</v>
      </c>
      <c r="AO57" s="240">
        <f>SUM(AO54:AO56)</f>
        <v>0</v>
      </c>
      <c r="AP57" s="241"/>
      <c r="AQ57" s="240">
        <f>SUM(AQ54:AQ56)</f>
        <v>0</v>
      </c>
      <c r="AR57" s="240">
        <f>SUM(AR54:AR56)</f>
        <v>0</v>
      </c>
      <c r="AS57" s="241"/>
      <c r="AT57" s="240">
        <f>SUM(AT54:AT56)</f>
        <v>0</v>
      </c>
      <c r="AU57" s="240">
        <f>SUM(AU54:AU56)</f>
        <v>0</v>
      </c>
      <c r="AV57" s="241"/>
      <c r="AW57" s="240">
        <f>SUM(AW54:AW56)</f>
        <v>0</v>
      </c>
      <c r="AX57" s="240">
        <f>SUM(AX54:AX56)</f>
        <v>0</v>
      </c>
      <c r="AY57" s="241"/>
      <c r="AZ57" s="240">
        <f>SUM(AZ54:AZ56)</f>
        <v>0</v>
      </c>
      <c r="BA57" s="240">
        <f>SUM(BA54:BA56)</f>
        <v>0</v>
      </c>
      <c r="BB57" s="240">
        <f>SUM(AZ57:BA57)</f>
        <v>0</v>
      </c>
      <c r="BC57" s="242">
        <f>(BB57+1)/(AI57+1)</f>
        <v>1</v>
      </c>
      <c r="BD57" s="98"/>
      <c r="BE57" s="98"/>
      <c r="BH57" s="17"/>
    </row>
    <row r="58" spans="19:60" ht="15" customHeight="1" x14ac:dyDescent="0.2">
      <c r="AC58" s="212" t="s">
        <v>333</v>
      </c>
      <c r="AD58" s="15"/>
      <c r="AE58" s="23"/>
      <c r="AF58" s="16"/>
      <c r="AG58" s="15"/>
      <c r="AH58" s="15"/>
      <c r="AI58" s="15"/>
      <c r="AJ58" s="15"/>
      <c r="AK58" s="15"/>
      <c r="AL58" s="22"/>
      <c r="AM58" s="213"/>
      <c r="AN58" s="23"/>
      <c r="AO58" s="23"/>
      <c r="AP58" s="7"/>
      <c r="AQ58" s="15"/>
      <c r="AR58" s="15"/>
      <c r="AS58" s="7"/>
      <c r="AT58" s="15"/>
      <c r="AU58" s="15"/>
      <c r="AV58" s="7"/>
      <c r="AW58" s="15"/>
      <c r="AX58" s="15"/>
      <c r="AY58" s="214"/>
      <c r="AZ58" s="215"/>
      <c r="BA58" s="10"/>
      <c r="BB58" s="7"/>
      <c r="BC58" s="7"/>
      <c r="BD58" s="7"/>
      <c r="BE58" s="7"/>
      <c r="BH58" s="17"/>
    </row>
    <row r="59" spans="19:60" ht="15" customHeight="1" x14ac:dyDescent="0.2">
      <c r="AC59" s="216" t="s">
        <v>271</v>
      </c>
      <c r="AD59" s="217"/>
      <c r="AE59" s="217"/>
      <c r="AF59" s="218"/>
      <c r="AG59" s="218"/>
      <c r="AH59" s="219"/>
      <c r="AI59" s="218"/>
      <c r="AJ59" s="218"/>
      <c r="AK59" s="218"/>
      <c r="AL59" s="218"/>
      <c r="AM59" s="220" t="e">
        <f>SUM(AJ59:AL59)/AH59</f>
        <v>#DIV/0!</v>
      </c>
      <c r="AN59" s="218"/>
      <c r="AO59" s="218"/>
      <c r="AP59" s="221" t="e">
        <f>SUM(AN59:AO59)/AI59</f>
        <v>#DIV/0!</v>
      </c>
      <c r="AQ59" s="218"/>
      <c r="AR59" s="218"/>
      <c r="AS59" s="221" t="e">
        <f>(AQ59+AR59)/$AG59</f>
        <v>#DIV/0!</v>
      </c>
      <c r="AT59" s="218"/>
      <c r="AU59" s="218"/>
      <c r="AV59" s="221" t="e">
        <f>(AT59+AU59)/$AG59</f>
        <v>#DIV/0!</v>
      </c>
      <c r="AW59" s="218"/>
      <c r="AX59" s="218"/>
      <c r="AY59" s="221" t="e">
        <f>(AW59+AX59)/$AG59</f>
        <v>#DIV/0!</v>
      </c>
      <c r="AZ59" s="222">
        <f>SUM(AN59,AQ59,AT59,AW59)</f>
        <v>0</v>
      </c>
      <c r="BA59" s="222">
        <f>SUM(AO59,AR59,AU59,AX59)</f>
        <v>0</v>
      </c>
      <c r="BB59" s="222">
        <f>SUM(AZ59:BA59)</f>
        <v>0</v>
      </c>
      <c r="BC59" s="221">
        <f>(BB59+1)/(AI59+1)</f>
        <v>1</v>
      </c>
      <c r="BD59" s="223"/>
      <c r="BE59" s="223"/>
      <c r="BH59" s="17"/>
    </row>
    <row r="60" spans="19:60" ht="15" customHeight="1" x14ac:dyDescent="0.2">
      <c r="AC60" s="224" t="s">
        <v>273</v>
      </c>
      <c r="AD60" s="225"/>
      <c r="AE60" s="225"/>
      <c r="AF60" s="226"/>
      <c r="AG60" s="226"/>
      <c r="AH60" s="227"/>
      <c r="AI60" s="226"/>
      <c r="AJ60" s="226"/>
      <c r="AK60" s="226"/>
      <c r="AL60" s="226"/>
      <c r="AM60" s="228" t="e">
        <f t="shared" ref="AM60:AM61" si="127">SUM(AJ60:AL60)/AH60</f>
        <v>#DIV/0!</v>
      </c>
      <c r="AN60" s="226"/>
      <c r="AO60" s="226"/>
      <c r="AP60" s="229" t="e">
        <f t="shared" ref="AP60:AP61" si="128">SUM(AN60:AO60)/AI60</f>
        <v>#DIV/0!</v>
      </c>
      <c r="AQ60" s="226"/>
      <c r="AR60" s="226"/>
      <c r="AS60" s="229" t="e">
        <f t="shared" ref="AS60:AS61" si="129">(AQ60+AR60)/$AG60</f>
        <v>#DIV/0!</v>
      </c>
      <c r="AT60" s="226"/>
      <c r="AU60" s="226"/>
      <c r="AV60" s="229" t="e">
        <f t="shared" ref="AV60:AV61" si="130">(AT60+AU60)/$AG60</f>
        <v>#DIV/0!</v>
      </c>
      <c r="AW60" s="226"/>
      <c r="AX60" s="226"/>
      <c r="AY60" s="229" t="e">
        <f t="shared" ref="AY60:AY61" si="131">(AW60+AX60)/$AG60</f>
        <v>#DIV/0!</v>
      </c>
      <c r="AZ60" s="230">
        <f t="shared" ref="AZ60:BA61" si="132">SUM(AN60,AQ60,AT60,AW60)</f>
        <v>0</v>
      </c>
      <c r="BA60" s="230">
        <f t="shared" si="132"/>
        <v>0</v>
      </c>
      <c r="BB60" s="230">
        <f t="shared" ref="BB60:BB61" si="133">SUM(AZ60:BA60)</f>
        <v>0</v>
      </c>
      <c r="BC60" s="229">
        <f t="shared" ref="BC60:BC61" si="134">(BB60+1)/(AI60+1)</f>
        <v>1</v>
      </c>
      <c r="BD60" s="231"/>
      <c r="BE60" s="231"/>
    </row>
    <row r="61" spans="19:60" ht="15" customHeight="1" x14ac:dyDescent="0.2">
      <c r="AC61" s="232" t="s">
        <v>275</v>
      </c>
      <c r="AD61" s="233"/>
      <c r="AE61" s="233"/>
      <c r="AF61" s="234"/>
      <c r="AG61" s="234"/>
      <c r="AH61" s="235"/>
      <c r="AI61" s="234"/>
      <c r="AJ61" s="234"/>
      <c r="AK61" s="234"/>
      <c r="AL61" s="234"/>
      <c r="AM61" s="236" t="e">
        <f t="shared" si="127"/>
        <v>#DIV/0!</v>
      </c>
      <c r="AN61" s="234"/>
      <c r="AO61" s="234"/>
      <c r="AP61" s="237" t="e">
        <f t="shared" si="128"/>
        <v>#DIV/0!</v>
      </c>
      <c r="AQ61" s="234"/>
      <c r="AR61" s="234"/>
      <c r="AS61" s="237" t="e">
        <f t="shared" si="129"/>
        <v>#DIV/0!</v>
      </c>
      <c r="AT61" s="234"/>
      <c r="AU61" s="234"/>
      <c r="AV61" s="237" t="e">
        <f t="shared" si="130"/>
        <v>#DIV/0!</v>
      </c>
      <c r="AW61" s="234"/>
      <c r="AX61" s="234"/>
      <c r="AY61" s="237" t="e">
        <f t="shared" si="131"/>
        <v>#DIV/0!</v>
      </c>
      <c r="AZ61" s="238">
        <f t="shared" si="132"/>
        <v>0</v>
      </c>
      <c r="BA61" s="238">
        <f t="shared" si="132"/>
        <v>0</v>
      </c>
      <c r="BB61" s="238">
        <f t="shared" si="133"/>
        <v>0</v>
      </c>
      <c r="BC61" s="237">
        <f t="shared" si="134"/>
        <v>1</v>
      </c>
      <c r="BD61" s="239"/>
      <c r="BE61" s="239"/>
    </row>
    <row r="62" spans="19:60" ht="18" customHeight="1" x14ac:dyDescent="0.2">
      <c r="AC62" s="7"/>
      <c r="AG62" s="240">
        <f>SUM(AG59:AG61)</f>
        <v>0</v>
      </c>
      <c r="AH62" s="240">
        <f>SUM(AH59:AH61)</f>
        <v>0</v>
      </c>
      <c r="AI62" s="240">
        <f t="shared" ref="AI62:AL62" si="135">SUM(AI59:AI61)</f>
        <v>0</v>
      </c>
      <c r="AJ62" s="240">
        <f t="shared" si="135"/>
        <v>0</v>
      </c>
      <c r="AK62" s="240">
        <f t="shared" si="135"/>
        <v>0</v>
      </c>
      <c r="AL62" s="240">
        <f t="shared" si="135"/>
        <v>0</v>
      </c>
      <c r="AM62" s="135"/>
      <c r="AN62" s="240">
        <f>SUM(AN59:AN61)</f>
        <v>0</v>
      </c>
      <c r="AO62" s="240">
        <f>SUM(AO59:AO61)</f>
        <v>0</v>
      </c>
      <c r="AP62" s="241"/>
      <c r="AQ62" s="240">
        <f>SUM(AQ59:AQ61)</f>
        <v>0</v>
      </c>
      <c r="AR62" s="240">
        <f>SUM(AR59:AR61)</f>
        <v>0</v>
      </c>
      <c r="AS62" s="241"/>
      <c r="AT62" s="240">
        <f>SUM(AT59:AT61)</f>
        <v>0</v>
      </c>
      <c r="AU62" s="240">
        <f>SUM(AU59:AU61)</f>
        <v>0</v>
      </c>
      <c r="AV62" s="241"/>
      <c r="AW62" s="240">
        <f>SUM(AW59:AW61)</f>
        <v>0</v>
      </c>
      <c r="AX62" s="240">
        <f>SUM(AX59:AX61)</f>
        <v>0</v>
      </c>
      <c r="AY62" s="241"/>
      <c r="AZ62" s="240">
        <f>SUM(AZ59:AZ61)</f>
        <v>0</v>
      </c>
      <c r="BA62" s="240">
        <f>SUM(BA59:BA61)</f>
        <v>0</v>
      </c>
      <c r="BB62" s="240">
        <f>SUM(AZ62:BA62)</f>
        <v>0</v>
      </c>
      <c r="BC62" s="242">
        <f>(BB62+1)/(AI62+1)</f>
        <v>1</v>
      </c>
      <c r="BD62" s="98"/>
      <c r="BE62" s="98"/>
    </row>
    <row r="63" spans="19:60" ht="18" customHeight="1" x14ac:dyDescent="0.2">
      <c r="AC63" s="212" t="s">
        <v>334</v>
      </c>
      <c r="AD63" s="15"/>
      <c r="AE63" s="23"/>
      <c r="AF63" s="16"/>
      <c r="AG63" s="15"/>
      <c r="AH63" s="15"/>
      <c r="AI63" s="15"/>
      <c r="AJ63" s="15"/>
      <c r="AK63" s="15"/>
      <c r="AL63" s="22"/>
      <c r="AM63" s="213"/>
      <c r="AN63" s="23"/>
      <c r="AO63" s="23"/>
      <c r="AP63" s="7"/>
      <c r="AQ63" s="15"/>
      <c r="AR63" s="15"/>
      <c r="AS63" s="7"/>
      <c r="AT63" s="15"/>
      <c r="AU63" s="15"/>
      <c r="AV63" s="7"/>
      <c r="AW63" s="15"/>
      <c r="AX63" s="15"/>
      <c r="AY63" s="214"/>
      <c r="AZ63" s="215"/>
      <c r="BA63" s="10"/>
      <c r="BB63" s="7"/>
      <c r="BC63" s="7"/>
      <c r="BD63" s="7"/>
      <c r="BE63" s="7"/>
    </row>
    <row r="64" spans="19:60" ht="18" customHeight="1" x14ac:dyDescent="0.2">
      <c r="S64" s="18"/>
      <c r="AC64" s="216" t="s">
        <v>271</v>
      </c>
      <c r="AD64" s="217"/>
      <c r="AE64" s="217"/>
      <c r="AF64" s="218"/>
      <c r="AG64" s="218"/>
      <c r="AH64" s="219"/>
      <c r="AI64" s="218"/>
      <c r="AJ64" s="218"/>
      <c r="AK64" s="218"/>
      <c r="AL64" s="218"/>
      <c r="AM64" s="220" t="e">
        <f>SUM(AJ64:AL64)/AH64</f>
        <v>#DIV/0!</v>
      </c>
      <c r="AN64" s="218"/>
      <c r="AO64" s="218"/>
      <c r="AP64" s="221" t="e">
        <f>SUM(AN64:AO64)/AI64</f>
        <v>#DIV/0!</v>
      </c>
      <c r="AQ64" s="218"/>
      <c r="AR64" s="218"/>
      <c r="AS64" s="221" t="e">
        <f>(AQ64+AR64)/$AG64</f>
        <v>#DIV/0!</v>
      </c>
      <c r="AT64" s="218"/>
      <c r="AU64" s="218"/>
      <c r="AV64" s="221" t="e">
        <f>(AT64+AU64)/$AG64</f>
        <v>#DIV/0!</v>
      </c>
      <c r="AW64" s="218"/>
      <c r="AX64" s="218"/>
      <c r="AY64" s="221" t="e">
        <f>(AW64+AX64)/$AG64</f>
        <v>#DIV/0!</v>
      </c>
      <c r="AZ64" s="222">
        <f>SUM(AN64,AQ64,AT64,AW64)</f>
        <v>0</v>
      </c>
      <c r="BA64" s="222">
        <f>SUM(AO64,AR64,AU64,AX64)</f>
        <v>0</v>
      </c>
      <c r="BB64" s="222">
        <f>SUM(AZ64:BA64)</f>
        <v>0</v>
      </c>
      <c r="BC64" s="221">
        <f>(BB64+1)/(AI64+1)</f>
        <v>1</v>
      </c>
      <c r="BD64" s="223"/>
      <c r="BE64" s="223"/>
    </row>
    <row r="65" spans="6:57" ht="18" customHeight="1" x14ac:dyDescent="0.2">
      <c r="S65" s="18"/>
      <c r="AC65" s="224" t="s">
        <v>273</v>
      </c>
      <c r="AD65" s="225"/>
      <c r="AE65" s="225"/>
      <c r="AF65" s="226"/>
      <c r="AG65" s="226"/>
      <c r="AH65" s="227"/>
      <c r="AI65" s="226"/>
      <c r="AJ65" s="226"/>
      <c r="AK65" s="226"/>
      <c r="AL65" s="226"/>
      <c r="AM65" s="228" t="e">
        <f t="shared" ref="AM65:AM66" si="136">SUM(AJ65:AL65)/AH65</f>
        <v>#DIV/0!</v>
      </c>
      <c r="AN65" s="226"/>
      <c r="AO65" s="226"/>
      <c r="AP65" s="229" t="e">
        <f t="shared" ref="AP65:AP66" si="137">SUM(AN65:AO65)/AI65</f>
        <v>#DIV/0!</v>
      </c>
      <c r="AQ65" s="226"/>
      <c r="AR65" s="226"/>
      <c r="AS65" s="229" t="e">
        <f t="shared" ref="AS65:AS66" si="138">(AQ65+AR65)/$AG65</f>
        <v>#DIV/0!</v>
      </c>
      <c r="AT65" s="226"/>
      <c r="AU65" s="226"/>
      <c r="AV65" s="229" t="e">
        <f t="shared" ref="AV65:AV66" si="139">(AT65+AU65)/$AG65</f>
        <v>#DIV/0!</v>
      </c>
      <c r="AW65" s="226"/>
      <c r="AX65" s="226"/>
      <c r="AY65" s="229" t="e">
        <f t="shared" ref="AY65:AY66" si="140">(AW65+AX65)/$AG65</f>
        <v>#DIV/0!</v>
      </c>
      <c r="AZ65" s="230">
        <f t="shared" ref="AZ65:BA66" si="141">SUM(AN65,AQ65,AT65,AW65)</f>
        <v>0</v>
      </c>
      <c r="BA65" s="230">
        <f t="shared" si="141"/>
        <v>0</v>
      </c>
      <c r="BB65" s="230">
        <f t="shared" ref="BB65:BB66" si="142">SUM(AZ65:BA65)</f>
        <v>0</v>
      </c>
      <c r="BC65" s="229">
        <f t="shared" ref="BC65:BC66" si="143">(BB65+1)/(AI65+1)</f>
        <v>1</v>
      </c>
      <c r="BD65" s="231"/>
      <c r="BE65" s="231"/>
    </row>
    <row r="66" spans="6:57" ht="18" customHeight="1" x14ac:dyDescent="0.2">
      <c r="S66" s="18"/>
      <c r="AC66" s="232" t="s">
        <v>275</v>
      </c>
      <c r="AD66" s="233"/>
      <c r="AE66" s="233"/>
      <c r="AF66" s="234"/>
      <c r="AG66" s="234"/>
      <c r="AH66" s="235"/>
      <c r="AI66" s="234"/>
      <c r="AJ66" s="234"/>
      <c r="AK66" s="234"/>
      <c r="AL66" s="234"/>
      <c r="AM66" s="236" t="e">
        <f t="shared" si="136"/>
        <v>#DIV/0!</v>
      </c>
      <c r="AN66" s="234"/>
      <c r="AO66" s="234"/>
      <c r="AP66" s="237" t="e">
        <f t="shared" si="137"/>
        <v>#DIV/0!</v>
      </c>
      <c r="AQ66" s="234"/>
      <c r="AR66" s="234"/>
      <c r="AS66" s="237" t="e">
        <f t="shared" si="138"/>
        <v>#DIV/0!</v>
      </c>
      <c r="AT66" s="234"/>
      <c r="AU66" s="234"/>
      <c r="AV66" s="237" t="e">
        <f t="shared" si="139"/>
        <v>#DIV/0!</v>
      </c>
      <c r="AW66" s="234"/>
      <c r="AX66" s="234"/>
      <c r="AY66" s="237" t="e">
        <f t="shared" si="140"/>
        <v>#DIV/0!</v>
      </c>
      <c r="AZ66" s="238">
        <f t="shared" si="141"/>
        <v>0</v>
      </c>
      <c r="BA66" s="238">
        <f t="shared" si="141"/>
        <v>0</v>
      </c>
      <c r="BB66" s="238">
        <f t="shared" si="142"/>
        <v>0</v>
      </c>
      <c r="BC66" s="237">
        <f t="shared" si="143"/>
        <v>1</v>
      </c>
      <c r="BD66" s="239"/>
      <c r="BE66" s="239"/>
    </row>
    <row r="67" spans="6:57" ht="18" customHeight="1" x14ac:dyDescent="0.2">
      <c r="S67" s="18"/>
      <c r="AC67" s="7"/>
      <c r="AG67" s="240">
        <f>SUM(AG64:AG66)</f>
        <v>0</v>
      </c>
      <c r="AH67" s="240">
        <f>SUM(AH64:AH66)</f>
        <v>0</v>
      </c>
      <c r="AI67" s="240">
        <f t="shared" ref="AI67:AL67" si="144">SUM(AI64:AI66)</f>
        <v>0</v>
      </c>
      <c r="AJ67" s="240">
        <f t="shared" si="144"/>
        <v>0</v>
      </c>
      <c r="AK67" s="240">
        <f t="shared" si="144"/>
        <v>0</v>
      </c>
      <c r="AL67" s="240">
        <f t="shared" si="144"/>
        <v>0</v>
      </c>
      <c r="AM67" s="135"/>
      <c r="AN67" s="240">
        <f>SUM(AN64:AN66)</f>
        <v>0</v>
      </c>
      <c r="AO67" s="240">
        <f>SUM(AO64:AO66)</f>
        <v>0</v>
      </c>
      <c r="AP67" s="241"/>
      <c r="AQ67" s="240">
        <f>SUM(AQ64:AQ66)</f>
        <v>0</v>
      </c>
      <c r="AR67" s="240">
        <f>SUM(AR64:AR66)</f>
        <v>0</v>
      </c>
      <c r="AS67" s="241"/>
      <c r="AT67" s="240">
        <f>SUM(AT64:AT66)</f>
        <v>0</v>
      </c>
      <c r="AU67" s="240">
        <f>SUM(AU64:AU66)</f>
        <v>0</v>
      </c>
      <c r="AV67" s="241"/>
      <c r="AW67" s="240">
        <f>SUM(AW64:AW66)</f>
        <v>0</v>
      </c>
      <c r="AX67" s="240">
        <f>SUM(AX64:AX66)</f>
        <v>0</v>
      </c>
      <c r="AY67" s="241"/>
      <c r="AZ67" s="240">
        <f>SUM(AZ64:AZ66)</f>
        <v>0</v>
      </c>
      <c r="BA67" s="240">
        <f>SUM(BA64:BA66)</f>
        <v>0</v>
      </c>
      <c r="BB67" s="240">
        <f>SUM(AZ67:BA67)</f>
        <v>0</v>
      </c>
      <c r="BC67" s="242">
        <f>(BB67+1)/(AI67+1)</f>
        <v>1</v>
      </c>
      <c r="BD67" s="98"/>
      <c r="BE67" s="98"/>
    </row>
    <row r="68" spans="6:57" ht="18" customHeight="1" x14ac:dyDescent="0.2">
      <c r="S68" s="18"/>
      <c r="AC68" s="212" t="s">
        <v>335</v>
      </c>
      <c r="AD68" s="15"/>
      <c r="AE68" s="23"/>
      <c r="AF68" s="16"/>
      <c r="AG68" s="15"/>
      <c r="AH68" s="15"/>
      <c r="AI68" s="15"/>
      <c r="AJ68" s="15"/>
      <c r="AK68" s="15"/>
      <c r="AL68" s="22"/>
      <c r="AM68" s="213"/>
      <c r="AN68" s="23"/>
      <c r="AO68" s="23"/>
      <c r="AP68" s="7"/>
      <c r="AQ68" s="15"/>
      <c r="AR68" s="15"/>
      <c r="AS68" s="7"/>
      <c r="AT68" s="15"/>
      <c r="AU68" s="15"/>
      <c r="AV68" s="7"/>
      <c r="AW68" s="15"/>
      <c r="AX68" s="15"/>
      <c r="AY68" s="214"/>
      <c r="AZ68" s="215"/>
      <c r="BA68" s="10"/>
      <c r="BB68" s="7"/>
      <c r="BC68" s="7"/>
      <c r="BD68" s="7"/>
      <c r="BE68" s="7"/>
    </row>
    <row r="69" spans="6:57" ht="18" customHeight="1" x14ac:dyDescent="0.2">
      <c r="S69" s="18"/>
      <c r="AC69" s="216" t="s">
        <v>271</v>
      </c>
      <c r="AD69" s="217"/>
      <c r="AE69" s="217"/>
      <c r="AF69" s="218"/>
      <c r="AG69" s="218"/>
      <c r="AH69" s="219"/>
      <c r="AI69" s="218"/>
      <c r="AJ69" s="218"/>
      <c r="AK69" s="218"/>
      <c r="AL69" s="218"/>
      <c r="AM69" s="220" t="e">
        <f>SUM(AJ69:AL69)/AH69</f>
        <v>#DIV/0!</v>
      </c>
      <c r="AN69" s="218"/>
      <c r="AO69" s="218"/>
      <c r="AP69" s="221" t="e">
        <f>SUM(AN69:AO69)/AI69</f>
        <v>#DIV/0!</v>
      </c>
      <c r="AQ69" s="218"/>
      <c r="AR69" s="218"/>
      <c r="AS69" s="221" t="e">
        <f>(AQ69+AR69)/$AG69</f>
        <v>#DIV/0!</v>
      </c>
      <c r="AT69" s="218"/>
      <c r="AU69" s="218"/>
      <c r="AV69" s="221" t="e">
        <f>(AT69+AU69)/$AG69</f>
        <v>#DIV/0!</v>
      </c>
      <c r="AW69" s="218"/>
      <c r="AX69" s="218"/>
      <c r="AY69" s="221" t="e">
        <f>(AW69+AX69)/$AG69</f>
        <v>#DIV/0!</v>
      </c>
      <c r="AZ69" s="222">
        <f>SUM(AN69,AQ69,AT69,AW69)</f>
        <v>0</v>
      </c>
      <c r="BA69" s="222">
        <f>SUM(AO69,AR69,AU69,AX69)</f>
        <v>0</v>
      </c>
      <c r="BB69" s="222">
        <f>SUM(AZ69:BA69)</f>
        <v>0</v>
      </c>
      <c r="BC69" s="221">
        <f>(BB69+1)/(AI69+1)</f>
        <v>1</v>
      </c>
      <c r="BD69" s="223"/>
      <c r="BE69" s="223"/>
    </row>
    <row r="70" spans="6:57" ht="18" customHeight="1" x14ac:dyDescent="0.2">
      <c r="S70" s="18"/>
      <c r="AC70" s="224" t="s">
        <v>273</v>
      </c>
      <c r="AD70" s="225"/>
      <c r="AE70" s="225"/>
      <c r="AF70" s="226"/>
      <c r="AG70" s="226"/>
      <c r="AH70" s="227"/>
      <c r="AI70" s="226"/>
      <c r="AJ70" s="226"/>
      <c r="AK70" s="226"/>
      <c r="AL70" s="226"/>
      <c r="AM70" s="228" t="e">
        <f t="shared" ref="AM70:AM71" si="145">SUM(AJ70:AL70)/AH70</f>
        <v>#DIV/0!</v>
      </c>
      <c r="AN70" s="226"/>
      <c r="AO70" s="226"/>
      <c r="AP70" s="229" t="e">
        <f t="shared" ref="AP70:AP71" si="146">SUM(AN70:AO70)/AI70</f>
        <v>#DIV/0!</v>
      </c>
      <c r="AQ70" s="226"/>
      <c r="AR70" s="226"/>
      <c r="AS70" s="229" t="e">
        <f t="shared" ref="AS70:AS71" si="147">(AQ70+AR70)/$AG70</f>
        <v>#DIV/0!</v>
      </c>
      <c r="AT70" s="226"/>
      <c r="AU70" s="226"/>
      <c r="AV70" s="229" t="e">
        <f t="shared" ref="AV70:AV71" si="148">(AT70+AU70)/$AG70</f>
        <v>#DIV/0!</v>
      </c>
      <c r="AW70" s="226"/>
      <c r="AX70" s="226"/>
      <c r="AY70" s="229" t="e">
        <f t="shared" ref="AY70:AY71" si="149">(AW70+AX70)/$AG70</f>
        <v>#DIV/0!</v>
      </c>
      <c r="AZ70" s="230">
        <f t="shared" ref="AZ70:BA71" si="150">SUM(AN70,AQ70,AT70,AW70)</f>
        <v>0</v>
      </c>
      <c r="BA70" s="230">
        <f t="shared" si="150"/>
        <v>0</v>
      </c>
      <c r="BB70" s="230">
        <f t="shared" ref="BB70:BB71" si="151">SUM(AZ70:BA70)</f>
        <v>0</v>
      </c>
      <c r="BC70" s="229">
        <f t="shared" ref="BC70:BC71" si="152">(BB70+1)/(AI70+1)</f>
        <v>1</v>
      </c>
      <c r="BD70" s="231"/>
      <c r="BE70" s="231"/>
    </row>
    <row r="71" spans="6:57" ht="18" customHeight="1" x14ac:dyDescent="0.2">
      <c r="S71" s="18"/>
      <c r="AC71" s="232" t="s">
        <v>275</v>
      </c>
      <c r="AD71" s="233"/>
      <c r="AE71" s="233"/>
      <c r="AF71" s="234"/>
      <c r="AG71" s="234"/>
      <c r="AH71" s="235"/>
      <c r="AI71" s="234"/>
      <c r="AJ71" s="234"/>
      <c r="AK71" s="234"/>
      <c r="AL71" s="234"/>
      <c r="AM71" s="236" t="e">
        <f t="shared" si="145"/>
        <v>#DIV/0!</v>
      </c>
      <c r="AN71" s="234"/>
      <c r="AO71" s="234"/>
      <c r="AP71" s="237" t="e">
        <f t="shared" si="146"/>
        <v>#DIV/0!</v>
      </c>
      <c r="AQ71" s="234"/>
      <c r="AR71" s="234"/>
      <c r="AS71" s="237" t="e">
        <f t="shared" si="147"/>
        <v>#DIV/0!</v>
      </c>
      <c r="AT71" s="234"/>
      <c r="AU71" s="234"/>
      <c r="AV71" s="237" t="e">
        <f t="shared" si="148"/>
        <v>#DIV/0!</v>
      </c>
      <c r="AW71" s="234"/>
      <c r="AX71" s="234"/>
      <c r="AY71" s="237" t="e">
        <f t="shared" si="149"/>
        <v>#DIV/0!</v>
      </c>
      <c r="AZ71" s="238">
        <f t="shared" si="150"/>
        <v>0</v>
      </c>
      <c r="BA71" s="238">
        <f t="shared" si="150"/>
        <v>0</v>
      </c>
      <c r="BB71" s="238">
        <f t="shared" si="151"/>
        <v>0</v>
      </c>
      <c r="BC71" s="237">
        <f t="shared" si="152"/>
        <v>1</v>
      </c>
      <c r="BD71" s="239"/>
      <c r="BE71" s="239"/>
    </row>
    <row r="72" spans="6:57" ht="18" customHeight="1" x14ac:dyDescent="0.2">
      <c r="F72" s="129"/>
      <c r="G72" s="130"/>
      <c r="H72" s="130"/>
      <c r="I72" s="130"/>
      <c r="J72" s="129"/>
      <c r="K72" s="129"/>
      <c r="L72" s="129"/>
      <c r="S72" s="18"/>
      <c r="AC72" s="7"/>
      <c r="AG72" s="240">
        <f>SUM(AG69:AG71)</f>
        <v>0</v>
      </c>
      <c r="AH72" s="240">
        <f>SUM(AH69:AH71)</f>
        <v>0</v>
      </c>
      <c r="AI72" s="240">
        <f t="shared" ref="AI72:AL72" si="153">SUM(AI69:AI71)</f>
        <v>0</v>
      </c>
      <c r="AJ72" s="240">
        <f t="shared" si="153"/>
        <v>0</v>
      </c>
      <c r="AK72" s="240">
        <f t="shared" si="153"/>
        <v>0</v>
      </c>
      <c r="AL72" s="240">
        <f t="shared" si="153"/>
        <v>0</v>
      </c>
      <c r="AM72" s="135"/>
      <c r="AN72" s="240">
        <f>SUM(AN69:AN71)</f>
        <v>0</v>
      </c>
      <c r="AO72" s="240">
        <f>SUM(AO69:AO71)</f>
        <v>0</v>
      </c>
      <c r="AP72" s="241"/>
      <c r="AQ72" s="240">
        <f>SUM(AQ69:AQ71)</f>
        <v>0</v>
      </c>
      <c r="AR72" s="240">
        <f>SUM(AR69:AR71)</f>
        <v>0</v>
      </c>
      <c r="AS72" s="241"/>
      <c r="AT72" s="240">
        <f>SUM(AT69:AT71)</f>
        <v>0</v>
      </c>
      <c r="AU72" s="240">
        <f>SUM(AU69:AU71)</f>
        <v>0</v>
      </c>
      <c r="AV72" s="241"/>
      <c r="AW72" s="240">
        <f>SUM(AW69:AW71)</f>
        <v>0</v>
      </c>
      <c r="AX72" s="240">
        <f>SUM(AX69:AX71)</f>
        <v>0</v>
      </c>
      <c r="AY72" s="241"/>
      <c r="AZ72" s="240">
        <f>SUM(AZ69:AZ71)</f>
        <v>0</v>
      </c>
      <c r="BA72" s="240">
        <f>SUM(BA69:BA71)</f>
        <v>0</v>
      </c>
      <c r="BB72" s="240">
        <f>SUM(AZ72:BA72)</f>
        <v>0</v>
      </c>
      <c r="BC72" s="242">
        <f>(BB72+1)/(AI72+1)</f>
        <v>1</v>
      </c>
      <c r="BD72" s="98"/>
      <c r="BE72" s="98"/>
    </row>
    <row r="73" spans="6:57" ht="18" customHeight="1" x14ac:dyDescent="0.2">
      <c r="F73" s="129"/>
      <c r="G73" s="130"/>
      <c r="H73" s="130"/>
      <c r="I73" s="130"/>
      <c r="J73" s="129"/>
      <c r="K73" s="129"/>
      <c r="L73" s="129"/>
      <c r="S73" s="18"/>
      <c r="AC73" s="212" t="s">
        <v>336</v>
      </c>
      <c r="AD73" s="15"/>
      <c r="AE73" s="23"/>
      <c r="AF73" s="16"/>
      <c r="AG73" s="15"/>
      <c r="AH73" s="15"/>
      <c r="AI73" s="15"/>
      <c r="AJ73" s="15"/>
      <c r="AK73" s="15"/>
      <c r="AL73" s="22"/>
      <c r="AM73" s="213"/>
      <c r="AN73" s="23"/>
      <c r="AO73" s="23"/>
      <c r="AP73" s="7"/>
      <c r="AQ73" s="15"/>
      <c r="AR73" s="15"/>
      <c r="AS73" s="7"/>
      <c r="AT73" s="15"/>
      <c r="AU73" s="15"/>
      <c r="AV73" s="7"/>
      <c r="AW73" s="15"/>
      <c r="AX73" s="15"/>
      <c r="AY73" s="214"/>
      <c r="AZ73" s="215"/>
      <c r="BA73" s="10"/>
      <c r="BB73" s="7"/>
      <c r="BC73" s="7"/>
      <c r="BD73" s="7"/>
      <c r="BE73" s="7"/>
    </row>
    <row r="74" spans="6:57" ht="18" customHeight="1" x14ac:dyDescent="0.2">
      <c r="F74" s="129"/>
      <c r="G74" s="130"/>
      <c r="H74" s="130"/>
      <c r="I74" s="130"/>
      <c r="J74" s="129"/>
      <c r="K74" s="129"/>
      <c r="L74" s="129"/>
      <c r="S74" s="18"/>
      <c r="AC74" s="216" t="s">
        <v>271</v>
      </c>
      <c r="AD74" s="217"/>
      <c r="AE74" s="217"/>
      <c r="AF74" s="218"/>
      <c r="AG74" s="218"/>
      <c r="AH74" s="219"/>
      <c r="AI74" s="218"/>
      <c r="AJ74" s="218"/>
      <c r="AK74" s="218"/>
      <c r="AL74" s="218"/>
      <c r="AM74" s="220" t="e">
        <f>SUM(AJ74:AL74)/AH74</f>
        <v>#DIV/0!</v>
      </c>
      <c r="AN74" s="218"/>
      <c r="AO74" s="218"/>
      <c r="AP74" s="221" t="e">
        <f>SUM(AN74:AO74)/AI74</f>
        <v>#DIV/0!</v>
      </c>
      <c r="AQ74" s="218"/>
      <c r="AR74" s="218"/>
      <c r="AS74" s="221" t="e">
        <f>(AQ74+AR74)/$AG74</f>
        <v>#DIV/0!</v>
      </c>
      <c r="AT74" s="218"/>
      <c r="AU74" s="218"/>
      <c r="AV74" s="221" t="e">
        <f>(AT74+AU74)/$AG74</f>
        <v>#DIV/0!</v>
      </c>
      <c r="AW74" s="218"/>
      <c r="AX74" s="218"/>
      <c r="AY74" s="221" t="e">
        <f>(AW74+AX74)/$AG74</f>
        <v>#DIV/0!</v>
      </c>
      <c r="AZ74" s="222">
        <f>SUM(AN74,AQ74,AT74,AW74)</f>
        <v>0</v>
      </c>
      <c r="BA74" s="222">
        <f>SUM(AO74,AR74,AU74,AX74)</f>
        <v>0</v>
      </c>
      <c r="BB74" s="222">
        <f>SUM(AZ74:BA74)</f>
        <v>0</v>
      </c>
      <c r="BC74" s="221">
        <f>(BB74+1)/(AI74+1)</f>
        <v>1</v>
      </c>
      <c r="BD74" s="223"/>
      <c r="BE74" s="223"/>
    </row>
    <row r="75" spans="6:57" ht="18" customHeight="1" x14ac:dyDescent="0.2">
      <c r="F75" s="129"/>
      <c r="G75" s="130"/>
      <c r="H75" s="130"/>
      <c r="I75" s="130"/>
      <c r="J75" s="129"/>
      <c r="K75" s="129"/>
      <c r="L75" s="129"/>
      <c r="AC75" s="224" t="s">
        <v>273</v>
      </c>
      <c r="AD75" s="225"/>
      <c r="AE75" s="225"/>
      <c r="AF75" s="226"/>
      <c r="AG75" s="226"/>
      <c r="AH75" s="227"/>
      <c r="AI75" s="226"/>
      <c r="AJ75" s="226"/>
      <c r="AK75" s="226"/>
      <c r="AL75" s="226"/>
      <c r="AM75" s="228" t="e">
        <f t="shared" ref="AM75:AM76" si="154">SUM(AJ75:AL75)/AH75</f>
        <v>#DIV/0!</v>
      </c>
      <c r="AN75" s="226"/>
      <c r="AO75" s="226"/>
      <c r="AP75" s="229" t="e">
        <f t="shared" ref="AP75:AP76" si="155">SUM(AN75:AO75)/AI75</f>
        <v>#DIV/0!</v>
      </c>
      <c r="AQ75" s="226"/>
      <c r="AR75" s="226"/>
      <c r="AS75" s="229" t="e">
        <f t="shared" ref="AS75:AS76" si="156">(AQ75+AR75)/$AG75</f>
        <v>#DIV/0!</v>
      </c>
      <c r="AT75" s="226"/>
      <c r="AU75" s="226"/>
      <c r="AV75" s="229" t="e">
        <f t="shared" ref="AV75:AV76" si="157">(AT75+AU75)/$AG75</f>
        <v>#DIV/0!</v>
      </c>
      <c r="AW75" s="226"/>
      <c r="AX75" s="226"/>
      <c r="AY75" s="229" t="e">
        <f t="shared" ref="AY75:AY76" si="158">(AW75+AX75)/$AG75</f>
        <v>#DIV/0!</v>
      </c>
      <c r="AZ75" s="230">
        <f t="shared" ref="AZ75:BA76" si="159">SUM(AN75,AQ75,AT75,AW75)</f>
        <v>0</v>
      </c>
      <c r="BA75" s="230">
        <f t="shared" si="159"/>
        <v>0</v>
      </c>
      <c r="BB75" s="230">
        <f t="shared" ref="BB75:BB76" si="160">SUM(AZ75:BA75)</f>
        <v>0</v>
      </c>
      <c r="BC75" s="229">
        <f t="shared" ref="BC75:BC76" si="161">(BB75+1)/(AI75+1)</f>
        <v>1</v>
      </c>
      <c r="BD75" s="231"/>
      <c r="BE75" s="231"/>
    </row>
    <row r="76" spans="6:57" ht="18" customHeight="1" x14ac:dyDescent="0.2">
      <c r="F76" s="129"/>
      <c r="G76" s="130"/>
      <c r="H76" s="130"/>
      <c r="I76" s="130"/>
      <c r="J76" s="129"/>
      <c r="K76" s="129"/>
      <c r="L76" s="129"/>
      <c r="AC76" s="232" t="s">
        <v>275</v>
      </c>
      <c r="AD76" s="298"/>
      <c r="AE76" s="298"/>
      <c r="AF76" s="234"/>
      <c r="AG76" s="234"/>
      <c r="AH76" s="235"/>
      <c r="AI76" s="234"/>
      <c r="AJ76" s="234"/>
      <c r="AK76" s="234"/>
      <c r="AL76" s="234"/>
      <c r="AM76" s="236" t="e">
        <f t="shared" si="154"/>
        <v>#DIV/0!</v>
      </c>
      <c r="AN76" s="234"/>
      <c r="AO76" s="234"/>
      <c r="AP76" s="237" t="e">
        <f t="shared" si="155"/>
        <v>#DIV/0!</v>
      </c>
      <c r="AQ76" s="234"/>
      <c r="AR76" s="234"/>
      <c r="AS76" s="237" t="e">
        <f t="shared" si="156"/>
        <v>#DIV/0!</v>
      </c>
      <c r="AT76" s="234"/>
      <c r="AU76" s="234"/>
      <c r="AV76" s="237" t="e">
        <f t="shared" si="157"/>
        <v>#DIV/0!</v>
      </c>
      <c r="AW76" s="234"/>
      <c r="AX76" s="234"/>
      <c r="AY76" s="237" t="e">
        <f t="shared" si="158"/>
        <v>#DIV/0!</v>
      </c>
      <c r="AZ76" s="238">
        <f t="shared" si="159"/>
        <v>0</v>
      </c>
      <c r="BA76" s="238">
        <f t="shared" si="159"/>
        <v>0</v>
      </c>
      <c r="BB76" s="238">
        <f t="shared" si="160"/>
        <v>0</v>
      </c>
      <c r="BC76" s="237">
        <f t="shared" si="161"/>
        <v>1</v>
      </c>
      <c r="BD76" s="239"/>
      <c r="BE76" s="239"/>
    </row>
    <row r="77" spans="6:57" ht="18" customHeight="1" x14ac:dyDescent="0.2">
      <c r="AC77" s="7"/>
      <c r="AG77" s="240">
        <f>SUM(AG74:AG76)</f>
        <v>0</v>
      </c>
      <c r="AH77" s="240">
        <f>SUM(AH74:AH76)</f>
        <v>0</v>
      </c>
      <c r="AI77" s="240">
        <f t="shared" ref="AI77:AL77" si="162">SUM(AI74:AI76)</f>
        <v>0</v>
      </c>
      <c r="AJ77" s="240">
        <f t="shared" si="162"/>
        <v>0</v>
      </c>
      <c r="AK77" s="240">
        <f t="shared" si="162"/>
        <v>0</v>
      </c>
      <c r="AL77" s="240">
        <f t="shared" si="162"/>
        <v>0</v>
      </c>
      <c r="AM77" s="135"/>
      <c r="AN77" s="240">
        <f>SUM(AN74:AN76)</f>
        <v>0</v>
      </c>
      <c r="AO77" s="240">
        <f>SUM(AO74:AO76)</f>
        <v>0</v>
      </c>
      <c r="AP77" s="241"/>
      <c r="AQ77" s="240">
        <f>SUM(AQ74:AQ76)</f>
        <v>0</v>
      </c>
      <c r="AR77" s="240">
        <f>SUM(AR74:AR76)</f>
        <v>0</v>
      </c>
      <c r="AS77" s="241"/>
      <c r="AT77" s="240">
        <f>SUM(AT74:AT76)</f>
        <v>0</v>
      </c>
      <c r="AU77" s="240">
        <f>SUM(AU74:AU76)</f>
        <v>0</v>
      </c>
      <c r="AV77" s="241"/>
      <c r="AW77" s="240">
        <f>SUM(AW74:AW76)</f>
        <v>0</v>
      </c>
      <c r="AX77" s="240">
        <f>SUM(AX74:AX76)</f>
        <v>0</v>
      </c>
      <c r="AY77" s="241"/>
      <c r="AZ77" s="240">
        <f>SUM(AZ74:AZ76)</f>
        <v>0</v>
      </c>
      <c r="BA77" s="240">
        <f>SUM(BA74:BA76)</f>
        <v>0</v>
      </c>
      <c r="BB77" s="240">
        <f>SUM(AZ77:BA77)</f>
        <v>0</v>
      </c>
      <c r="BC77" s="242">
        <f>(BB77+1)/(AI77+1)</f>
        <v>1</v>
      </c>
      <c r="BD77" s="98"/>
      <c r="BE77" s="98"/>
    </row>
    <row r="78" spans="6:57" ht="18" customHeight="1" x14ac:dyDescent="0.2">
      <c r="AC78" s="212" t="s">
        <v>337</v>
      </c>
      <c r="AD78" s="15"/>
      <c r="AE78" s="23"/>
      <c r="AF78" s="16"/>
      <c r="AG78" s="15"/>
      <c r="AH78" s="15"/>
      <c r="AI78" s="15"/>
      <c r="AJ78" s="15"/>
      <c r="AK78" s="15"/>
      <c r="AL78" s="22"/>
      <c r="AM78" s="213"/>
      <c r="AN78" s="23"/>
      <c r="AO78" s="23"/>
      <c r="AP78" s="7"/>
      <c r="AQ78" s="15"/>
      <c r="AR78" s="15"/>
      <c r="AS78" s="7"/>
      <c r="AT78" s="15"/>
      <c r="AU78" s="15"/>
      <c r="AV78" s="7"/>
      <c r="AW78" s="15"/>
      <c r="AX78" s="15"/>
      <c r="AY78" s="214"/>
      <c r="AZ78" s="215"/>
      <c r="BA78" s="10"/>
      <c r="BB78" s="7"/>
      <c r="BC78" s="7"/>
      <c r="BD78" s="7"/>
      <c r="BE78" s="7"/>
    </row>
    <row r="79" spans="6:57" ht="18" customHeight="1" x14ac:dyDescent="0.2">
      <c r="AC79" s="216" t="s">
        <v>271</v>
      </c>
      <c r="AD79" s="217"/>
      <c r="AE79" s="217"/>
      <c r="AF79" s="218"/>
      <c r="AG79" s="218"/>
      <c r="AH79" s="219"/>
      <c r="AI79" s="218"/>
      <c r="AJ79" s="218"/>
      <c r="AK79" s="218"/>
      <c r="AL79" s="218"/>
      <c r="AM79" s="220" t="e">
        <f>SUM(AJ79:AL79)/AH79</f>
        <v>#DIV/0!</v>
      </c>
      <c r="AN79" s="218"/>
      <c r="AO79" s="218"/>
      <c r="AP79" s="221" t="e">
        <f>SUM(AN79:AO79)/AI79</f>
        <v>#DIV/0!</v>
      </c>
      <c r="AQ79" s="218"/>
      <c r="AR79" s="218"/>
      <c r="AS79" s="221" t="e">
        <f>(AQ79+AR79)/$AG79</f>
        <v>#DIV/0!</v>
      </c>
      <c r="AT79" s="218"/>
      <c r="AU79" s="218"/>
      <c r="AV79" s="221" t="e">
        <f>(AT79+AU79)/$AG79</f>
        <v>#DIV/0!</v>
      </c>
      <c r="AW79" s="218"/>
      <c r="AX79" s="218"/>
      <c r="AY79" s="221" t="e">
        <f>(AW79+AX79)/$AG79</f>
        <v>#DIV/0!</v>
      </c>
      <c r="AZ79" s="222">
        <f>SUM(AN79,AQ79,AT79,AW79)</f>
        <v>0</v>
      </c>
      <c r="BA79" s="222">
        <f>SUM(AO79,AR79,AU79,AX79)</f>
        <v>0</v>
      </c>
      <c r="BB79" s="222">
        <f>SUM(AZ79:BA79)</f>
        <v>0</v>
      </c>
      <c r="BC79" s="221">
        <f>(BB79+1)/(AI79+1)</f>
        <v>1</v>
      </c>
      <c r="BD79" s="223"/>
      <c r="BE79" s="223"/>
    </row>
    <row r="80" spans="6:57" ht="18" customHeight="1" x14ac:dyDescent="0.2">
      <c r="AC80" s="224" t="s">
        <v>273</v>
      </c>
      <c r="AD80" s="225"/>
      <c r="AE80" s="225"/>
      <c r="AF80" s="226"/>
      <c r="AG80" s="226"/>
      <c r="AH80" s="227"/>
      <c r="AI80" s="226"/>
      <c r="AJ80" s="226"/>
      <c r="AK80" s="226"/>
      <c r="AL80" s="226"/>
      <c r="AM80" s="228" t="e">
        <f t="shared" ref="AM80:AM81" si="163">SUM(AJ80:AL80)/AH80</f>
        <v>#DIV/0!</v>
      </c>
      <c r="AN80" s="226"/>
      <c r="AO80" s="226"/>
      <c r="AP80" s="229" t="e">
        <f t="shared" ref="AP80:AP81" si="164">SUM(AN80:AO80)/AI80</f>
        <v>#DIV/0!</v>
      </c>
      <c r="AQ80" s="226"/>
      <c r="AR80" s="226"/>
      <c r="AS80" s="229" t="e">
        <f t="shared" ref="AS80:AS81" si="165">(AQ80+AR80)/$AG80</f>
        <v>#DIV/0!</v>
      </c>
      <c r="AT80" s="226"/>
      <c r="AU80" s="226"/>
      <c r="AV80" s="229" t="e">
        <f t="shared" ref="AV80:AV81" si="166">(AT80+AU80)/$AG80</f>
        <v>#DIV/0!</v>
      </c>
      <c r="AW80" s="226"/>
      <c r="AX80" s="226"/>
      <c r="AY80" s="229" t="e">
        <f t="shared" ref="AY80:AY81" si="167">(AW80+AX80)/$AG80</f>
        <v>#DIV/0!</v>
      </c>
      <c r="AZ80" s="230">
        <f t="shared" ref="AZ80:BA81" si="168">SUM(AN80,AQ80,AT80,AW80)</f>
        <v>0</v>
      </c>
      <c r="BA80" s="230">
        <f t="shared" si="168"/>
        <v>0</v>
      </c>
      <c r="BB80" s="230">
        <f t="shared" ref="BB80:BB81" si="169">SUM(AZ80:BA80)</f>
        <v>0</v>
      </c>
      <c r="BC80" s="229">
        <f t="shared" ref="BC80:BC81" si="170">(BB80+1)/(AI80+1)</f>
        <v>1</v>
      </c>
      <c r="BD80" s="231"/>
      <c r="BE80" s="231"/>
    </row>
    <row r="81" spans="29:57" ht="18" customHeight="1" x14ac:dyDescent="0.2">
      <c r="AC81" s="232" t="s">
        <v>275</v>
      </c>
      <c r="AD81" s="233"/>
      <c r="AE81" s="233"/>
      <c r="AF81" s="234"/>
      <c r="AG81" s="234"/>
      <c r="AH81" s="235"/>
      <c r="AI81" s="234"/>
      <c r="AJ81" s="234"/>
      <c r="AK81" s="234"/>
      <c r="AL81" s="234"/>
      <c r="AM81" s="236" t="e">
        <f t="shared" si="163"/>
        <v>#DIV/0!</v>
      </c>
      <c r="AN81" s="234"/>
      <c r="AO81" s="234"/>
      <c r="AP81" s="237" t="e">
        <f t="shared" si="164"/>
        <v>#DIV/0!</v>
      </c>
      <c r="AQ81" s="234"/>
      <c r="AR81" s="234"/>
      <c r="AS81" s="237" t="e">
        <f t="shared" si="165"/>
        <v>#DIV/0!</v>
      </c>
      <c r="AT81" s="234"/>
      <c r="AU81" s="234"/>
      <c r="AV81" s="237" t="e">
        <f t="shared" si="166"/>
        <v>#DIV/0!</v>
      </c>
      <c r="AW81" s="234"/>
      <c r="AX81" s="234"/>
      <c r="AY81" s="237" t="e">
        <f t="shared" si="167"/>
        <v>#DIV/0!</v>
      </c>
      <c r="AZ81" s="238">
        <f t="shared" si="168"/>
        <v>0</v>
      </c>
      <c r="BA81" s="238">
        <f t="shared" si="168"/>
        <v>0</v>
      </c>
      <c r="BB81" s="238">
        <f t="shared" si="169"/>
        <v>0</v>
      </c>
      <c r="BC81" s="237">
        <f t="shared" si="170"/>
        <v>1</v>
      </c>
      <c r="BD81" s="239"/>
      <c r="BE81" s="239"/>
    </row>
    <row r="82" spans="29:57" ht="18" customHeight="1" x14ac:dyDescent="0.2">
      <c r="AC82" s="7"/>
      <c r="AG82" s="240">
        <f>SUM(AG79:AG81)</f>
        <v>0</v>
      </c>
      <c r="AH82" s="240">
        <f>SUM(AH79:AH81)</f>
        <v>0</v>
      </c>
      <c r="AI82" s="240">
        <f t="shared" ref="AI82:AL82" si="171">SUM(AI79:AI81)</f>
        <v>0</v>
      </c>
      <c r="AJ82" s="240">
        <f t="shared" si="171"/>
        <v>0</v>
      </c>
      <c r="AK82" s="240">
        <f t="shared" si="171"/>
        <v>0</v>
      </c>
      <c r="AL82" s="240">
        <f t="shared" si="171"/>
        <v>0</v>
      </c>
      <c r="AM82" s="135"/>
      <c r="AN82" s="240">
        <f>SUM(AN79:AN81)</f>
        <v>0</v>
      </c>
      <c r="AO82" s="240">
        <f>SUM(AO79:AO81)</f>
        <v>0</v>
      </c>
      <c r="AP82" s="241"/>
      <c r="AQ82" s="240">
        <f>SUM(AQ79:AQ81)</f>
        <v>0</v>
      </c>
      <c r="AR82" s="240">
        <f>SUM(AR79:AR81)</f>
        <v>0</v>
      </c>
      <c r="AS82" s="241"/>
      <c r="AT82" s="240">
        <f>SUM(AT79:AT81)</f>
        <v>0</v>
      </c>
      <c r="AU82" s="240">
        <f>SUM(AU79:AU81)</f>
        <v>0</v>
      </c>
      <c r="AV82" s="241"/>
      <c r="AW82" s="240">
        <f>SUM(AW79:AW81)</f>
        <v>0</v>
      </c>
      <c r="AX82" s="240">
        <f>SUM(AX79:AX81)</f>
        <v>0</v>
      </c>
      <c r="AY82" s="241"/>
      <c r="AZ82" s="240">
        <f>SUM(AZ79:AZ81)</f>
        <v>0</v>
      </c>
      <c r="BA82" s="240">
        <f>SUM(BA79:BA81)</f>
        <v>0</v>
      </c>
      <c r="BB82" s="240">
        <f>SUM(AZ82:BA82)</f>
        <v>0</v>
      </c>
      <c r="BC82" s="242">
        <f>(BB82+1)/(AI82+1)</f>
        <v>1</v>
      </c>
      <c r="BD82" s="98"/>
      <c r="BE82" s="98"/>
    </row>
    <row r="83" spans="29:57" ht="18" customHeight="1" x14ac:dyDescent="0.2">
      <c r="AC83" s="212" t="s">
        <v>338</v>
      </c>
      <c r="AD83" s="15"/>
      <c r="AE83" s="23"/>
      <c r="AF83" s="16"/>
      <c r="AG83" s="15"/>
      <c r="AH83" s="15"/>
      <c r="AI83" s="15"/>
      <c r="AJ83" s="15"/>
      <c r="AK83" s="15"/>
      <c r="AL83" s="22"/>
      <c r="AM83" s="213"/>
      <c r="AN83" s="23"/>
      <c r="AO83" s="23"/>
      <c r="AP83" s="7"/>
      <c r="AQ83" s="15"/>
      <c r="AR83" s="15"/>
      <c r="AS83" s="7"/>
      <c r="AT83" s="15"/>
      <c r="AU83" s="15"/>
      <c r="AV83" s="7"/>
      <c r="AW83" s="15"/>
      <c r="AX83" s="15"/>
      <c r="AY83" s="214"/>
      <c r="AZ83" s="215"/>
      <c r="BA83" s="10"/>
      <c r="BB83" s="7"/>
      <c r="BC83" s="7"/>
      <c r="BD83" s="7"/>
      <c r="BE83" s="7"/>
    </row>
    <row r="84" spans="29:57" ht="18" customHeight="1" x14ac:dyDescent="0.2">
      <c r="AC84" s="216" t="s">
        <v>271</v>
      </c>
      <c r="AD84" s="217"/>
      <c r="AE84" s="217"/>
      <c r="AF84" s="218"/>
      <c r="AG84" s="218"/>
      <c r="AH84" s="219"/>
      <c r="AI84" s="218"/>
      <c r="AJ84" s="218"/>
      <c r="AK84" s="218"/>
      <c r="AL84" s="218"/>
      <c r="AM84" s="220" t="e">
        <f>SUM(AJ84:AL84)/AH84</f>
        <v>#DIV/0!</v>
      </c>
      <c r="AN84" s="218"/>
      <c r="AO84" s="218"/>
      <c r="AP84" s="221" t="e">
        <f>SUM(AN84:AO84)/AI84</f>
        <v>#DIV/0!</v>
      </c>
      <c r="AQ84" s="218"/>
      <c r="AR84" s="218"/>
      <c r="AS84" s="221" t="e">
        <f>(AQ84+AR84)/$AG84</f>
        <v>#DIV/0!</v>
      </c>
      <c r="AT84" s="218"/>
      <c r="AU84" s="218"/>
      <c r="AV84" s="221" t="e">
        <f>(AT84+AU84)/$AG84</f>
        <v>#DIV/0!</v>
      </c>
      <c r="AW84" s="218"/>
      <c r="AX84" s="218"/>
      <c r="AY84" s="221" t="e">
        <f>(AW84+AX84)/$AG84</f>
        <v>#DIV/0!</v>
      </c>
      <c r="AZ84" s="222">
        <f>SUM(AN84,AQ84,AT84,AW84)</f>
        <v>0</v>
      </c>
      <c r="BA84" s="222">
        <f>SUM(AO84,AR84,AU84,AX84)</f>
        <v>0</v>
      </c>
      <c r="BB84" s="222">
        <f>SUM(AZ84:BA84)</f>
        <v>0</v>
      </c>
      <c r="BC84" s="221">
        <f>(BB84+1)/(AI84+1)</f>
        <v>1</v>
      </c>
      <c r="BD84" s="223"/>
      <c r="BE84" s="223"/>
    </row>
    <row r="85" spans="29:57" ht="18" customHeight="1" x14ac:dyDescent="0.2">
      <c r="AC85" s="224" t="s">
        <v>273</v>
      </c>
      <c r="AD85" s="225"/>
      <c r="AE85" s="225"/>
      <c r="AF85" s="226"/>
      <c r="AG85" s="226"/>
      <c r="AH85" s="227"/>
      <c r="AI85" s="226"/>
      <c r="AJ85" s="226"/>
      <c r="AK85" s="226"/>
      <c r="AL85" s="226"/>
      <c r="AM85" s="228" t="e">
        <f t="shared" ref="AM85:AM86" si="172">SUM(AJ85:AL85)/AH85</f>
        <v>#DIV/0!</v>
      </c>
      <c r="AN85" s="226"/>
      <c r="AO85" s="226"/>
      <c r="AP85" s="229" t="e">
        <f t="shared" ref="AP85:AP86" si="173">SUM(AN85:AO85)/AI85</f>
        <v>#DIV/0!</v>
      </c>
      <c r="AQ85" s="226"/>
      <c r="AR85" s="226"/>
      <c r="AS85" s="229" t="e">
        <f t="shared" ref="AS85:AS86" si="174">(AQ85+AR85)/$AG85</f>
        <v>#DIV/0!</v>
      </c>
      <c r="AT85" s="226"/>
      <c r="AU85" s="226"/>
      <c r="AV85" s="229" t="e">
        <f t="shared" ref="AV85:AV86" si="175">(AT85+AU85)/$AG85</f>
        <v>#DIV/0!</v>
      </c>
      <c r="AW85" s="226"/>
      <c r="AX85" s="226"/>
      <c r="AY85" s="229" t="e">
        <f t="shared" ref="AY85:AY86" si="176">(AW85+AX85)/$AG85</f>
        <v>#DIV/0!</v>
      </c>
      <c r="AZ85" s="230">
        <f t="shared" ref="AZ85:BA86" si="177">SUM(AN85,AQ85,AT85,AW85)</f>
        <v>0</v>
      </c>
      <c r="BA85" s="230">
        <f t="shared" si="177"/>
        <v>0</v>
      </c>
      <c r="BB85" s="230">
        <f t="shared" ref="BB85:BB86" si="178">SUM(AZ85:BA85)</f>
        <v>0</v>
      </c>
      <c r="BC85" s="229">
        <f t="shared" ref="BC85:BC86" si="179">(BB85+1)/(AI85+1)</f>
        <v>1</v>
      </c>
      <c r="BD85" s="231"/>
      <c r="BE85" s="231"/>
    </row>
    <row r="86" spans="29:57" ht="18" customHeight="1" x14ac:dyDescent="0.2">
      <c r="AC86" s="232" t="s">
        <v>275</v>
      </c>
      <c r="AD86" s="233"/>
      <c r="AE86" s="233"/>
      <c r="AF86" s="234"/>
      <c r="AG86" s="234"/>
      <c r="AH86" s="235"/>
      <c r="AI86" s="234"/>
      <c r="AJ86" s="234"/>
      <c r="AK86" s="234"/>
      <c r="AL86" s="234"/>
      <c r="AM86" s="236" t="e">
        <f t="shared" si="172"/>
        <v>#DIV/0!</v>
      </c>
      <c r="AN86" s="234"/>
      <c r="AO86" s="234"/>
      <c r="AP86" s="237" t="e">
        <f t="shared" si="173"/>
        <v>#DIV/0!</v>
      </c>
      <c r="AQ86" s="234"/>
      <c r="AR86" s="234"/>
      <c r="AS86" s="237" t="e">
        <f t="shared" si="174"/>
        <v>#DIV/0!</v>
      </c>
      <c r="AT86" s="234"/>
      <c r="AU86" s="234"/>
      <c r="AV86" s="237" t="e">
        <f t="shared" si="175"/>
        <v>#DIV/0!</v>
      </c>
      <c r="AW86" s="234"/>
      <c r="AX86" s="234"/>
      <c r="AY86" s="237" t="e">
        <f t="shared" si="176"/>
        <v>#DIV/0!</v>
      </c>
      <c r="AZ86" s="238">
        <f t="shared" si="177"/>
        <v>0</v>
      </c>
      <c r="BA86" s="238">
        <f t="shared" si="177"/>
        <v>0</v>
      </c>
      <c r="BB86" s="238">
        <f t="shared" si="178"/>
        <v>0</v>
      </c>
      <c r="BC86" s="237">
        <f t="shared" si="179"/>
        <v>1</v>
      </c>
      <c r="BD86" s="239"/>
      <c r="BE86" s="239"/>
    </row>
    <row r="87" spans="29:57" ht="18" customHeight="1" x14ac:dyDescent="0.2">
      <c r="AC87" s="7"/>
      <c r="AG87" s="240">
        <f>SUM(AG84:AG86)</f>
        <v>0</v>
      </c>
      <c r="AH87" s="240">
        <f>SUM(AH84:AH86)</f>
        <v>0</v>
      </c>
      <c r="AI87" s="240">
        <f t="shared" ref="AI87:AL87" si="180">SUM(AI84:AI86)</f>
        <v>0</v>
      </c>
      <c r="AJ87" s="240">
        <f t="shared" si="180"/>
        <v>0</v>
      </c>
      <c r="AK87" s="240">
        <f t="shared" si="180"/>
        <v>0</v>
      </c>
      <c r="AL87" s="240">
        <f t="shared" si="180"/>
        <v>0</v>
      </c>
      <c r="AM87" s="135"/>
      <c r="AN87" s="240">
        <f>SUM(AN84:AN86)</f>
        <v>0</v>
      </c>
      <c r="AO87" s="240">
        <f>SUM(AO84:AO86)</f>
        <v>0</v>
      </c>
      <c r="AP87" s="241"/>
      <c r="AQ87" s="240">
        <f>SUM(AQ84:AQ86)</f>
        <v>0</v>
      </c>
      <c r="AR87" s="240">
        <f>SUM(AR84:AR86)</f>
        <v>0</v>
      </c>
      <c r="AS87" s="241"/>
      <c r="AT87" s="240">
        <f>SUM(AT84:AT86)</f>
        <v>0</v>
      </c>
      <c r="AU87" s="240">
        <f>SUM(AU84:AU86)</f>
        <v>0</v>
      </c>
      <c r="AV87" s="241"/>
      <c r="AW87" s="240">
        <f>SUM(AW84:AW86)</f>
        <v>0</v>
      </c>
      <c r="AX87" s="240">
        <f>SUM(AX84:AX86)</f>
        <v>0</v>
      </c>
      <c r="AY87" s="241"/>
      <c r="AZ87" s="240">
        <f>SUM(AZ84:AZ86)</f>
        <v>0</v>
      </c>
      <c r="BA87" s="240">
        <f>SUM(BA84:BA86)</f>
        <v>0</v>
      </c>
      <c r="BB87" s="240">
        <f>SUM(AZ87:BA87)</f>
        <v>0</v>
      </c>
      <c r="BC87" s="242">
        <f>(BB87+1)/(AI87+1)</f>
        <v>1</v>
      </c>
      <c r="BD87" s="98"/>
      <c r="BE87" s="98"/>
    </row>
    <row r="88" spans="29:57" ht="18" customHeight="1" x14ac:dyDescent="0.2">
      <c r="AC88" s="212" t="s">
        <v>339</v>
      </c>
      <c r="AD88" s="15"/>
      <c r="AE88" s="23"/>
      <c r="AF88" s="16"/>
      <c r="AG88" s="15"/>
      <c r="AH88" s="15"/>
      <c r="AI88" s="15"/>
      <c r="AJ88" s="15"/>
      <c r="AK88" s="15"/>
      <c r="AL88" s="22"/>
      <c r="AM88" s="213"/>
      <c r="AN88" s="23"/>
      <c r="AO88" s="23"/>
      <c r="AP88" s="7"/>
      <c r="AQ88" s="15"/>
      <c r="AR88" s="15"/>
      <c r="AS88" s="7"/>
      <c r="AT88" s="15"/>
      <c r="AU88" s="15"/>
      <c r="AV88" s="7"/>
      <c r="AW88" s="15"/>
      <c r="AX88" s="15"/>
      <c r="AY88" s="214"/>
      <c r="AZ88" s="215"/>
      <c r="BA88" s="10"/>
      <c r="BB88" s="7"/>
      <c r="BC88" s="7"/>
      <c r="BD88" s="7"/>
      <c r="BE88" s="7"/>
    </row>
    <row r="89" spans="29:57" ht="18" customHeight="1" x14ac:dyDescent="0.2">
      <c r="AC89" s="216" t="s">
        <v>271</v>
      </c>
      <c r="AD89" s="217"/>
      <c r="AE89" s="217"/>
      <c r="AF89" s="218"/>
      <c r="AG89" s="218"/>
      <c r="AH89" s="219"/>
      <c r="AI89" s="218"/>
      <c r="AJ89" s="218"/>
      <c r="AK89" s="218"/>
      <c r="AL89" s="218"/>
      <c r="AM89" s="220" t="e">
        <f>SUM(AJ89:AL89)/AH89</f>
        <v>#DIV/0!</v>
      </c>
      <c r="AN89" s="218"/>
      <c r="AO89" s="218"/>
      <c r="AP89" s="221" t="e">
        <f>SUM(AN89:AO89)/AI89</f>
        <v>#DIV/0!</v>
      </c>
      <c r="AQ89" s="218"/>
      <c r="AR89" s="218"/>
      <c r="AS89" s="221" t="e">
        <f>(AQ89+AR89)/$AG89</f>
        <v>#DIV/0!</v>
      </c>
      <c r="AT89" s="218"/>
      <c r="AU89" s="218"/>
      <c r="AV89" s="221" t="e">
        <f>(AT89+AU89)/$AG89</f>
        <v>#DIV/0!</v>
      </c>
      <c r="AW89" s="218"/>
      <c r="AX89" s="218"/>
      <c r="AY89" s="221" t="e">
        <f>(AW89+AX89)/$AG89</f>
        <v>#DIV/0!</v>
      </c>
      <c r="AZ89" s="222">
        <f>SUM(AN89,AQ89,AT89,AW89)</f>
        <v>0</v>
      </c>
      <c r="BA89" s="222">
        <f>SUM(AO89,AR89,AU89,AX89)</f>
        <v>0</v>
      </c>
      <c r="BB89" s="222">
        <f>SUM(AZ89:BA89)</f>
        <v>0</v>
      </c>
      <c r="BC89" s="221">
        <f>(BB89+1)/(AI89+1)</f>
        <v>1</v>
      </c>
      <c r="BD89" s="223"/>
      <c r="BE89" s="223"/>
    </row>
    <row r="90" spans="29:57" ht="18" customHeight="1" x14ac:dyDescent="0.2">
      <c r="AC90" s="224" t="s">
        <v>273</v>
      </c>
      <c r="AD90" s="225"/>
      <c r="AE90" s="225"/>
      <c r="AF90" s="226"/>
      <c r="AG90" s="226"/>
      <c r="AH90" s="227"/>
      <c r="AI90" s="226"/>
      <c r="AJ90" s="226"/>
      <c r="AK90" s="226"/>
      <c r="AL90" s="226"/>
      <c r="AM90" s="228" t="e">
        <f t="shared" ref="AM90:AM91" si="181">SUM(AJ90:AL90)/AH90</f>
        <v>#DIV/0!</v>
      </c>
      <c r="AN90" s="226"/>
      <c r="AO90" s="226"/>
      <c r="AP90" s="229" t="e">
        <f t="shared" ref="AP90:AP91" si="182">SUM(AN90:AO90)/AI90</f>
        <v>#DIV/0!</v>
      </c>
      <c r="AQ90" s="226"/>
      <c r="AR90" s="226"/>
      <c r="AS90" s="229" t="e">
        <f t="shared" ref="AS90:AS91" si="183">(AQ90+AR90)/$AG90</f>
        <v>#DIV/0!</v>
      </c>
      <c r="AT90" s="226"/>
      <c r="AU90" s="226"/>
      <c r="AV90" s="229" t="e">
        <f t="shared" ref="AV90:AV91" si="184">(AT90+AU90)/$AG90</f>
        <v>#DIV/0!</v>
      </c>
      <c r="AW90" s="226"/>
      <c r="AX90" s="226"/>
      <c r="AY90" s="229" t="e">
        <f t="shared" ref="AY90:AY91" si="185">(AW90+AX90)/$AG90</f>
        <v>#DIV/0!</v>
      </c>
      <c r="AZ90" s="230">
        <f t="shared" ref="AZ90:BA91" si="186">SUM(AN90,AQ90,AT90,AW90)</f>
        <v>0</v>
      </c>
      <c r="BA90" s="230">
        <f t="shared" si="186"/>
        <v>0</v>
      </c>
      <c r="BB90" s="230">
        <f t="shared" ref="BB90:BB91" si="187">SUM(AZ90:BA90)</f>
        <v>0</v>
      </c>
      <c r="BC90" s="229">
        <f t="shared" ref="BC90:BC91" si="188">(BB90+1)/(AI90+1)</f>
        <v>1</v>
      </c>
      <c r="BD90" s="231"/>
      <c r="BE90" s="231"/>
    </row>
    <row r="91" spans="29:57" ht="18" customHeight="1" x14ac:dyDescent="0.2">
      <c r="AC91" s="232" t="s">
        <v>275</v>
      </c>
      <c r="AD91" s="233"/>
      <c r="AE91" s="233"/>
      <c r="AF91" s="234"/>
      <c r="AG91" s="234"/>
      <c r="AH91" s="235"/>
      <c r="AI91" s="234"/>
      <c r="AJ91" s="234"/>
      <c r="AK91" s="234"/>
      <c r="AL91" s="234"/>
      <c r="AM91" s="236" t="e">
        <f t="shared" si="181"/>
        <v>#DIV/0!</v>
      </c>
      <c r="AN91" s="234"/>
      <c r="AO91" s="234"/>
      <c r="AP91" s="237" t="e">
        <f t="shared" si="182"/>
        <v>#DIV/0!</v>
      </c>
      <c r="AQ91" s="234"/>
      <c r="AR91" s="234"/>
      <c r="AS91" s="237" t="e">
        <f t="shared" si="183"/>
        <v>#DIV/0!</v>
      </c>
      <c r="AT91" s="234"/>
      <c r="AU91" s="234"/>
      <c r="AV91" s="237" t="e">
        <f t="shared" si="184"/>
        <v>#DIV/0!</v>
      </c>
      <c r="AW91" s="234"/>
      <c r="AX91" s="234"/>
      <c r="AY91" s="237" t="e">
        <f t="shared" si="185"/>
        <v>#DIV/0!</v>
      </c>
      <c r="AZ91" s="238">
        <f t="shared" si="186"/>
        <v>0</v>
      </c>
      <c r="BA91" s="238">
        <f t="shared" si="186"/>
        <v>0</v>
      </c>
      <c r="BB91" s="238">
        <f t="shared" si="187"/>
        <v>0</v>
      </c>
      <c r="BC91" s="237">
        <f t="shared" si="188"/>
        <v>1</v>
      </c>
      <c r="BD91" s="239"/>
      <c r="BE91" s="239"/>
    </row>
    <row r="92" spans="29:57" ht="18" customHeight="1" x14ac:dyDescent="0.2">
      <c r="AC92" s="7"/>
      <c r="AG92" s="240">
        <f>SUM(AG89:AG91)</f>
        <v>0</v>
      </c>
      <c r="AH92" s="240">
        <f>SUM(AH89:AH91)</f>
        <v>0</v>
      </c>
      <c r="AI92" s="240">
        <f t="shared" ref="AI92:AL92" si="189">SUM(AI89:AI91)</f>
        <v>0</v>
      </c>
      <c r="AJ92" s="240">
        <f t="shared" si="189"/>
        <v>0</v>
      </c>
      <c r="AK92" s="240">
        <f t="shared" si="189"/>
        <v>0</v>
      </c>
      <c r="AL92" s="240">
        <f t="shared" si="189"/>
        <v>0</v>
      </c>
      <c r="AM92" s="135"/>
      <c r="AN92" s="240">
        <f>SUM(AN89:AN91)</f>
        <v>0</v>
      </c>
      <c r="AO92" s="240">
        <f>SUM(AO89:AO91)</f>
        <v>0</v>
      </c>
      <c r="AP92" s="241"/>
      <c r="AQ92" s="240">
        <f>SUM(AQ89:AQ91)</f>
        <v>0</v>
      </c>
      <c r="AR92" s="240">
        <f>SUM(AR89:AR91)</f>
        <v>0</v>
      </c>
      <c r="AS92" s="241"/>
      <c r="AT92" s="240">
        <f>SUM(AT89:AT91)</f>
        <v>0</v>
      </c>
      <c r="AU92" s="240">
        <f>SUM(AU89:AU91)</f>
        <v>0</v>
      </c>
      <c r="AV92" s="241"/>
      <c r="AW92" s="240">
        <f>SUM(AW89:AW91)</f>
        <v>0</v>
      </c>
      <c r="AX92" s="240">
        <f>SUM(AX89:AX91)</f>
        <v>0</v>
      </c>
      <c r="AY92" s="241"/>
      <c r="AZ92" s="240">
        <f>SUM(AZ89:AZ91)</f>
        <v>0</v>
      </c>
      <c r="BA92" s="240">
        <f>SUM(BA89:BA91)</f>
        <v>0</v>
      </c>
      <c r="BB92" s="240">
        <f>SUM(AZ92:BA92)</f>
        <v>0</v>
      </c>
      <c r="BC92" s="242">
        <f>(BB92+1)/(AI92+1)</f>
        <v>1</v>
      </c>
      <c r="BD92" s="98"/>
      <c r="BE92" s="98"/>
    </row>
    <row r="93" spans="29:57" ht="18" customHeight="1" x14ac:dyDescent="0.2">
      <c r="AC93" s="212" t="s">
        <v>340</v>
      </c>
      <c r="AD93" s="15"/>
      <c r="AE93" s="23"/>
      <c r="AF93" s="16"/>
      <c r="AG93" s="15"/>
      <c r="AH93" s="15"/>
      <c r="AI93" s="15"/>
      <c r="AJ93" s="15"/>
      <c r="AK93" s="15"/>
      <c r="AL93" s="22"/>
      <c r="AM93" s="213"/>
      <c r="AN93" s="23"/>
      <c r="AO93" s="23"/>
      <c r="AP93" s="7"/>
      <c r="AQ93" s="15"/>
      <c r="AR93" s="15"/>
      <c r="AS93" s="7"/>
      <c r="AT93" s="15"/>
      <c r="AU93" s="15"/>
      <c r="AV93" s="7"/>
      <c r="AW93" s="15"/>
      <c r="AX93" s="15"/>
      <c r="AY93" s="214"/>
      <c r="AZ93" s="215"/>
      <c r="BA93" s="10"/>
      <c r="BB93" s="7"/>
      <c r="BC93" s="7"/>
      <c r="BD93" s="7"/>
      <c r="BE93" s="7"/>
    </row>
    <row r="94" spans="29:57" ht="18" customHeight="1" x14ac:dyDescent="0.2">
      <c r="AC94" s="216" t="s">
        <v>271</v>
      </c>
      <c r="AD94" s="217"/>
      <c r="AE94" s="217"/>
      <c r="AF94" s="218"/>
      <c r="AG94" s="218"/>
      <c r="AH94" s="219"/>
      <c r="AI94" s="218"/>
      <c r="AJ94" s="218"/>
      <c r="AK94" s="218"/>
      <c r="AL94" s="218"/>
      <c r="AM94" s="220" t="e">
        <f>SUM(AJ94:AL94)/AH94</f>
        <v>#DIV/0!</v>
      </c>
      <c r="AN94" s="218"/>
      <c r="AO94" s="218"/>
      <c r="AP94" s="221" t="e">
        <f>SUM(AN94:AO94)/AI94</f>
        <v>#DIV/0!</v>
      </c>
      <c r="AQ94" s="218"/>
      <c r="AR94" s="218"/>
      <c r="AS94" s="221" t="e">
        <f>(AQ94+AR94)/$AG94</f>
        <v>#DIV/0!</v>
      </c>
      <c r="AT94" s="218"/>
      <c r="AU94" s="218"/>
      <c r="AV94" s="221" t="e">
        <f>(AT94+AU94)/$AG94</f>
        <v>#DIV/0!</v>
      </c>
      <c r="AW94" s="218"/>
      <c r="AX94" s="218"/>
      <c r="AY94" s="221" t="e">
        <f>(AW94+AX94)/$AG94</f>
        <v>#DIV/0!</v>
      </c>
      <c r="AZ94" s="222">
        <f>SUM(AN94,AQ94,AT94,AW94)</f>
        <v>0</v>
      </c>
      <c r="BA94" s="222">
        <f>SUM(AO94,AR94,AU94,AX94)</f>
        <v>0</v>
      </c>
      <c r="BB94" s="222">
        <f>SUM(AZ94:BA94)</f>
        <v>0</v>
      </c>
      <c r="BC94" s="221">
        <f>(BB94+1)/(AI94+1)</f>
        <v>1</v>
      </c>
      <c r="BD94" s="223"/>
      <c r="BE94" s="223"/>
    </row>
    <row r="95" spans="29:57" ht="18" customHeight="1" x14ac:dyDescent="0.2">
      <c r="AC95" s="224" t="s">
        <v>273</v>
      </c>
      <c r="AD95" s="225"/>
      <c r="AE95" s="225"/>
      <c r="AF95" s="226"/>
      <c r="AG95" s="226"/>
      <c r="AH95" s="227"/>
      <c r="AI95" s="226"/>
      <c r="AJ95" s="226"/>
      <c r="AK95" s="226"/>
      <c r="AL95" s="226"/>
      <c r="AM95" s="228" t="e">
        <f t="shared" ref="AM95:AM96" si="190">SUM(AJ95:AL95)/AH95</f>
        <v>#DIV/0!</v>
      </c>
      <c r="AN95" s="226"/>
      <c r="AO95" s="226"/>
      <c r="AP95" s="229" t="e">
        <f t="shared" ref="AP95:AP96" si="191">SUM(AN95:AO95)/AI95</f>
        <v>#DIV/0!</v>
      </c>
      <c r="AQ95" s="226"/>
      <c r="AR95" s="226"/>
      <c r="AS95" s="229" t="e">
        <f t="shared" ref="AS95:AS96" si="192">(AQ95+AR95)/$AG95</f>
        <v>#DIV/0!</v>
      </c>
      <c r="AT95" s="226"/>
      <c r="AU95" s="226"/>
      <c r="AV95" s="229" t="e">
        <f t="shared" ref="AV95:AV96" si="193">(AT95+AU95)/$AG95</f>
        <v>#DIV/0!</v>
      </c>
      <c r="AW95" s="226"/>
      <c r="AX95" s="226"/>
      <c r="AY95" s="229" t="e">
        <f t="shared" ref="AY95:AY96" si="194">(AW95+AX95)/$AG95</f>
        <v>#DIV/0!</v>
      </c>
      <c r="AZ95" s="230">
        <f t="shared" ref="AZ95:BA96" si="195">SUM(AN95,AQ95,AT95,AW95)</f>
        <v>0</v>
      </c>
      <c r="BA95" s="230">
        <f t="shared" si="195"/>
        <v>0</v>
      </c>
      <c r="BB95" s="230">
        <f t="shared" ref="BB95:BB96" si="196">SUM(AZ95:BA95)</f>
        <v>0</v>
      </c>
      <c r="BC95" s="229">
        <f t="shared" ref="BC95:BC96" si="197">(BB95+1)/(AI95+1)</f>
        <v>1</v>
      </c>
      <c r="BD95" s="231"/>
      <c r="BE95" s="231"/>
    </row>
    <row r="96" spans="29:57" ht="18" customHeight="1" x14ac:dyDescent="0.2">
      <c r="AC96" s="232" t="s">
        <v>275</v>
      </c>
      <c r="AD96" s="225"/>
      <c r="AE96" s="225"/>
      <c r="AF96" s="226"/>
      <c r="AG96" s="234"/>
      <c r="AH96" s="235"/>
      <c r="AI96" s="234"/>
      <c r="AJ96" s="234"/>
      <c r="AK96" s="234"/>
      <c r="AL96" s="234"/>
      <c r="AM96" s="236" t="e">
        <f t="shared" si="190"/>
        <v>#DIV/0!</v>
      </c>
      <c r="AN96" s="234"/>
      <c r="AO96" s="234"/>
      <c r="AP96" s="237" t="e">
        <f t="shared" si="191"/>
        <v>#DIV/0!</v>
      </c>
      <c r="AQ96" s="234"/>
      <c r="AR96" s="234"/>
      <c r="AS96" s="237" t="e">
        <f t="shared" si="192"/>
        <v>#DIV/0!</v>
      </c>
      <c r="AT96" s="234"/>
      <c r="AU96" s="234"/>
      <c r="AV96" s="237" t="e">
        <f t="shared" si="193"/>
        <v>#DIV/0!</v>
      </c>
      <c r="AW96" s="234"/>
      <c r="AX96" s="234"/>
      <c r="AY96" s="237" t="e">
        <f t="shared" si="194"/>
        <v>#DIV/0!</v>
      </c>
      <c r="AZ96" s="238">
        <f t="shared" si="195"/>
        <v>0</v>
      </c>
      <c r="BA96" s="238">
        <f t="shared" si="195"/>
        <v>0</v>
      </c>
      <c r="BB96" s="238">
        <f t="shared" si="196"/>
        <v>0</v>
      </c>
      <c r="BC96" s="237">
        <f t="shared" si="197"/>
        <v>1</v>
      </c>
      <c r="BD96" s="239"/>
      <c r="BE96" s="239"/>
    </row>
    <row r="97" spans="29:57" ht="18" customHeight="1" x14ac:dyDescent="0.2">
      <c r="AC97" s="7"/>
      <c r="AG97" s="240">
        <f>SUM(AG94:AG96)</f>
        <v>0</v>
      </c>
      <c r="AH97" s="240">
        <f>SUM(AH94:AH96)</f>
        <v>0</v>
      </c>
      <c r="AI97" s="240">
        <f t="shared" ref="AI97:AL97" si="198">SUM(AI94:AI96)</f>
        <v>0</v>
      </c>
      <c r="AJ97" s="240">
        <f t="shared" si="198"/>
        <v>0</v>
      </c>
      <c r="AK97" s="240">
        <f t="shared" si="198"/>
        <v>0</v>
      </c>
      <c r="AL97" s="240">
        <f t="shared" si="198"/>
        <v>0</v>
      </c>
      <c r="AM97" s="135"/>
      <c r="AN97" s="240">
        <f>SUM(AN94:AN96)</f>
        <v>0</v>
      </c>
      <c r="AO97" s="240">
        <f>SUM(AO94:AO96)</f>
        <v>0</v>
      </c>
      <c r="AP97" s="241"/>
      <c r="AQ97" s="240">
        <f>SUM(AQ94:AQ96)</f>
        <v>0</v>
      </c>
      <c r="AR97" s="240">
        <f>SUM(AR94:AR96)</f>
        <v>0</v>
      </c>
      <c r="AS97" s="241"/>
      <c r="AT97" s="240">
        <f>SUM(AT94:AT96)</f>
        <v>0</v>
      </c>
      <c r="AU97" s="240">
        <f>SUM(AU94:AU96)</f>
        <v>0</v>
      </c>
      <c r="AV97" s="241"/>
      <c r="AW97" s="240">
        <f>SUM(AW94:AW96)</f>
        <v>0</v>
      </c>
      <c r="AX97" s="240">
        <f>SUM(AX94:AX96)</f>
        <v>0</v>
      </c>
      <c r="AY97" s="241"/>
      <c r="AZ97" s="240">
        <f>SUM(AZ94:AZ96)</f>
        <v>0</v>
      </c>
      <c r="BA97" s="240">
        <f>SUM(BA94:BA96)</f>
        <v>0</v>
      </c>
      <c r="BB97" s="240">
        <f>SUM(AZ97:BA97)</f>
        <v>0</v>
      </c>
      <c r="BC97" s="242">
        <f>(BB97+1)/(AI97+1)</f>
        <v>1</v>
      </c>
      <c r="BD97" s="98"/>
      <c r="BE97" s="98"/>
    </row>
    <row r="98" spans="29:57" ht="18" customHeight="1" x14ac:dyDescent="0.2">
      <c r="AC98" s="212" t="s">
        <v>341</v>
      </c>
      <c r="AD98" s="15"/>
      <c r="AE98" s="23"/>
      <c r="AF98" s="16"/>
      <c r="AG98" s="15"/>
      <c r="AH98" s="15"/>
      <c r="AI98" s="15"/>
      <c r="AJ98" s="15"/>
      <c r="AK98" s="15"/>
      <c r="AL98" s="22"/>
      <c r="AM98" s="213"/>
      <c r="AN98" s="23"/>
      <c r="AO98" s="23"/>
      <c r="AP98" s="7"/>
      <c r="AQ98" s="15"/>
      <c r="AR98" s="15"/>
      <c r="AS98" s="7"/>
      <c r="AT98" s="15"/>
      <c r="AU98" s="15"/>
      <c r="AV98" s="7"/>
      <c r="AW98" s="15"/>
      <c r="AX98" s="15"/>
      <c r="AY98" s="214"/>
      <c r="AZ98" s="215"/>
      <c r="BA98" s="10"/>
      <c r="BB98" s="7"/>
      <c r="BC98" s="7"/>
      <c r="BD98" s="7"/>
      <c r="BE98" s="7"/>
    </row>
    <row r="99" spans="29:57" ht="18" customHeight="1" x14ac:dyDescent="0.2">
      <c r="AC99" s="216" t="s">
        <v>271</v>
      </c>
      <c r="AD99" s="217"/>
      <c r="AE99" s="217"/>
      <c r="AF99" s="218"/>
      <c r="AG99" s="218"/>
      <c r="AH99" s="219"/>
      <c r="AI99" s="218"/>
      <c r="AJ99" s="218"/>
      <c r="AK99" s="218"/>
      <c r="AL99" s="218"/>
      <c r="AM99" s="220" t="e">
        <f>SUM(AJ99:AL99)/AH99</f>
        <v>#DIV/0!</v>
      </c>
      <c r="AN99" s="218"/>
      <c r="AO99" s="218"/>
      <c r="AP99" s="221" t="e">
        <f>SUM(AN99:AO99)/AI99</f>
        <v>#DIV/0!</v>
      </c>
      <c r="AQ99" s="218"/>
      <c r="AR99" s="218"/>
      <c r="AS99" s="221" t="e">
        <f>(AQ99+AR99)/$AG99</f>
        <v>#DIV/0!</v>
      </c>
      <c r="AT99" s="218"/>
      <c r="AU99" s="218"/>
      <c r="AV99" s="221" t="e">
        <f>(AT99+AU99)/$AG99</f>
        <v>#DIV/0!</v>
      </c>
      <c r="AW99" s="218"/>
      <c r="AX99" s="218"/>
      <c r="AY99" s="221" t="e">
        <f>(AW99+AX99)/$AG99</f>
        <v>#DIV/0!</v>
      </c>
      <c r="AZ99" s="222">
        <f>SUM(AN99,AQ99,AT99,AW99)</f>
        <v>0</v>
      </c>
      <c r="BA99" s="222">
        <f>SUM(AO99,AR99,AU99,AX99)</f>
        <v>0</v>
      </c>
      <c r="BB99" s="222">
        <f>SUM(AZ99:BA99)</f>
        <v>0</v>
      </c>
      <c r="BC99" s="221">
        <f>(BB99+1)/(AI99+1)</f>
        <v>1</v>
      </c>
      <c r="BD99" s="223"/>
      <c r="BE99" s="223"/>
    </row>
    <row r="100" spans="29:57" ht="18" customHeight="1" x14ac:dyDescent="0.2">
      <c r="AC100" s="224" t="s">
        <v>273</v>
      </c>
      <c r="AD100" s="225"/>
      <c r="AE100" s="225"/>
      <c r="AF100" s="226"/>
      <c r="AG100" s="226"/>
      <c r="AH100" s="227"/>
      <c r="AI100" s="226"/>
      <c r="AJ100" s="226"/>
      <c r="AK100" s="226"/>
      <c r="AL100" s="226"/>
      <c r="AM100" s="228" t="e">
        <f t="shared" ref="AM100:AM101" si="199">SUM(AJ100:AL100)/AH100</f>
        <v>#DIV/0!</v>
      </c>
      <c r="AN100" s="226"/>
      <c r="AO100" s="226"/>
      <c r="AP100" s="229" t="e">
        <f t="shared" ref="AP100:AP101" si="200">SUM(AN100:AO100)/AI100</f>
        <v>#DIV/0!</v>
      </c>
      <c r="AQ100" s="226"/>
      <c r="AR100" s="226"/>
      <c r="AS100" s="229" t="e">
        <f t="shared" ref="AS100:AS101" si="201">(AQ100+AR100)/$AG100</f>
        <v>#DIV/0!</v>
      </c>
      <c r="AT100" s="226"/>
      <c r="AU100" s="226"/>
      <c r="AV100" s="229" t="e">
        <f t="shared" ref="AV100:AV101" si="202">(AT100+AU100)/$AG100</f>
        <v>#DIV/0!</v>
      </c>
      <c r="AW100" s="226"/>
      <c r="AX100" s="226"/>
      <c r="AY100" s="229" t="e">
        <f t="shared" ref="AY100:AY101" si="203">(AW100+AX100)/$AG100</f>
        <v>#DIV/0!</v>
      </c>
      <c r="AZ100" s="230">
        <f t="shared" ref="AZ100:BA101" si="204">SUM(AN100,AQ100,AT100,AW100)</f>
        <v>0</v>
      </c>
      <c r="BA100" s="230">
        <f t="shared" si="204"/>
        <v>0</v>
      </c>
      <c r="BB100" s="230">
        <f t="shared" ref="BB100:BB101" si="205">SUM(AZ100:BA100)</f>
        <v>0</v>
      </c>
      <c r="BC100" s="229">
        <f t="shared" ref="BC100:BC101" si="206">(BB100+1)/(AI100+1)</f>
        <v>1</v>
      </c>
      <c r="BD100" s="231"/>
      <c r="BE100" s="231"/>
    </row>
    <row r="101" spans="29:57" ht="18" customHeight="1" x14ac:dyDescent="0.2">
      <c r="AC101" s="232" t="s">
        <v>275</v>
      </c>
      <c r="AD101" s="233"/>
      <c r="AE101" s="233"/>
      <c r="AF101" s="234"/>
      <c r="AG101" s="234"/>
      <c r="AH101" s="235"/>
      <c r="AI101" s="234"/>
      <c r="AJ101" s="234"/>
      <c r="AK101" s="234"/>
      <c r="AL101" s="234"/>
      <c r="AM101" s="236" t="e">
        <f t="shared" si="199"/>
        <v>#DIV/0!</v>
      </c>
      <c r="AN101" s="234"/>
      <c r="AO101" s="234"/>
      <c r="AP101" s="237" t="e">
        <f t="shared" si="200"/>
        <v>#DIV/0!</v>
      </c>
      <c r="AQ101" s="234"/>
      <c r="AR101" s="234"/>
      <c r="AS101" s="237" t="e">
        <f t="shared" si="201"/>
        <v>#DIV/0!</v>
      </c>
      <c r="AT101" s="234"/>
      <c r="AU101" s="234"/>
      <c r="AV101" s="237" t="e">
        <f t="shared" si="202"/>
        <v>#DIV/0!</v>
      </c>
      <c r="AW101" s="234"/>
      <c r="AX101" s="234"/>
      <c r="AY101" s="237" t="e">
        <f t="shared" si="203"/>
        <v>#DIV/0!</v>
      </c>
      <c r="AZ101" s="238">
        <f t="shared" si="204"/>
        <v>0</v>
      </c>
      <c r="BA101" s="238">
        <f t="shared" si="204"/>
        <v>0</v>
      </c>
      <c r="BB101" s="238">
        <f t="shared" si="205"/>
        <v>0</v>
      </c>
      <c r="BC101" s="237">
        <f t="shared" si="206"/>
        <v>1</v>
      </c>
      <c r="BD101" s="239"/>
      <c r="BE101" s="239"/>
    </row>
    <row r="102" spans="29:57" ht="18" customHeight="1" x14ac:dyDescent="0.2">
      <c r="AC102" s="7"/>
      <c r="AG102" s="240">
        <f>SUM(AG99:AG101)</f>
        <v>0</v>
      </c>
      <c r="AH102" s="240">
        <f>SUM(AH99:AH101)</f>
        <v>0</v>
      </c>
      <c r="AI102" s="240">
        <f t="shared" ref="AI102:AL102" si="207">SUM(AI99:AI101)</f>
        <v>0</v>
      </c>
      <c r="AJ102" s="240">
        <f t="shared" si="207"/>
        <v>0</v>
      </c>
      <c r="AK102" s="240">
        <f t="shared" si="207"/>
        <v>0</v>
      </c>
      <c r="AL102" s="240">
        <f t="shared" si="207"/>
        <v>0</v>
      </c>
      <c r="AM102" s="135"/>
      <c r="AN102" s="240">
        <f>SUM(AN99:AN101)</f>
        <v>0</v>
      </c>
      <c r="AO102" s="240">
        <f>SUM(AO99:AO101)</f>
        <v>0</v>
      </c>
      <c r="AP102" s="241"/>
      <c r="AQ102" s="240">
        <f>SUM(AQ99:AQ101)</f>
        <v>0</v>
      </c>
      <c r="AR102" s="240">
        <f>SUM(AR99:AR101)</f>
        <v>0</v>
      </c>
      <c r="AS102" s="241"/>
      <c r="AT102" s="240">
        <f>SUM(AT99:AT101)</f>
        <v>0</v>
      </c>
      <c r="AU102" s="240">
        <f>SUM(AU99:AU101)</f>
        <v>0</v>
      </c>
      <c r="AV102" s="241"/>
      <c r="AW102" s="240">
        <f>SUM(AW99:AW101)</f>
        <v>0</v>
      </c>
      <c r="AX102" s="240">
        <f>SUM(AX99:AX101)</f>
        <v>0</v>
      </c>
      <c r="AY102" s="241"/>
      <c r="AZ102" s="240">
        <f>SUM(AZ99:AZ101)</f>
        <v>0</v>
      </c>
      <c r="BA102" s="240">
        <f>SUM(BA99:BA101)</f>
        <v>0</v>
      </c>
      <c r="BB102" s="240">
        <f>SUM(AZ102:BA102)</f>
        <v>0</v>
      </c>
      <c r="BC102" s="242">
        <f>(BB102+1)/(AI102+1)</f>
        <v>1</v>
      </c>
      <c r="BD102" s="98"/>
      <c r="BE102" s="98"/>
    </row>
    <row r="103" spans="29:57" ht="18" customHeight="1" x14ac:dyDescent="0.2">
      <c r="AC103" s="212" t="s">
        <v>344</v>
      </c>
      <c r="AD103" s="15"/>
      <c r="AE103" s="23"/>
      <c r="AF103" s="16"/>
      <c r="AG103" s="15"/>
      <c r="AH103" s="15"/>
      <c r="AI103" s="15"/>
      <c r="AJ103" s="15"/>
      <c r="AK103" s="15"/>
      <c r="AL103" s="22"/>
      <c r="AM103" s="213"/>
      <c r="AN103" s="23"/>
      <c r="AO103" s="23"/>
      <c r="AP103" s="7"/>
      <c r="AQ103" s="15"/>
      <c r="AR103" s="15"/>
      <c r="AS103" s="7"/>
      <c r="AT103" s="15"/>
      <c r="AU103" s="15"/>
      <c r="AV103" s="7"/>
      <c r="AW103" s="15"/>
      <c r="AX103" s="15"/>
      <c r="AY103" s="214"/>
      <c r="AZ103" s="215"/>
      <c r="BA103" s="10"/>
      <c r="BB103" s="7"/>
      <c r="BC103" s="7"/>
      <c r="BD103" s="7"/>
      <c r="BE103" s="7"/>
    </row>
    <row r="104" spans="29:57" ht="18" customHeight="1" x14ac:dyDescent="0.2">
      <c r="AC104" s="216" t="s">
        <v>271</v>
      </c>
      <c r="AD104" s="217"/>
      <c r="AE104" s="217"/>
      <c r="AF104" s="218"/>
      <c r="AG104" s="218"/>
      <c r="AH104" s="219"/>
      <c r="AI104" s="218"/>
      <c r="AJ104" s="218"/>
      <c r="AK104" s="218"/>
      <c r="AL104" s="218"/>
      <c r="AM104" s="220" t="e">
        <f>SUM(AJ104:AL104)/AH104</f>
        <v>#DIV/0!</v>
      </c>
      <c r="AN104" s="218"/>
      <c r="AO104" s="218"/>
      <c r="AP104" s="221" t="e">
        <f>SUM(AN104:AO104)/AI104</f>
        <v>#DIV/0!</v>
      </c>
      <c r="AQ104" s="218"/>
      <c r="AR104" s="218"/>
      <c r="AS104" s="221" t="e">
        <f>(AQ104+AR104)/$AG104</f>
        <v>#DIV/0!</v>
      </c>
      <c r="AT104" s="218"/>
      <c r="AU104" s="218"/>
      <c r="AV104" s="221" t="e">
        <f>(AT104+AU104)/$AG104</f>
        <v>#DIV/0!</v>
      </c>
      <c r="AW104" s="218"/>
      <c r="AX104" s="218"/>
      <c r="AY104" s="221" t="e">
        <f>(AW104+AX104)/$AG104</f>
        <v>#DIV/0!</v>
      </c>
      <c r="AZ104" s="222">
        <f>SUM(AN104,AQ104,AT104,AW104)</f>
        <v>0</v>
      </c>
      <c r="BA104" s="222">
        <f>SUM(AO104,AR104,AU104,AX104)</f>
        <v>0</v>
      </c>
      <c r="BB104" s="222">
        <f>SUM(AZ104:BA104)</f>
        <v>0</v>
      </c>
      <c r="BC104" s="221">
        <f>(BB104+1)/(AI104+1)</f>
        <v>1</v>
      </c>
      <c r="BD104" s="223"/>
      <c r="BE104" s="223"/>
    </row>
    <row r="105" spans="29:57" ht="18" customHeight="1" x14ac:dyDescent="0.2">
      <c r="AC105" s="224" t="s">
        <v>273</v>
      </c>
      <c r="AD105" s="225"/>
      <c r="AE105" s="225"/>
      <c r="AF105" s="226"/>
      <c r="AG105" s="226"/>
      <c r="AH105" s="227"/>
      <c r="AI105" s="226"/>
      <c r="AJ105" s="226"/>
      <c r="AK105" s="226"/>
      <c r="AL105" s="226"/>
      <c r="AM105" s="228" t="e">
        <f t="shared" ref="AM105:AM106" si="208">SUM(AJ105:AL105)/AH105</f>
        <v>#DIV/0!</v>
      </c>
      <c r="AN105" s="226"/>
      <c r="AO105" s="226"/>
      <c r="AP105" s="229" t="e">
        <f t="shared" ref="AP105:AP106" si="209">SUM(AN105:AO105)/AI105</f>
        <v>#DIV/0!</v>
      </c>
      <c r="AQ105" s="226"/>
      <c r="AR105" s="226"/>
      <c r="AS105" s="229" t="e">
        <f t="shared" ref="AS105:AS106" si="210">(AQ105+AR105)/$AG105</f>
        <v>#DIV/0!</v>
      </c>
      <c r="AT105" s="226"/>
      <c r="AU105" s="226"/>
      <c r="AV105" s="229" t="e">
        <f t="shared" ref="AV105:AV106" si="211">(AT105+AU105)/$AG105</f>
        <v>#DIV/0!</v>
      </c>
      <c r="AW105" s="226"/>
      <c r="AX105" s="226"/>
      <c r="AY105" s="229" t="e">
        <f t="shared" ref="AY105:AY106" si="212">(AW105+AX105)/$AG105</f>
        <v>#DIV/0!</v>
      </c>
      <c r="AZ105" s="230">
        <f t="shared" ref="AZ105:BA106" si="213">SUM(AN105,AQ105,AT105,AW105)</f>
        <v>0</v>
      </c>
      <c r="BA105" s="230">
        <f t="shared" si="213"/>
        <v>0</v>
      </c>
      <c r="BB105" s="230">
        <f t="shared" ref="BB105:BB106" si="214">SUM(AZ105:BA105)</f>
        <v>0</v>
      </c>
      <c r="BC105" s="229">
        <f t="shared" ref="BC105:BC106" si="215">(BB105+1)/(AI105+1)</f>
        <v>1</v>
      </c>
      <c r="BD105" s="231"/>
      <c r="BE105" s="231"/>
    </row>
    <row r="106" spans="29:57" ht="18" customHeight="1" x14ac:dyDescent="0.2">
      <c r="AC106" s="232" t="s">
        <v>275</v>
      </c>
      <c r="AD106" s="233"/>
      <c r="AE106" s="233"/>
      <c r="AF106" s="234"/>
      <c r="AG106" s="234"/>
      <c r="AH106" s="235"/>
      <c r="AI106" s="234"/>
      <c r="AJ106" s="234"/>
      <c r="AK106" s="234"/>
      <c r="AL106" s="234"/>
      <c r="AM106" s="236" t="e">
        <f t="shared" si="208"/>
        <v>#DIV/0!</v>
      </c>
      <c r="AN106" s="234"/>
      <c r="AO106" s="234"/>
      <c r="AP106" s="237" t="e">
        <f t="shared" si="209"/>
        <v>#DIV/0!</v>
      </c>
      <c r="AQ106" s="234"/>
      <c r="AR106" s="234"/>
      <c r="AS106" s="237" t="e">
        <f t="shared" si="210"/>
        <v>#DIV/0!</v>
      </c>
      <c r="AT106" s="234"/>
      <c r="AU106" s="234"/>
      <c r="AV106" s="237" t="e">
        <f t="shared" si="211"/>
        <v>#DIV/0!</v>
      </c>
      <c r="AW106" s="234"/>
      <c r="AX106" s="234"/>
      <c r="AY106" s="237" t="e">
        <f t="shared" si="212"/>
        <v>#DIV/0!</v>
      </c>
      <c r="AZ106" s="238">
        <f t="shared" si="213"/>
        <v>0</v>
      </c>
      <c r="BA106" s="238">
        <f t="shared" si="213"/>
        <v>0</v>
      </c>
      <c r="BB106" s="238">
        <f t="shared" si="214"/>
        <v>0</v>
      </c>
      <c r="BC106" s="237">
        <f t="shared" si="215"/>
        <v>1</v>
      </c>
      <c r="BD106" s="239"/>
      <c r="BE106" s="239"/>
    </row>
    <row r="107" spans="29:57" ht="18" customHeight="1" x14ac:dyDescent="0.2">
      <c r="AC107" s="7"/>
      <c r="AG107" s="240">
        <f>SUM(AG104:AG106)</f>
        <v>0</v>
      </c>
      <c r="AH107" s="240">
        <f>SUM(AH104:AH106)</f>
        <v>0</v>
      </c>
      <c r="AI107" s="240">
        <f t="shared" ref="AI107:AL107" si="216">SUM(AI104:AI106)</f>
        <v>0</v>
      </c>
      <c r="AJ107" s="240">
        <f t="shared" si="216"/>
        <v>0</v>
      </c>
      <c r="AK107" s="240">
        <f t="shared" si="216"/>
        <v>0</v>
      </c>
      <c r="AL107" s="240">
        <f t="shared" si="216"/>
        <v>0</v>
      </c>
      <c r="AM107" s="135"/>
      <c r="AN107" s="240">
        <f>SUM(AN104:AN106)</f>
        <v>0</v>
      </c>
      <c r="AO107" s="240">
        <f>SUM(AO104:AO106)</f>
        <v>0</v>
      </c>
      <c r="AP107" s="241"/>
      <c r="AQ107" s="240">
        <f>SUM(AQ104:AQ106)</f>
        <v>0</v>
      </c>
      <c r="AR107" s="240">
        <f>SUM(AR104:AR106)</f>
        <v>0</v>
      </c>
      <c r="AS107" s="241"/>
      <c r="AT107" s="240">
        <f>SUM(AT104:AT106)</f>
        <v>0</v>
      </c>
      <c r="AU107" s="240">
        <f>SUM(AU104:AU106)</f>
        <v>0</v>
      </c>
      <c r="AV107" s="241"/>
      <c r="AW107" s="240">
        <f>SUM(AW104:AW106)</f>
        <v>0</v>
      </c>
      <c r="AX107" s="240">
        <f>SUM(AX104:AX106)</f>
        <v>0</v>
      </c>
      <c r="AY107" s="241"/>
      <c r="AZ107" s="240">
        <f>SUM(AZ104:AZ106)</f>
        <v>0</v>
      </c>
      <c r="BA107" s="240">
        <f>SUM(BA104:BA106)</f>
        <v>0</v>
      </c>
      <c r="BB107" s="240">
        <f>SUM(AZ107:BA107)</f>
        <v>0</v>
      </c>
      <c r="BC107" s="242">
        <f>(BB107+1)/(AI107+1)</f>
        <v>1</v>
      </c>
      <c r="BD107" s="98"/>
      <c r="BE107" s="98"/>
    </row>
    <row r="108" spans="29:57" ht="18" customHeight="1" x14ac:dyDescent="0.2">
      <c r="AC108" s="7"/>
      <c r="AG108" s="240"/>
      <c r="AH108" s="240"/>
      <c r="AI108" s="240"/>
      <c r="AJ108" s="240"/>
      <c r="AK108" s="240"/>
      <c r="AL108" s="240"/>
      <c r="AM108" s="135"/>
      <c r="AN108" s="240"/>
      <c r="AO108" s="240"/>
      <c r="AP108" s="241"/>
      <c r="AQ108" s="240"/>
      <c r="AR108" s="240"/>
      <c r="AS108" s="241"/>
      <c r="AT108" s="240"/>
      <c r="AU108" s="240"/>
      <c r="AV108" s="241"/>
      <c r="AW108" s="240"/>
      <c r="AX108" s="240"/>
      <c r="AY108" s="241"/>
      <c r="AZ108" s="240"/>
      <c r="BA108" s="240"/>
      <c r="BB108" s="240"/>
      <c r="BC108" s="242"/>
      <c r="BD108" s="98"/>
      <c r="BE108" s="98"/>
    </row>
    <row r="109" spans="29:57" ht="18" customHeight="1" x14ac:dyDescent="0.2">
      <c r="AC109" s="212"/>
      <c r="AD109" s="15"/>
      <c r="AE109" s="23"/>
      <c r="AF109" s="16"/>
      <c r="AG109" s="15"/>
      <c r="AH109" s="15"/>
      <c r="AI109" s="15"/>
      <c r="AJ109" s="15"/>
      <c r="AK109" s="15"/>
      <c r="AL109" s="22"/>
      <c r="AM109" s="213"/>
      <c r="AN109" s="23"/>
      <c r="AO109" s="23"/>
      <c r="AP109" s="7"/>
      <c r="AQ109" s="15"/>
      <c r="AR109" s="15"/>
      <c r="AS109" s="7"/>
      <c r="AT109" s="15"/>
      <c r="AU109" s="15"/>
      <c r="AV109" s="7"/>
      <c r="AW109" s="15"/>
      <c r="AX109" s="15"/>
      <c r="AY109" s="214"/>
      <c r="AZ109" s="215"/>
      <c r="BA109" s="10"/>
      <c r="BB109" s="7"/>
      <c r="BC109" s="7"/>
      <c r="BD109" s="7"/>
      <c r="BE109" s="7"/>
    </row>
    <row r="110" spans="29:57" ht="18" customHeight="1" x14ac:dyDescent="0.2">
      <c r="AC110" s="214"/>
      <c r="AM110" s="135"/>
      <c r="AP110" s="11"/>
      <c r="AS110" s="11"/>
      <c r="AV110" s="11"/>
      <c r="AY110" s="11"/>
      <c r="AZ110" s="10"/>
      <c r="BA110" s="10"/>
      <c r="BB110" s="10"/>
      <c r="BC110" s="11"/>
      <c r="BD110" s="299"/>
      <c r="BE110" s="299"/>
    </row>
    <row r="111" spans="29:57" ht="18" customHeight="1" x14ac:dyDescent="0.2">
      <c r="AC111" s="214"/>
      <c r="AM111" s="135"/>
      <c r="AP111" s="11"/>
      <c r="AS111" s="11"/>
      <c r="AV111" s="11"/>
      <c r="AY111" s="11"/>
      <c r="AZ111" s="10"/>
      <c r="BA111" s="10"/>
      <c r="BB111" s="10"/>
      <c r="BC111" s="11"/>
      <c r="BD111" s="299"/>
      <c r="BE111" s="299"/>
    </row>
    <row r="112" spans="29:57" ht="18" customHeight="1" x14ac:dyDescent="0.2">
      <c r="AC112" s="214"/>
      <c r="AM112" s="135"/>
      <c r="AP112" s="11"/>
      <c r="AS112" s="11"/>
      <c r="AV112" s="11"/>
      <c r="AY112" s="11"/>
      <c r="AZ112" s="10"/>
      <c r="BA112" s="10"/>
      <c r="BB112" s="10"/>
      <c r="BC112" s="11"/>
      <c r="BD112" s="299"/>
      <c r="BE112" s="299"/>
    </row>
    <row r="113" spans="29:57" ht="18" customHeight="1" x14ac:dyDescent="0.2">
      <c r="AC113" s="7"/>
      <c r="AG113" s="300"/>
      <c r="AH113" s="300"/>
      <c r="AI113" s="300"/>
      <c r="AJ113" s="300"/>
      <c r="AK113" s="300"/>
      <c r="AL113" s="300"/>
      <c r="AM113" s="135"/>
      <c r="AN113" s="300"/>
      <c r="AO113" s="300"/>
      <c r="AP113" s="241"/>
      <c r="AQ113" s="300"/>
      <c r="AR113" s="300"/>
      <c r="AS113" s="241"/>
      <c r="AT113" s="300"/>
      <c r="AU113" s="300"/>
      <c r="AV113" s="241"/>
      <c r="AW113" s="300"/>
      <c r="AX113" s="300"/>
      <c r="AY113" s="241"/>
      <c r="AZ113" s="300"/>
      <c r="BA113" s="300"/>
      <c r="BB113" s="300"/>
      <c r="BC113" s="241"/>
      <c r="BD113" s="98"/>
      <c r="BE113" s="98"/>
    </row>
    <row r="114" spans="29:57" ht="18" customHeight="1" x14ac:dyDescent="0.2">
      <c r="AC114" s="212"/>
      <c r="AD114" s="15"/>
      <c r="AE114" s="23"/>
      <c r="AF114" s="16"/>
      <c r="AG114" s="15"/>
      <c r="AH114" s="15"/>
      <c r="AI114" s="15"/>
      <c r="AJ114" s="15"/>
      <c r="AK114" s="15"/>
      <c r="AL114" s="22"/>
      <c r="AM114" s="213"/>
      <c r="AN114" s="23"/>
      <c r="AO114" s="23"/>
      <c r="AP114" s="7"/>
      <c r="AQ114" s="15"/>
      <c r="AR114" s="15"/>
      <c r="AS114" s="7"/>
      <c r="AT114" s="15"/>
      <c r="AU114" s="15"/>
      <c r="AV114" s="7"/>
      <c r="AW114" s="15"/>
      <c r="AX114" s="15"/>
      <c r="AY114" s="214"/>
      <c r="AZ114" s="215"/>
      <c r="BA114" s="10"/>
      <c r="BB114" s="7"/>
      <c r="BC114" s="7"/>
      <c r="BD114" s="7"/>
      <c r="BE114" s="7"/>
    </row>
    <row r="115" spans="29:57" ht="18" customHeight="1" x14ac:dyDescent="0.2">
      <c r="AC115" s="214"/>
      <c r="AM115" s="135"/>
      <c r="AP115" s="11"/>
      <c r="AS115" s="11"/>
      <c r="AV115" s="11"/>
      <c r="AY115" s="11"/>
      <c r="AZ115" s="10"/>
      <c r="BA115" s="10"/>
      <c r="BB115" s="10"/>
      <c r="BC115" s="11"/>
      <c r="BD115" s="299"/>
      <c r="BE115" s="299"/>
    </row>
    <row r="116" spans="29:57" ht="18" customHeight="1" x14ac:dyDescent="0.2">
      <c r="AC116" s="214"/>
      <c r="AM116" s="135"/>
      <c r="AP116" s="11"/>
      <c r="AS116" s="11"/>
      <c r="AV116" s="11"/>
      <c r="AY116" s="11"/>
      <c r="AZ116" s="10"/>
      <c r="BA116" s="10"/>
      <c r="BB116" s="10"/>
      <c r="BC116" s="11"/>
      <c r="BD116" s="299"/>
      <c r="BE116" s="299"/>
    </row>
    <row r="117" spans="29:57" ht="18" customHeight="1" x14ac:dyDescent="0.2">
      <c r="AC117" s="214"/>
      <c r="AM117" s="135"/>
      <c r="AP117" s="11"/>
      <c r="AS117" s="11"/>
      <c r="AV117" s="11"/>
      <c r="AY117" s="11"/>
      <c r="AZ117" s="10"/>
      <c r="BA117" s="10"/>
      <c r="BB117" s="10"/>
      <c r="BC117" s="11"/>
      <c r="BD117" s="299"/>
      <c r="BE117" s="299"/>
    </row>
    <row r="118" spans="29:57" ht="18" customHeight="1" x14ac:dyDescent="0.2">
      <c r="AC118" s="7"/>
      <c r="AG118" s="300"/>
      <c r="AH118" s="300"/>
      <c r="AI118" s="300"/>
      <c r="AJ118" s="300"/>
      <c r="AK118" s="300"/>
      <c r="AL118" s="300"/>
      <c r="AM118" s="135"/>
      <c r="AN118" s="300"/>
      <c r="AO118" s="300"/>
      <c r="AP118" s="241"/>
      <c r="AQ118" s="300"/>
      <c r="AR118" s="300"/>
      <c r="AS118" s="241"/>
      <c r="AT118" s="300"/>
      <c r="AU118" s="300"/>
      <c r="AV118" s="241"/>
      <c r="AW118" s="300"/>
      <c r="AX118" s="300"/>
      <c r="AY118" s="241"/>
      <c r="AZ118" s="300"/>
      <c r="BA118" s="300"/>
      <c r="BB118" s="300"/>
      <c r="BC118" s="241"/>
      <c r="BD118" s="98"/>
      <c r="BE118" s="98"/>
    </row>
    <row r="119" spans="29:57" ht="18" customHeight="1" x14ac:dyDescent="0.2">
      <c r="AC119" s="212"/>
      <c r="AD119" s="15"/>
      <c r="AE119" s="23"/>
      <c r="AF119" s="16"/>
      <c r="AG119" s="15"/>
      <c r="AH119" s="15"/>
      <c r="AI119" s="15"/>
      <c r="AJ119" s="15"/>
      <c r="AK119" s="15"/>
      <c r="AL119" s="22"/>
      <c r="AM119" s="213"/>
      <c r="AN119" s="23"/>
      <c r="AO119" s="23"/>
      <c r="AP119" s="7"/>
      <c r="AQ119" s="15"/>
      <c r="AR119" s="15"/>
      <c r="AS119" s="7"/>
      <c r="AT119" s="15"/>
      <c r="AU119" s="15"/>
      <c r="AV119" s="7"/>
      <c r="AW119" s="15"/>
      <c r="AX119" s="15"/>
      <c r="AY119" s="214"/>
      <c r="AZ119" s="215"/>
      <c r="BA119" s="10"/>
      <c r="BB119" s="7"/>
      <c r="BC119" s="7"/>
      <c r="BD119" s="7"/>
      <c r="BE119" s="7"/>
    </row>
    <row r="120" spans="29:57" ht="18" customHeight="1" x14ac:dyDescent="0.2">
      <c r="AC120" s="214"/>
      <c r="AM120" s="135"/>
      <c r="AP120" s="11"/>
      <c r="AS120" s="11"/>
      <c r="AV120" s="11"/>
      <c r="AY120" s="11"/>
      <c r="AZ120" s="10"/>
      <c r="BA120" s="10"/>
      <c r="BB120" s="10"/>
      <c r="BC120" s="11"/>
      <c r="BD120" s="299"/>
      <c r="BE120" s="299"/>
    </row>
    <row r="121" spans="29:57" ht="18" customHeight="1" x14ac:dyDescent="0.2">
      <c r="AC121" s="214"/>
      <c r="AM121" s="135"/>
      <c r="AP121" s="11"/>
      <c r="AS121" s="11"/>
      <c r="AV121" s="11"/>
      <c r="AY121" s="11"/>
      <c r="AZ121" s="10"/>
      <c r="BA121" s="10"/>
      <c r="BB121" s="10"/>
      <c r="BC121" s="11"/>
      <c r="BD121" s="299"/>
      <c r="BE121" s="299"/>
    </row>
    <row r="122" spans="29:57" ht="18" customHeight="1" x14ac:dyDescent="0.2">
      <c r="AC122" s="214"/>
      <c r="AM122" s="135"/>
      <c r="AP122" s="11"/>
      <c r="AS122" s="11"/>
      <c r="AV122" s="11"/>
      <c r="AY122" s="11"/>
      <c r="AZ122" s="10"/>
      <c r="BA122" s="10"/>
      <c r="BB122" s="10"/>
      <c r="BC122" s="11"/>
      <c r="BD122" s="299"/>
      <c r="BE122" s="299"/>
    </row>
    <row r="123" spans="29:57" ht="18" customHeight="1" x14ac:dyDescent="0.2">
      <c r="AC123" s="7"/>
      <c r="AG123" s="300"/>
      <c r="AH123" s="300"/>
      <c r="AI123" s="300"/>
      <c r="AJ123" s="300"/>
      <c r="AK123" s="300"/>
      <c r="AL123" s="300"/>
      <c r="AM123" s="135"/>
      <c r="AN123" s="300"/>
      <c r="AO123" s="300"/>
      <c r="AP123" s="241"/>
      <c r="AQ123" s="300"/>
      <c r="AR123" s="300"/>
      <c r="AS123" s="241"/>
      <c r="AT123" s="300"/>
      <c r="AU123" s="300"/>
      <c r="AV123" s="241"/>
      <c r="AW123" s="300"/>
      <c r="AX123" s="300"/>
      <c r="AY123" s="241"/>
      <c r="AZ123" s="300"/>
      <c r="BA123" s="300"/>
      <c r="BB123" s="300"/>
      <c r="BC123" s="241"/>
      <c r="BD123" s="98"/>
      <c r="BE123" s="98"/>
    </row>
    <row r="124" spans="29:57" ht="18" customHeight="1" x14ac:dyDescent="0.2">
      <c r="AC124" s="212"/>
      <c r="AD124" s="15"/>
      <c r="AE124" s="23"/>
      <c r="AF124" s="16"/>
      <c r="AG124" s="15"/>
      <c r="AH124" s="15"/>
      <c r="AI124" s="15"/>
      <c r="AJ124" s="15"/>
      <c r="AK124" s="15"/>
      <c r="AL124" s="22"/>
      <c r="AM124" s="213"/>
      <c r="AN124" s="23"/>
      <c r="AO124" s="23"/>
      <c r="AP124" s="7"/>
      <c r="AQ124" s="15"/>
      <c r="AR124" s="15"/>
      <c r="AS124" s="7"/>
      <c r="AT124" s="15"/>
      <c r="AU124" s="15"/>
      <c r="AV124" s="7"/>
      <c r="AW124" s="15"/>
      <c r="AX124" s="15"/>
      <c r="AY124" s="214"/>
      <c r="AZ124" s="215"/>
      <c r="BA124" s="10"/>
      <c r="BB124" s="7"/>
      <c r="BC124" s="7"/>
      <c r="BD124" s="7"/>
      <c r="BE124" s="7"/>
    </row>
    <row r="125" spans="29:57" ht="18" customHeight="1" x14ac:dyDescent="0.2">
      <c r="AC125" s="214"/>
      <c r="AM125" s="135"/>
      <c r="AP125" s="11"/>
      <c r="AS125" s="11"/>
      <c r="AV125" s="11"/>
      <c r="AY125" s="11"/>
      <c r="AZ125" s="10"/>
      <c r="BA125" s="10"/>
      <c r="BB125" s="10"/>
      <c r="BC125" s="11"/>
      <c r="BD125" s="299"/>
      <c r="BE125" s="299"/>
    </row>
    <row r="126" spans="29:57" ht="18" customHeight="1" x14ac:dyDescent="0.2">
      <c r="AC126" s="214"/>
      <c r="AM126" s="135"/>
      <c r="AP126" s="11"/>
      <c r="AS126" s="11"/>
      <c r="AV126" s="11"/>
      <c r="AY126" s="11"/>
      <c r="AZ126" s="10"/>
      <c r="BA126" s="10"/>
      <c r="BB126" s="10"/>
      <c r="BC126" s="11"/>
      <c r="BD126" s="299"/>
      <c r="BE126" s="299"/>
    </row>
    <row r="127" spans="29:57" ht="18" customHeight="1" x14ac:dyDescent="0.2">
      <c r="AC127" s="214"/>
      <c r="AM127" s="135"/>
      <c r="AP127" s="11"/>
      <c r="AS127" s="11"/>
      <c r="AV127" s="11"/>
      <c r="AY127" s="11"/>
      <c r="AZ127" s="10"/>
      <c r="BA127" s="10"/>
      <c r="BB127" s="10"/>
      <c r="BC127" s="11"/>
      <c r="BD127" s="299"/>
      <c r="BE127" s="299"/>
    </row>
    <row r="128" spans="29:57" ht="18" customHeight="1" x14ac:dyDescent="0.2">
      <c r="AC128" s="7"/>
      <c r="AG128" s="300"/>
      <c r="AH128" s="300"/>
      <c r="AI128" s="300"/>
      <c r="AJ128" s="300"/>
      <c r="AK128" s="300"/>
      <c r="AL128" s="300"/>
      <c r="AM128" s="135"/>
      <c r="AN128" s="300"/>
      <c r="AO128" s="300"/>
      <c r="AP128" s="241"/>
      <c r="AQ128" s="300"/>
      <c r="AR128" s="300"/>
      <c r="AS128" s="241"/>
      <c r="AT128" s="300"/>
      <c r="AU128" s="300"/>
      <c r="AV128" s="241"/>
      <c r="AW128" s="300"/>
      <c r="AX128" s="300"/>
      <c r="AY128" s="241"/>
      <c r="AZ128" s="300"/>
      <c r="BA128" s="300"/>
      <c r="BB128" s="300"/>
      <c r="BC128" s="241"/>
      <c r="BD128" s="98"/>
      <c r="BE128" s="98"/>
    </row>
    <row r="129" spans="29:57" ht="18" customHeight="1" x14ac:dyDescent="0.2">
      <c r="AC129" s="212"/>
      <c r="AD129" s="15"/>
      <c r="AE129" s="23"/>
      <c r="AF129" s="16"/>
      <c r="AG129" s="15"/>
      <c r="AH129" s="15"/>
      <c r="AI129" s="15"/>
      <c r="AJ129" s="15"/>
      <c r="AK129" s="15"/>
      <c r="AL129" s="22"/>
      <c r="AM129" s="213"/>
      <c r="AN129" s="23"/>
      <c r="AO129" s="23"/>
      <c r="AP129" s="7"/>
      <c r="AQ129" s="15"/>
      <c r="AR129" s="15"/>
      <c r="AS129" s="7"/>
      <c r="AT129" s="15"/>
      <c r="AU129" s="15"/>
      <c r="AV129" s="7"/>
      <c r="AW129" s="15"/>
      <c r="AX129" s="15"/>
      <c r="AY129" s="214"/>
      <c r="AZ129" s="215"/>
      <c r="BA129" s="10"/>
      <c r="BB129" s="7"/>
      <c r="BC129" s="7"/>
      <c r="BD129" s="7"/>
      <c r="BE129" s="7"/>
    </row>
    <row r="130" spans="29:57" ht="18" customHeight="1" x14ac:dyDescent="0.2">
      <c r="AC130" s="214"/>
      <c r="AM130" s="135"/>
      <c r="AP130" s="11"/>
      <c r="AS130" s="11"/>
      <c r="AV130" s="11"/>
      <c r="AY130" s="11"/>
      <c r="AZ130" s="10"/>
      <c r="BA130" s="10"/>
      <c r="BB130" s="10"/>
      <c r="BC130" s="11"/>
      <c r="BD130" s="299"/>
      <c r="BE130" s="299"/>
    </row>
    <row r="131" spans="29:57" ht="18" customHeight="1" x14ac:dyDescent="0.2">
      <c r="AC131" s="214"/>
      <c r="AM131" s="135"/>
      <c r="AP131" s="11"/>
      <c r="AS131" s="11"/>
      <c r="AV131" s="11"/>
      <c r="AY131" s="11"/>
      <c r="AZ131" s="10"/>
      <c r="BA131" s="10"/>
      <c r="BB131" s="10"/>
      <c r="BC131" s="11"/>
      <c r="BD131" s="299"/>
      <c r="BE131" s="299"/>
    </row>
    <row r="132" spans="29:57" ht="18" customHeight="1" x14ac:dyDescent="0.2">
      <c r="AC132" s="214"/>
      <c r="AM132" s="135"/>
      <c r="AP132" s="11"/>
      <c r="AS132" s="11"/>
      <c r="AV132" s="11"/>
      <c r="AY132" s="11"/>
      <c r="AZ132" s="10"/>
      <c r="BA132" s="10"/>
      <c r="BB132" s="10"/>
      <c r="BC132" s="11"/>
      <c r="BD132" s="299"/>
      <c r="BE132" s="299"/>
    </row>
    <row r="133" spans="29:57" ht="18" customHeight="1" x14ac:dyDescent="0.2">
      <c r="AC133" s="7"/>
      <c r="AG133" s="300"/>
      <c r="AH133" s="300"/>
      <c r="AI133" s="300"/>
      <c r="AJ133" s="300"/>
      <c r="AK133" s="300"/>
      <c r="AL133" s="300"/>
      <c r="AM133" s="135"/>
      <c r="AN133" s="300"/>
      <c r="AO133" s="300"/>
      <c r="AP133" s="241"/>
      <c r="AQ133" s="300"/>
      <c r="AR133" s="300"/>
      <c r="AS133" s="241"/>
      <c r="AT133" s="300"/>
      <c r="AU133" s="300"/>
      <c r="AV133" s="241"/>
      <c r="AW133" s="300"/>
      <c r="AX133" s="300"/>
      <c r="AY133" s="241"/>
      <c r="AZ133" s="300"/>
      <c r="BA133" s="300"/>
      <c r="BB133" s="300"/>
      <c r="BC133" s="241"/>
      <c r="BD133" s="98"/>
      <c r="BE133" s="98"/>
    </row>
    <row r="134" spans="29:57" ht="18" customHeight="1" x14ac:dyDescent="0.2">
      <c r="AC134" s="212"/>
      <c r="AD134" s="15"/>
      <c r="AE134" s="23"/>
      <c r="AF134" s="16"/>
      <c r="AG134" s="15"/>
      <c r="AH134" s="15"/>
      <c r="AI134" s="15"/>
      <c r="AJ134" s="15"/>
      <c r="AK134" s="15"/>
      <c r="AL134" s="22"/>
      <c r="AM134" s="213"/>
      <c r="AN134" s="23"/>
      <c r="AO134" s="23"/>
      <c r="AP134" s="7"/>
      <c r="AQ134" s="15"/>
      <c r="AR134" s="15"/>
      <c r="AS134" s="7"/>
      <c r="AT134" s="15"/>
      <c r="AU134" s="15"/>
      <c r="AV134" s="7"/>
      <c r="AW134" s="15"/>
      <c r="AX134" s="15"/>
      <c r="AY134" s="214"/>
      <c r="AZ134" s="215"/>
      <c r="BA134" s="10"/>
      <c r="BB134" s="7"/>
      <c r="BC134" s="7"/>
      <c r="BD134" s="7"/>
      <c r="BE134" s="7"/>
    </row>
    <row r="135" spans="29:57" ht="18" customHeight="1" x14ac:dyDescent="0.2">
      <c r="AC135" s="214"/>
      <c r="AM135" s="135"/>
      <c r="AP135" s="11"/>
      <c r="AS135" s="11"/>
      <c r="AV135" s="11"/>
      <c r="AY135" s="11"/>
      <c r="AZ135" s="10"/>
      <c r="BA135" s="10"/>
      <c r="BB135" s="10"/>
      <c r="BC135" s="11"/>
      <c r="BD135" s="299"/>
      <c r="BE135" s="299"/>
    </row>
    <row r="136" spans="29:57" ht="18" customHeight="1" x14ac:dyDescent="0.2">
      <c r="AC136" s="214"/>
      <c r="AM136" s="135"/>
      <c r="AP136" s="11"/>
      <c r="AS136" s="11"/>
      <c r="AV136" s="11"/>
      <c r="AY136" s="11"/>
      <c r="AZ136" s="10"/>
      <c r="BA136" s="10"/>
      <c r="BB136" s="10"/>
      <c r="BC136" s="11"/>
      <c r="BD136" s="299"/>
      <c r="BE136" s="299"/>
    </row>
    <row r="137" spans="29:57" ht="18" customHeight="1" x14ac:dyDescent="0.2">
      <c r="AC137" s="214"/>
      <c r="AM137" s="135"/>
      <c r="AP137" s="11"/>
      <c r="AS137" s="11"/>
      <c r="AV137" s="11"/>
      <c r="AY137" s="11"/>
      <c r="AZ137" s="10"/>
      <c r="BA137" s="10"/>
      <c r="BB137" s="10"/>
      <c r="BC137" s="11"/>
      <c r="BD137" s="299"/>
      <c r="BE137" s="299"/>
    </row>
    <row r="138" spans="29:57" ht="18" customHeight="1" x14ac:dyDescent="0.2">
      <c r="AC138" s="7"/>
      <c r="AG138" s="300"/>
      <c r="AH138" s="300"/>
      <c r="AI138" s="300"/>
      <c r="AJ138" s="300"/>
      <c r="AK138" s="300"/>
      <c r="AL138" s="300"/>
      <c r="AM138" s="135"/>
      <c r="AN138" s="300"/>
      <c r="AO138" s="300"/>
      <c r="AP138" s="241"/>
      <c r="AQ138" s="300"/>
      <c r="AR138" s="300"/>
      <c r="AS138" s="241"/>
      <c r="AT138" s="300"/>
      <c r="AU138" s="300"/>
      <c r="AV138" s="241"/>
      <c r="AW138" s="300"/>
      <c r="AX138" s="300"/>
      <c r="AY138" s="241"/>
      <c r="AZ138" s="300"/>
      <c r="BA138" s="300"/>
      <c r="BB138" s="300"/>
      <c r="BC138" s="241"/>
      <c r="BD138" s="98"/>
      <c r="BE138" s="98"/>
    </row>
    <row r="139" spans="29:57" ht="18" customHeight="1" x14ac:dyDescent="0.2">
      <c r="AC139" s="212"/>
      <c r="AD139" s="15"/>
      <c r="AE139" s="23"/>
      <c r="AF139" s="16"/>
      <c r="AG139" s="15"/>
      <c r="AH139" s="15"/>
      <c r="AI139" s="15"/>
      <c r="AJ139" s="15"/>
      <c r="AK139" s="15"/>
      <c r="AL139" s="22"/>
      <c r="AM139" s="213"/>
      <c r="AN139" s="23"/>
      <c r="AO139" s="23"/>
      <c r="AP139" s="7"/>
      <c r="AQ139" s="15"/>
      <c r="AR139" s="15"/>
      <c r="AS139" s="7"/>
      <c r="AT139" s="15"/>
      <c r="AU139" s="15"/>
      <c r="AV139" s="7"/>
      <c r="AW139" s="15"/>
      <c r="AX139" s="15"/>
      <c r="AY139" s="214"/>
      <c r="AZ139" s="215"/>
      <c r="BA139" s="10"/>
      <c r="BB139" s="7"/>
      <c r="BC139" s="7"/>
      <c r="BD139" s="7"/>
      <c r="BE139" s="7"/>
    </row>
    <row r="140" spans="29:57" ht="18" customHeight="1" x14ac:dyDescent="0.2">
      <c r="AC140" s="214"/>
      <c r="AM140" s="135"/>
      <c r="AP140" s="11"/>
      <c r="AS140" s="11"/>
      <c r="AV140" s="11"/>
      <c r="AY140" s="11"/>
      <c r="AZ140" s="10"/>
      <c r="BA140" s="10"/>
      <c r="BB140" s="10"/>
      <c r="BC140" s="11"/>
      <c r="BD140" s="299"/>
      <c r="BE140" s="299"/>
    </row>
    <row r="141" spans="29:57" ht="18" customHeight="1" x14ac:dyDescent="0.2">
      <c r="AC141" s="214"/>
      <c r="AM141" s="135"/>
      <c r="AP141" s="11"/>
      <c r="AS141" s="11"/>
      <c r="AV141" s="11"/>
      <c r="AY141" s="11"/>
      <c r="AZ141" s="10"/>
      <c r="BA141" s="10"/>
      <c r="BB141" s="10"/>
      <c r="BC141" s="11"/>
      <c r="BD141" s="299"/>
      <c r="BE141" s="299"/>
    </row>
    <row r="142" spans="29:57" ht="18" customHeight="1" x14ac:dyDescent="0.2">
      <c r="AC142" s="214"/>
      <c r="AM142" s="135"/>
      <c r="AP142" s="11"/>
      <c r="AS142" s="11"/>
      <c r="AV142" s="11"/>
      <c r="AY142" s="11"/>
      <c r="AZ142" s="10"/>
      <c r="BA142" s="10"/>
      <c r="BB142" s="10"/>
      <c r="BC142" s="11"/>
      <c r="BD142" s="299"/>
      <c r="BE142" s="299"/>
    </row>
    <row r="143" spans="29:57" ht="18" customHeight="1" x14ac:dyDescent="0.2">
      <c r="AC143" s="7"/>
      <c r="AG143" s="300"/>
      <c r="AH143" s="300"/>
      <c r="AI143" s="300"/>
      <c r="AJ143" s="300"/>
      <c r="AK143" s="300"/>
      <c r="AL143" s="300"/>
      <c r="AM143" s="135"/>
      <c r="AN143" s="300"/>
      <c r="AO143" s="300"/>
      <c r="AP143" s="241"/>
      <c r="AQ143" s="300"/>
      <c r="AR143" s="300"/>
      <c r="AS143" s="241"/>
      <c r="AT143" s="300"/>
      <c r="AU143" s="300"/>
      <c r="AV143" s="241"/>
      <c r="AW143" s="300"/>
      <c r="AX143" s="300"/>
      <c r="AY143" s="241"/>
      <c r="AZ143" s="300"/>
      <c r="BA143" s="300"/>
      <c r="BB143" s="300"/>
      <c r="BC143" s="241"/>
      <c r="BD143" s="98"/>
      <c r="BE143" s="98"/>
    </row>
    <row r="144" spans="29:57" ht="18" customHeight="1" x14ac:dyDescent="0.2">
      <c r="AC144" s="212"/>
      <c r="AD144" s="15"/>
      <c r="AE144" s="23"/>
      <c r="AF144" s="16"/>
      <c r="AG144" s="15"/>
      <c r="AH144" s="15"/>
      <c r="AI144" s="15"/>
      <c r="AJ144" s="15"/>
      <c r="AK144" s="15"/>
      <c r="AL144" s="22"/>
      <c r="AM144" s="213"/>
      <c r="AN144" s="23"/>
      <c r="AO144" s="23"/>
      <c r="AP144" s="7"/>
      <c r="AQ144" s="15"/>
      <c r="AR144" s="15"/>
      <c r="AS144" s="7"/>
      <c r="AT144" s="15"/>
      <c r="AU144" s="15"/>
      <c r="AV144" s="7"/>
      <c r="AW144" s="15"/>
      <c r="AX144" s="15"/>
      <c r="AY144" s="214"/>
      <c r="AZ144" s="215"/>
      <c r="BA144" s="10"/>
      <c r="BB144" s="7"/>
      <c r="BC144" s="7"/>
      <c r="BD144" s="7"/>
      <c r="BE144" s="7"/>
    </row>
    <row r="145" spans="29:57" ht="18" customHeight="1" x14ac:dyDescent="0.2">
      <c r="AC145" s="214"/>
      <c r="AM145" s="135"/>
      <c r="AP145" s="11"/>
      <c r="AS145" s="11"/>
      <c r="AV145" s="11"/>
      <c r="AY145" s="11"/>
      <c r="AZ145" s="10"/>
      <c r="BA145" s="10"/>
      <c r="BB145" s="10"/>
      <c r="BC145" s="11"/>
      <c r="BD145" s="299"/>
      <c r="BE145" s="299"/>
    </row>
    <row r="146" spans="29:57" ht="18" customHeight="1" x14ac:dyDescent="0.2">
      <c r="AC146" s="214"/>
      <c r="AM146" s="135"/>
      <c r="AP146" s="11"/>
      <c r="AS146" s="11"/>
      <c r="AV146" s="11"/>
      <c r="AY146" s="11"/>
      <c r="AZ146" s="10"/>
      <c r="BA146" s="10"/>
      <c r="BB146" s="10"/>
      <c r="BC146" s="11"/>
      <c r="BD146" s="299"/>
      <c r="BE146" s="299"/>
    </row>
    <row r="147" spans="29:57" ht="18" customHeight="1" x14ac:dyDescent="0.2">
      <c r="AC147" s="214"/>
      <c r="AM147" s="135"/>
      <c r="AP147" s="11"/>
      <c r="AS147" s="11"/>
      <c r="AV147" s="11"/>
      <c r="AY147" s="11"/>
      <c r="AZ147" s="10"/>
      <c r="BA147" s="10"/>
      <c r="BB147" s="10"/>
      <c r="BC147" s="11"/>
      <c r="BD147" s="299"/>
      <c r="BE147" s="299"/>
    </row>
    <row r="148" spans="29:57" ht="18" customHeight="1" x14ac:dyDescent="0.2">
      <c r="AC148" s="7"/>
      <c r="AG148" s="300"/>
      <c r="AH148" s="300"/>
      <c r="AI148" s="300"/>
      <c r="AJ148" s="300"/>
      <c r="AK148" s="300"/>
      <c r="AL148" s="300"/>
      <c r="AM148" s="135"/>
      <c r="AN148" s="300"/>
      <c r="AO148" s="300"/>
      <c r="AP148" s="241"/>
      <c r="AQ148" s="300"/>
      <c r="AR148" s="300"/>
      <c r="AS148" s="241"/>
      <c r="AT148" s="300"/>
      <c r="AU148" s="300"/>
      <c r="AV148" s="241"/>
      <c r="AW148" s="300"/>
      <c r="AX148" s="300"/>
      <c r="AY148" s="241"/>
      <c r="AZ148" s="300"/>
      <c r="BA148" s="300"/>
      <c r="BB148" s="300"/>
      <c r="BC148" s="241"/>
      <c r="BD148" s="98"/>
      <c r="BE148" s="98"/>
    </row>
    <row r="149" spans="29:57" ht="18" customHeight="1" x14ac:dyDescent="0.2">
      <c r="AC149" s="212"/>
      <c r="AD149" s="15"/>
      <c r="AE149" s="23"/>
      <c r="AF149" s="16"/>
      <c r="AG149" s="15"/>
      <c r="AH149" s="15"/>
      <c r="AI149" s="15"/>
      <c r="AJ149" s="15"/>
      <c r="AK149" s="15"/>
      <c r="AL149" s="22"/>
      <c r="AM149" s="213"/>
      <c r="AN149" s="23"/>
      <c r="AO149" s="23"/>
      <c r="AP149" s="7"/>
      <c r="AQ149" s="15"/>
      <c r="AR149" s="15"/>
      <c r="AS149" s="7"/>
      <c r="AT149" s="15"/>
      <c r="AU149" s="15"/>
      <c r="AV149" s="7"/>
      <c r="AW149" s="15"/>
      <c r="AX149" s="15"/>
      <c r="AY149" s="214"/>
      <c r="AZ149" s="215"/>
      <c r="BA149" s="10"/>
      <c r="BB149" s="7"/>
      <c r="BC149" s="7"/>
      <c r="BD149" s="7"/>
      <c r="BE149" s="7"/>
    </row>
    <row r="150" spans="29:57" ht="18" customHeight="1" x14ac:dyDescent="0.2">
      <c r="AC150" s="214"/>
      <c r="AM150" s="135"/>
      <c r="AP150" s="11"/>
      <c r="AS150" s="11"/>
      <c r="AV150" s="11"/>
      <c r="AY150" s="11"/>
      <c r="AZ150" s="10"/>
      <c r="BA150" s="10"/>
      <c r="BB150" s="10"/>
      <c r="BC150" s="11"/>
      <c r="BD150" s="299"/>
      <c r="BE150" s="299"/>
    </row>
    <row r="151" spans="29:57" ht="18" customHeight="1" x14ac:dyDescent="0.2">
      <c r="AC151" s="214"/>
      <c r="AM151" s="135"/>
      <c r="AP151" s="11"/>
      <c r="AS151" s="11"/>
      <c r="AV151" s="11"/>
      <c r="AY151" s="11"/>
      <c r="AZ151" s="10"/>
      <c r="BA151" s="10"/>
      <c r="BB151" s="10"/>
      <c r="BC151" s="11"/>
      <c r="BD151" s="299"/>
      <c r="BE151" s="299"/>
    </row>
    <row r="152" spans="29:57" ht="18" customHeight="1" x14ac:dyDescent="0.2">
      <c r="AC152" s="214"/>
      <c r="AM152" s="135"/>
      <c r="AP152" s="11"/>
      <c r="AS152" s="11"/>
      <c r="AV152" s="11"/>
      <c r="AY152" s="11"/>
      <c r="AZ152" s="10"/>
      <c r="BA152" s="10"/>
      <c r="BB152" s="10"/>
      <c r="BC152" s="11"/>
      <c r="BD152" s="299"/>
      <c r="BE152" s="299"/>
    </row>
    <row r="153" spans="29:57" ht="18" customHeight="1" x14ac:dyDescent="0.2">
      <c r="AC153" s="7"/>
      <c r="AG153" s="300"/>
      <c r="AH153" s="300"/>
      <c r="AI153" s="300"/>
      <c r="AJ153" s="300"/>
      <c r="AK153" s="300"/>
      <c r="AL153" s="300"/>
      <c r="AM153" s="135"/>
      <c r="AN153" s="300"/>
      <c r="AO153" s="300"/>
      <c r="AP153" s="241"/>
      <c r="AQ153" s="300"/>
      <c r="AR153" s="300"/>
      <c r="AS153" s="241"/>
      <c r="AT153" s="300"/>
      <c r="AU153" s="300"/>
      <c r="AV153" s="241"/>
      <c r="AW153" s="300"/>
      <c r="AX153" s="300"/>
      <c r="AY153" s="241"/>
      <c r="AZ153" s="300"/>
      <c r="BA153" s="300"/>
      <c r="BB153" s="300"/>
      <c r="BC153" s="241"/>
      <c r="BD153" s="98"/>
      <c r="BE153" s="98"/>
    </row>
    <row r="154" spans="29:57" ht="18" customHeight="1" x14ac:dyDescent="0.2">
      <c r="AC154" s="212"/>
      <c r="AD154" s="15"/>
      <c r="AE154" s="23"/>
      <c r="AF154" s="16"/>
      <c r="AG154" s="15"/>
      <c r="AH154" s="15"/>
      <c r="AI154" s="15"/>
      <c r="AJ154" s="15"/>
      <c r="AK154" s="15"/>
      <c r="AL154" s="22"/>
      <c r="AM154" s="213"/>
      <c r="AN154" s="23"/>
      <c r="AO154" s="23"/>
      <c r="AP154" s="7"/>
      <c r="AQ154" s="15"/>
      <c r="AR154" s="15"/>
      <c r="AS154" s="7"/>
      <c r="AT154" s="15"/>
      <c r="AU154" s="15"/>
      <c r="AV154" s="7"/>
      <c r="AW154" s="15"/>
      <c r="AX154" s="15"/>
      <c r="AY154" s="214"/>
      <c r="AZ154" s="215"/>
      <c r="BA154" s="10"/>
      <c r="BB154" s="7"/>
      <c r="BC154" s="7"/>
      <c r="BD154" s="7"/>
      <c r="BE154" s="7"/>
    </row>
    <row r="155" spans="29:57" ht="18" customHeight="1" x14ac:dyDescent="0.2">
      <c r="AC155" s="214"/>
      <c r="AM155" s="135"/>
      <c r="AP155" s="11"/>
      <c r="AS155" s="11"/>
      <c r="AV155" s="11"/>
      <c r="AY155" s="11"/>
      <c r="AZ155" s="10"/>
      <c r="BA155" s="10"/>
      <c r="BB155" s="10"/>
      <c r="BC155" s="11"/>
      <c r="BD155" s="299"/>
      <c r="BE155" s="299"/>
    </row>
    <row r="156" spans="29:57" ht="18" customHeight="1" x14ac:dyDescent="0.2">
      <c r="AC156" s="214"/>
      <c r="AM156" s="135"/>
      <c r="AP156" s="11"/>
      <c r="AS156" s="11"/>
      <c r="AV156" s="11"/>
      <c r="AY156" s="11"/>
      <c r="AZ156" s="10"/>
      <c r="BA156" s="10"/>
      <c r="BB156" s="10"/>
      <c r="BC156" s="11"/>
      <c r="BD156" s="299"/>
      <c r="BE156" s="299"/>
    </row>
    <row r="157" spans="29:57" ht="18" customHeight="1" x14ac:dyDescent="0.2">
      <c r="AC157" s="214"/>
      <c r="AM157" s="135"/>
      <c r="AP157" s="11"/>
      <c r="AS157" s="11"/>
      <c r="AV157" s="11"/>
      <c r="AY157" s="11"/>
      <c r="AZ157" s="10"/>
      <c r="BA157" s="10"/>
      <c r="BB157" s="10"/>
      <c r="BC157" s="11"/>
      <c r="BD157" s="299"/>
      <c r="BE157" s="299"/>
    </row>
    <row r="158" spans="29:57" ht="18" customHeight="1" x14ac:dyDescent="0.2">
      <c r="AC158" s="7"/>
      <c r="AG158" s="300"/>
      <c r="AH158" s="300"/>
      <c r="AI158" s="300"/>
      <c r="AJ158" s="300"/>
      <c r="AK158" s="300"/>
      <c r="AL158" s="300"/>
      <c r="AM158" s="135"/>
      <c r="AN158" s="300"/>
      <c r="AO158" s="300"/>
      <c r="AP158" s="241"/>
      <c r="AQ158" s="300"/>
      <c r="AR158" s="300"/>
      <c r="AS158" s="241"/>
      <c r="AT158" s="300"/>
      <c r="AU158" s="300"/>
      <c r="AV158" s="241"/>
      <c r="AW158" s="300"/>
      <c r="AX158" s="300"/>
      <c r="AY158" s="241"/>
      <c r="AZ158" s="300"/>
      <c r="BA158" s="300"/>
      <c r="BB158" s="300"/>
      <c r="BC158" s="241"/>
      <c r="BD158" s="98"/>
      <c r="BE158" s="98"/>
    </row>
    <row r="159" spans="29:57" ht="18" customHeight="1" x14ac:dyDescent="0.2">
      <c r="AC159" s="212"/>
      <c r="AD159" s="15"/>
      <c r="AE159" s="23"/>
      <c r="AF159" s="16"/>
      <c r="AG159" s="15"/>
      <c r="AH159" s="15"/>
      <c r="AI159" s="15"/>
      <c r="AJ159" s="15"/>
      <c r="AK159" s="15"/>
      <c r="AL159" s="22"/>
      <c r="AM159" s="213"/>
      <c r="AN159" s="23"/>
      <c r="AO159" s="23"/>
      <c r="AP159" s="7"/>
      <c r="AQ159" s="15"/>
      <c r="AR159" s="15"/>
      <c r="AS159" s="7"/>
      <c r="AT159" s="15"/>
      <c r="AU159" s="15"/>
      <c r="AV159" s="7"/>
      <c r="AW159" s="15"/>
      <c r="AX159" s="15"/>
      <c r="AY159" s="214"/>
      <c r="AZ159" s="215"/>
      <c r="BA159" s="10"/>
      <c r="BB159" s="7"/>
      <c r="BC159" s="7"/>
      <c r="BD159" s="7"/>
      <c r="BE159" s="7"/>
    </row>
    <row r="160" spans="29:57" ht="18" customHeight="1" x14ac:dyDescent="0.2">
      <c r="AC160" s="214"/>
      <c r="AM160" s="135"/>
      <c r="AP160" s="11"/>
      <c r="AS160" s="11"/>
      <c r="AV160" s="11"/>
      <c r="AY160" s="11"/>
      <c r="AZ160" s="10"/>
      <c r="BA160" s="10"/>
      <c r="BB160" s="10"/>
      <c r="BC160" s="11"/>
      <c r="BD160" s="299"/>
      <c r="BE160" s="299"/>
    </row>
    <row r="161" spans="29:57" ht="18" customHeight="1" x14ac:dyDescent="0.2">
      <c r="AC161" s="214"/>
      <c r="AM161" s="135"/>
      <c r="AP161" s="11"/>
      <c r="AS161" s="11"/>
      <c r="AV161" s="11"/>
      <c r="AY161" s="11"/>
      <c r="AZ161" s="10"/>
      <c r="BA161" s="10"/>
      <c r="BB161" s="10"/>
      <c r="BC161" s="11"/>
      <c r="BD161" s="299"/>
      <c r="BE161" s="299"/>
    </row>
    <row r="162" spans="29:57" ht="18" customHeight="1" x14ac:dyDescent="0.2">
      <c r="AC162" s="214"/>
      <c r="AM162" s="135"/>
      <c r="AP162" s="11"/>
      <c r="AS162" s="11"/>
      <c r="AV162" s="11"/>
      <c r="AY162" s="11"/>
      <c r="AZ162" s="10"/>
      <c r="BA162" s="10"/>
      <c r="BB162" s="10"/>
      <c r="BC162" s="11"/>
      <c r="BD162" s="299"/>
      <c r="BE162" s="299"/>
    </row>
    <row r="163" spans="29:57" ht="18" customHeight="1" x14ac:dyDescent="0.2">
      <c r="AC163" s="7"/>
      <c r="AG163" s="300"/>
      <c r="AH163" s="300"/>
      <c r="AI163" s="300"/>
      <c r="AJ163" s="300"/>
      <c r="AK163" s="300"/>
      <c r="AL163" s="300"/>
      <c r="AM163" s="135"/>
      <c r="AN163" s="300"/>
      <c r="AO163" s="300"/>
      <c r="AP163" s="241"/>
      <c r="AQ163" s="300"/>
      <c r="AR163" s="300"/>
      <c r="AS163" s="241"/>
      <c r="AT163" s="300"/>
      <c r="AU163" s="300"/>
      <c r="AV163" s="241"/>
      <c r="AW163" s="300"/>
      <c r="AX163" s="300"/>
      <c r="AY163" s="241"/>
      <c r="AZ163" s="300"/>
      <c r="BA163" s="300"/>
      <c r="BB163" s="300"/>
      <c r="BC163" s="241"/>
      <c r="BD163" s="98"/>
      <c r="BE163" s="98"/>
    </row>
    <row r="164" spans="29:57" ht="18" customHeight="1" x14ac:dyDescent="0.2">
      <c r="AC164" s="212"/>
      <c r="AD164" s="15"/>
      <c r="AE164" s="23"/>
      <c r="AF164" s="16"/>
      <c r="AG164" s="15"/>
      <c r="AH164" s="15"/>
      <c r="AI164" s="15"/>
      <c r="AJ164" s="15"/>
      <c r="AK164" s="15"/>
      <c r="AL164" s="22"/>
      <c r="AM164" s="213"/>
      <c r="AN164" s="23"/>
      <c r="AO164" s="23"/>
      <c r="AP164" s="7"/>
      <c r="AQ164" s="15"/>
      <c r="AR164" s="15"/>
      <c r="AS164" s="7"/>
      <c r="AT164" s="15"/>
      <c r="AU164" s="15"/>
      <c r="AV164" s="7"/>
      <c r="AW164" s="15"/>
      <c r="AX164" s="15"/>
      <c r="AY164" s="214"/>
      <c r="AZ164" s="215"/>
      <c r="BA164" s="10"/>
      <c r="BB164" s="7"/>
      <c r="BC164" s="7"/>
      <c r="BD164" s="7"/>
      <c r="BE164" s="7"/>
    </row>
    <row r="165" spans="29:57" ht="18" customHeight="1" x14ac:dyDescent="0.2">
      <c r="AC165" s="214"/>
      <c r="AM165" s="135"/>
      <c r="AP165" s="11"/>
      <c r="AS165" s="11"/>
      <c r="AV165" s="11"/>
      <c r="AY165" s="11"/>
      <c r="AZ165" s="10"/>
      <c r="BA165" s="10"/>
      <c r="BB165" s="10"/>
      <c r="BC165" s="11"/>
      <c r="BD165" s="299"/>
      <c r="BE165" s="299"/>
    </row>
    <row r="166" spans="29:57" ht="18" customHeight="1" x14ac:dyDescent="0.2">
      <c r="AC166" s="214"/>
      <c r="AM166" s="135"/>
      <c r="AP166" s="11"/>
      <c r="AS166" s="11"/>
      <c r="AV166" s="11"/>
      <c r="AY166" s="11"/>
      <c r="AZ166" s="10"/>
      <c r="BA166" s="10"/>
      <c r="BB166" s="10"/>
      <c r="BC166" s="11"/>
      <c r="BD166" s="299"/>
      <c r="BE166" s="299"/>
    </row>
    <row r="167" spans="29:57" ht="18" customHeight="1" x14ac:dyDescent="0.2">
      <c r="AC167" s="214"/>
      <c r="AM167" s="135"/>
      <c r="AP167" s="11"/>
      <c r="AS167" s="11"/>
      <c r="AV167" s="11"/>
      <c r="AY167" s="11"/>
      <c r="AZ167" s="10"/>
      <c r="BA167" s="10"/>
      <c r="BB167" s="10"/>
      <c r="BC167" s="11"/>
      <c r="BD167" s="299"/>
      <c r="BE167" s="299"/>
    </row>
    <row r="168" spans="29:57" ht="18" customHeight="1" x14ac:dyDescent="0.2">
      <c r="AC168" s="7"/>
      <c r="AG168" s="300"/>
      <c r="AH168" s="300"/>
      <c r="AI168" s="300"/>
      <c r="AJ168" s="300"/>
      <c r="AK168" s="300"/>
      <c r="AL168" s="300"/>
      <c r="AM168" s="135"/>
      <c r="AN168" s="300"/>
      <c r="AO168" s="300"/>
      <c r="AP168" s="241"/>
      <c r="AQ168" s="300"/>
      <c r="AR168" s="300"/>
      <c r="AS168" s="241"/>
      <c r="AT168" s="300"/>
      <c r="AU168" s="300"/>
      <c r="AV168" s="241"/>
      <c r="AW168" s="300"/>
      <c r="AX168" s="300"/>
      <c r="AY168" s="241"/>
      <c r="AZ168" s="300"/>
      <c r="BA168" s="300"/>
      <c r="BB168" s="300"/>
      <c r="BC168" s="241"/>
      <c r="BD168" s="98"/>
      <c r="BE168" s="98"/>
    </row>
    <row r="169" spans="29:57" ht="18" customHeight="1" x14ac:dyDescent="0.2">
      <c r="AC169" s="212"/>
      <c r="AD169" s="15"/>
      <c r="AE169" s="23"/>
      <c r="AF169" s="16"/>
      <c r="AG169" s="15"/>
      <c r="AH169" s="15"/>
      <c r="AI169" s="15"/>
      <c r="AJ169" s="15"/>
      <c r="AK169" s="15"/>
      <c r="AL169" s="22"/>
      <c r="AM169" s="213"/>
      <c r="AN169" s="23"/>
      <c r="AO169" s="23"/>
      <c r="AP169" s="7"/>
      <c r="AQ169" s="15"/>
      <c r="AR169" s="15"/>
      <c r="AS169" s="7"/>
      <c r="AT169" s="15"/>
      <c r="AU169" s="15"/>
      <c r="AV169" s="7"/>
      <c r="AW169" s="15"/>
      <c r="AX169" s="15"/>
      <c r="AY169" s="214"/>
      <c r="AZ169" s="215"/>
      <c r="BA169" s="10"/>
      <c r="BB169" s="7"/>
      <c r="BC169" s="7"/>
      <c r="BD169" s="7"/>
      <c r="BE169" s="7"/>
    </row>
    <row r="170" spans="29:57" ht="18" customHeight="1" x14ac:dyDescent="0.2">
      <c r="AC170" s="214"/>
      <c r="AM170" s="135"/>
      <c r="AP170" s="11"/>
      <c r="AS170" s="11"/>
      <c r="AV170" s="11"/>
      <c r="AY170" s="11"/>
      <c r="AZ170" s="10"/>
      <c r="BA170" s="10"/>
      <c r="BB170" s="10"/>
      <c r="BC170" s="11"/>
      <c r="BD170" s="299"/>
      <c r="BE170" s="299"/>
    </row>
    <row r="171" spans="29:57" ht="18" customHeight="1" x14ac:dyDescent="0.2">
      <c r="AC171" s="214"/>
      <c r="AM171" s="135"/>
      <c r="AP171" s="11"/>
      <c r="AS171" s="11"/>
      <c r="AV171" s="11"/>
      <c r="AY171" s="11"/>
      <c r="AZ171" s="10"/>
      <c r="BA171" s="10"/>
      <c r="BB171" s="10"/>
      <c r="BC171" s="11"/>
      <c r="BD171" s="299"/>
      <c r="BE171" s="299"/>
    </row>
    <row r="172" spans="29:57" ht="18" customHeight="1" x14ac:dyDescent="0.2">
      <c r="AC172" s="214"/>
      <c r="AM172" s="135"/>
      <c r="AP172" s="11"/>
      <c r="AS172" s="11"/>
      <c r="AV172" s="11"/>
      <c r="AY172" s="11"/>
      <c r="AZ172" s="10"/>
      <c r="BA172" s="10"/>
      <c r="BB172" s="10"/>
      <c r="BC172" s="11"/>
      <c r="BD172" s="299"/>
      <c r="BE172" s="299"/>
    </row>
    <row r="173" spans="29:57" ht="18" customHeight="1" x14ac:dyDescent="0.2">
      <c r="AC173" s="7"/>
      <c r="AG173" s="300"/>
      <c r="AH173" s="300"/>
      <c r="AI173" s="300"/>
      <c r="AJ173" s="300"/>
      <c r="AK173" s="300"/>
      <c r="AL173" s="300"/>
      <c r="AM173" s="135"/>
      <c r="AN173" s="300"/>
      <c r="AO173" s="300"/>
      <c r="AP173" s="241"/>
      <c r="AQ173" s="300"/>
      <c r="AR173" s="300"/>
      <c r="AS173" s="241"/>
      <c r="AT173" s="300"/>
      <c r="AU173" s="300"/>
      <c r="AV173" s="241"/>
      <c r="AW173" s="300"/>
      <c r="AX173" s="300"/>
      <c r="AY173" s="241"/>
      <c r="AZ173" s="300"/>
      <c r="BA173" s="300"/>
      <c r="BB173" s="300"/>
      <c r="BC173" s="241"/>
      <c r="BD173" s="98"/>
      <c r="BE173" s="98"/>
    </row>
    <row r="174" spans="29:57" ht="18" customHeight="1" x14ac:dyDescent="0.2">
      <c r="AC174" s="212"/>
      <c r="AD174" s="15"/>
      <c r="AE174" s="23"/>
      <c r="AF174" s="16"/>
      <c r="AG174" s="15"/>
      <c r="AH174" s="15"/>
      <c r="AI174" s="15"/>
      <c r="AJ174" s="15"/>
      <c r="AK174" s="15"/>
      <c r="AL174" s="22"/>
      <c r="AM174" s="213"/>
      <c r="AN174" s="23"/>
      <c r="AO174" s="23"/>
      <c r="AP174" s="7"/>
      <c r="AQ174" s="15"/>
      <c r="AR174" s="15"/>
      <c r="AS174" s="7"/>
      <c r="AT174" s="15"/>
      <c r="AU174" s="15"/>
      <c r="AV174" s="7"/>
      <c r="AW174" s="15"/>
      <c r="AX174" s="15"/>
      <c r="AY174" s="214"/>
      <c r="AZ174" s="215"/>
      <c r="BA174" s="10"/>
      <c r="BB174" s="7"/>
      <c r="BC174" s="7"/>
      <c r="BD174" s="7"/>
      <c r="BE174" s="7"/>
    </row>
    <row r="175" spans="29:57" ht="18" customHeight="1" x14ac:dyDescent="0.2">
      <c r="AC175" s="214"/>
      <c r="AM175" s="135"/>
      <c r="AP175" s="11"/>
      <c r="AS175" s="11"/>
      <c r="AV175" s="11"/>
      <c r="AY175" s="11"/>
      <c r="AZ175" s="10"/>
      <c r="BA175" s="10"/>
      <c r="BB175" s="10"/>
      <c r="BC175" s="11"/>
      <c r="BD175" s="299"/>
      <c r="BE175" s="299"/>
    </row>
    <row r="176" spans="29:57" ht="18" customHeight="1" x14ac:dyDescent="0.2">
      <c r="AC176" s="214"/>
      <c r="AM176" s="135"/>
      <c r="AP176" s="11"/>
      <c r="AS176" s="11"/>
      <c r="AV176" s="11"/>
      <c r="AY176" s="11"/>
      <c r="AZ176" s="10"/>
      <c r="BA176" s="10"/>
      <c r="BB176" s="10"/>
      <c r="BC176" s="11"/>
      <c r="BD176" s="299"/>
      <c r="BE176" s="299"/>
    </row>
    <row r="177" spans="29:57" ht="18" customHeight="1" x14ac:dyDescent="0.2">
      <c r="AC177" s="214"/>
      <c r="AM177" s="135"/>
      <c r="AP177" s="11"/>
      <c r="AS177" s="11"/>
      <c r="AV177" s="11"/>
      <c r="AY177" s="11"/>
      <c r="AZ177" s="10"/>
      <c r="BA177" s="10"/>
      <c r="BB177" s="10"/>
      <c r="BC177" s="11"/>
      <c r="BD177" s="299"/>
      <c r="BE177" s="299"/>
    </row>
    <row r="178" spans="29:57" ht="18" customHeight="1" x14ac:dyDescent="0.2">
      <c r="AC178" s="7"/>
      <c r="AG178" s="300"/>
      <c r="AH178" s="300"/>
      <c r="AI178" s="300"/>
      <c r="AJ178" s="300"/>
      <c r="AK178" s="300"/>
      <c r="AL178" s="300"/>
      <c r="AM178" s="135"/>
      <c r="AN178" s="300"/>
      <c r="AO178" s="300"/>
      <c r="AP178" s="241"/>
      <c r="AQ178" s="300"/>
      <c r="AR178" s="300"/>
      <c r="AS178" s="241"/>
      <c r="AT178" s="300"/>
      <c r="AU178" s="300"/>
      <c r="AV178" s="241"/>
      <c r="AW178" s="300"/>
      <c r="AX178" s="300"/>
      <c r="AY178" s="241"/>
      <c r="AZ178" s="300"/>
      <c r="BA178" s="300"/>
      <c r="BB178" s="300"/>
      <c r="BC178" s="241"/>
      <c r="BD178" s="98"/>
      <c r="BE178" s="98"/>
    </row>
    <row r="179" spans="29:57" ht="18" customHeight="1" x14ac:dyDescent="0.2">
      <c r="AC179" s="212"/>
      <c r="AD179" s="15"/>
      <c r="AE179" s="23"/>
      <c r="AF179" s="16"/>
      <c r="AG179" s="15"/>
      <c r="AH179" s="15"/>
      <c r="AI179" s="15"/>
      <c r="AJ179" s="15"/>
      <c r="AK179" s="15"/>
      <c r="AL179" s="22"/>
      <c r="AM179" s="213"/>
      <c r="AN179" s="23"/>
      <c r="AO179" s="23"/>
      <c r="AP179" s="7"/>
      <c r="AQ179" s="15"/>
      <c r="AR179" s="15"/>
      <c r="AS179" s="7"/>
      <c r="AT179" s="15"/>
      <c r="AU179" s="15"/>
      <c r="AV179" s="7"/>
      <c r="AW179" s="15"/>
      <c r="AX179" s="15"/>
      <c r="AY179" s="214"/>
      <c r="AZ179" s="215"/>
      <c r="BA179" s="10"/>
      <c r="BB179" s="7"/>
      <c r="BC179" s="7"/>
      <c r="BD179" s="7"/>
      <c r="BE179" s="7"/>
    </row>
    <row r="180" spans="29:57" ht="18" customHeight="1" x14ac:dyDescent="0.2">
      <c r="AC180" s="214"/>
      <c r="AM180" s="135"/>
      <c r="AP180" s="11"/>
      <c r="AS180" s="11"/>
      <c r="AV180" s="11"/>
      <c r="AY180" s="11"/>
      <c r="AZ180" s="10"/>
      <c r="BA180" s="10"/>
      <c r="BB180" s="10"/>
      <c r="BC180" s="11"/>
      <c r="BD180" s="299"/>
      <c r="BE180" s="299"/>
    </row>
    <row r="181" spans="29:57" ht="18" customHeight="1" x14ac:dyDescent="0.2">
      <c r="AC181" s="214"/>
      <c r="AM181" s="135"/>
      <c r="AP181" s="11"/>
      <c r="AS181" s="11"/>
      <c r="AV181" s="11"/>
      <c r="AY181" s="11"/>
      <c r="AZ181" s="10"/>
      <c r="BA181" s="10"/>
      <c r="BB181" s="10"/>
      <c r="BC181" s="11"/>
      <c r="BD181" s="299"/>
      <c r="BE181" s="299"/>
    </row>
    <row r="182" spans="29:57" ht="18" customHeight="1" x14ac:dyDescent="0.2">
      <c r="AC182" s="214"/>
      <c r="AM182" s="135"/>
      <c r="AP182" s="11"/>
      <c r="AS182" s="11"/>
      <c r="AV182" s="11"/>
      <c r="AY182" s="11"/>
      <c r="AZ182" s="10"/>
      <c r="BA182" s="10"/>
      <c r="BB182" s="10"/>
      <c r="BC182" s="11"/>
      <c r="BD182" s="299"/>
      <c r="BE182" s="299"/>
    </row>
    <row r="183" spans="29:57" ht="18" customHeight="1" x14ac:dyDescent="0.2">
      <c r="AC183" s="7"/>
      <c r="AG183" s="300"/>
      <c r="AH183" s="300"/>
      <c r="AI183" s="300"/>
      <c r="AJ183" s="300"/>
      <c r="AK183" s="300"/>
      <c r="AL183" s="300"/>
      <c r="AM183" s="135"/>
      <c r="AN183" s="300"/>
      <c r="AO183" s="300"/>
      <c r="AP183" s="241"/>
      <c r="AQ183" s="300"/>
      <c r="AR183" s="300"/>
      <c r="AS183" s="241"/>
      <c r="AT183" s="300"/>
      <c r="AU183" s="300"/>
      <c r="AV183" s="241"/>
      <c r="AW183" s="300"/>
      <c r="AX183" s="300"/>
      <c r="AY183" s="241"/>
      <c r="AZ183" s="300"/>
      <c r="BA183" s="300"/>
      <c r="BB183" s="300"/>
      <c r="BC183" s="241"/>
      <c r="BD183" s="98"/>
      <c r="BE183" s="98"/>
    </row>
    <row r="184" spans="29:57" ht="18" customHeight="1" x14ac:dyDescent="0.2">
      <c r="AC184" s="212"/>
      <c r="AD184" s="15"/>
      <c r="AE184" s="23"/>
      <c r="AF184" s="16"/>
      <c r="AG184" s="15"/>
      <c r="AH184" s="15"/>
      <c r="AI184" s="15"/>
      <c r="AJ184" s="15"/>
      <c r="AK184" s="15"/>
      <c r="AL184" s="22"/>
      <c r="AM184" s="213"/>
      <c r="AN184" s="23"/>
      <c r="AO184" s="23"/>
      <c r="AP184" s="7"/>
      <c r="AQ184" s="15"/>
      <c r="AR184" s="15"/>
      <c r="AS184" s="7"/>
      <c r="AT184" s="15"/>
      <c r="AU184" s="15"/>
      <c r="AV184" s="7"/>
      <c r="AW184" s="15"/>
      <c r="AX184" s="15"/>
      <c r="AY184" s="214"/>
      <c r="AZ184" s="215"/>
      <c r="BA184" s="10"/>
      <c r="BB184" s="7"/>
      <c r="BC184" s="7"/>
      <c r="BD184" s="7"/>
      <c r="BE184" s="7"/>
    </row>
    <row r="185" spans="29:57" ht="18" customHeight="1" x14ac:dyDescent="0.2">
      <c r="AC185" s="214"/>
      <c r="AM185" s="135"/>
      <c r="AP185" s="11"/>
      <c r="AS185" s="11"/>
      <c r="AV185" s="11"/>
      <c r="AY185" s="11"/>
      <c r="AZ185" s="10"/>
      <c r="BA185" s="10"/>
      <c r="BB185" s="10"/>
      <c r="BC185" s="11"/>
      <c r="BD185" s="299"/>
      <c r="BE185" s="299"/>
    </row>
    <row r="186" spans="29:57" ht="18" customHeight="1" x14ac:dyDescent="0.2">
      <c r="AC186" s="214"/>
      <c r="AM186" s="135"/>
      <c r="AP186" s="11"/>
      <c r="AS186" s="11"/>
      <c r="AV186" s="11"/>
      <c r="AY186" s="11"/>
      <c r="AZ186" s="10"/>
      <c r="BA186" s="10"/>
      <c r="BB186" s="10"/>
      <c r="BC186" s="11"/>
      <c r="BD186" s="299"/>
      <c r="BE186" s="299"/>
    </row>
    <row r="187" spans="29:57" ht="18" customHeight="1" x14ac:dyDescent="0.2">
      <c r="AC187" s="214"/>
      <c r="AM187" s="135"/>
      <c r="AP187" s="11"/>
      <c r="AS187" s="11"/>
      <c r="AV187" s="11"/>
      <c r="AY187" s="11"/>
      <c r="AZ187" s="10"/>
      <c r="BA187" s="10"/>
      <c r="BB187" s="10"/>
      <c r="BC187" s="11"/>
      <c r="BD187" s="299"/>
      <c r="BE187" s="299"/>
    </row>
    <row r="188" spans="29:57" ht="18" customHeight="1" x14ac:dyDescent="0.2">
      <c r="AC188" s="7"/>
      <c r="AG188" s="300"/>
      <c r="AH188" s="300"/>
      <c r="AI188" s="300"/>
      <c r="AJ188" s="300"/>
      <c r="AK188" s="300"/>
      <c r="AL188" s="300"/>
      <c r="AM188" s="135"/>
      <c r="AN188" s="300"/>
      <c r="AO188" s="300"/>
      <c r="AP188" s="241"/>
      <c r="AQ188" s="300"/>
      <c r="AR188" s="300"/>
      <c r="AS188" s="241"/>
      <c r="AT188" s="300"/>
      <c r="AU188" s="300"/>
      <c r="AV188" s="241"/>
      <c r="AW188" s="300"/>
      <c r="AX188" s="300"/>
      <c r="AY188" s="241"/>
      <c r="AZ188" s="300"/>
      <c r="BA188" s="300"/>
      <c r="BB188" s="300"/>
      <c r="BC188" s="241"/>
      <c r="BD188" s="98"/>
      <c r="BE188" s="98"/>
    </row>
    <row r="189" spans="29:57" ht="18" customHeight="1" x14ac:dyDescent="0.2">
      <c r="AC189" s="212"/>
      <c r="AD189" s="15"/>
      <c r="AE189" s="23"/>
      <c r="AF189" s="16"/>
      <c r="AG189" s="15"/>
      <c r="AH189" s="15"/>
      <c r="AI189" s="15"/>
      <c r="AJ189" s="15"/>
      <c r="AK189" s="15"/>
      <c r="AL189" s="22"/>
      <c r="AM189" s="213"/>
      <c r="AN189" s="23"/>
      <c r="AO189" s="23"/>
      <c r="AP189" s="7"/>
      <c r="AQ189" s="15"/>
      <c r="AR189" s="15"/>
      <c r="AS189" s="7"/>
      <c r="AT189" s="15"/>
      <c r="AU189" s="15"/>
      <c r="AV189" s="7"/>
      <c r="AW189" s="15"/>
      <c r="AX189" s="15"/>
      <c r="AY189" s="214"/>
      <c r="AZ189" s="215"/>
      <c r="BA189" s="10"/>
      <c r="BB189" s="7"/>
      <c r="BC189" s="7"/>
      <c r="BD189" s="7"/>
      <c r="BE189" s="7"/>
    </row>
    <row r="190" spans="29:57" ht="18" customHeight="1" x14ac:dyDescent="0.2">
      <c r="AC190" s="214"/>
      <c r="AM190" s="135"/>
      <c r="AP190" s="11"/>
      <c r="AS190" s="11"/>
      <c r="AV190" s="11"/>
      <c r="AY190" s="11"/>
      <c r="AZ190" s="10"/>
      <c r="BA190" s="10"/>
      <c r="BB190" s="10"/>
      <c r="BC190" s="11"/>
      <c r="BD190" s="299"/>
      <c r="BE190" s="299"/>
    </row>
    <row r="191" spans="29:57" ht="18" customHeight="1" x14ac:dyDescent="0.2">
      <c r="AC191" s="214"/>
      <c r="AM191" s="135"/>
      <c r="AP191" s="11"/>
      <c r="AS191" s="11"/>
      <c r="AV191" s="11"/>
      <c r="AY191" s="11"/>
      <c r="AZ191" s="10"/>
      <c r="BA191" s="10"/>
      <c r="BB191" s="10"/>
      <c r="BC191" s="11"/>
      <c r="BD191" s="299"/>
      <c r="BE191" s="299"/>
    </row>
    <row r="192" spans="29:57" ht="18" customHeight="1" x14ac:dyDescent="0.2">
      <c r="AC192" s="214"/>
      <c r="AM192" s="135"/>
      <c r="AP192" s="11"/>
      <c r="AS192" s="11"/>
      <c r="AV192" s="11"/>
      <c r="AY192" s="11"/>
      <c r="AZ192" s="10"/>
      <c r="BA192" s="10"/>
      <c r="BB192" s="10"/>
      <c r="BC192" s="11"/>
      <c r="BD192" s="299"/>
      <c r="BE192" s="299"/>
    </row>
    <row r="193" spans="29:57" ht="18" customHeight="1" x14ac:dyDescent="0.2">
      <c r="AC193" s="7"/>
      <c r="AG193" s="300"/>
      <c r="AH193" s="300"/>
      <c r="AI193" s="300"/>
      <c r="AJ193" s="300"/>
      <c r="AK193" s="300"/>
      <c r="AL193" s="300"/>
      <c r="AM193" s="135"/>
      <c r="AN193" s="300"/>
      <c r="AO193" s="300"/>
      <c r="AP193" s="241"/>
      <c r="AQ193" s="300"/>
      <c r="AR193" s="300"/>
      <c r="AS193" s="241"/>
      <c r="AT193" s="300"/>
      <c r="AU193" s="300"/>
      <c r="AV193" s="241"/>
      <c r="AW193" s="300"/>
      <c r="AX193" s="300"/>
      <c r="AY193" s="241"/>
      <c r="AZ193" s="300"/>
      <c r="BA193" s="300"/>
      <c r="BB193" s="300"/>
      <c r="BC193" s="241"/>
      <c r="BD193" s="98"/>
      <c r="BE193" s="98"/>
    </row>
    <row r="194" spans="29:57" ht="18" customHeight="1" x14ac:dyDescent="0.2">
      <c r="AC194" s="212"/>
      <c r="AD194" s="15"/>
      <c r="AE194" s="23"/>
      <c r="AF194" s="16"/>
      <c r="AG194" s="15"/>
      <c r="AH194" s="15"/>
      <c r="AI194" s="15"/>
      <c r="AJ194" s="15"/>
      <c r="AK194" s="15"/>
      <c r="AL194" s="22"/>
      <c r="AM194" s="213"/>
      <c r="AN194" s="23"/>
      <c r="AO194" s="23"/>
      <c r="AP194" s="7"/>
      <c r="AQ194" s="15"/>
      <c r="AR194" s="15"/>
      <c r="AS194" s="7"/>
      <c r="AT194" s="15"/>
      <c r="AU194" s="15"/>
      <c r="AV194" s="7"/>
      <c r="AW194" s="15"/>
      <c r="AX194" s="15"/>
      <c r="AY194" s="214"/>
      <c r="AZ194" s="215"/>
      <c r="BA194" s="10"/>
      <c r="BB194" s="7"/>
      <c r="BC194" s="7"/>
      <c r="BD194" s="7"/>
      <c r="BE194" s="7"/>
    </row>
    <row r="195" spans="29:57" ht="18" customHeight="1" x14ac:dyDescent="0.2">
      <c r="AC195" s="214"/>
      <c r="AM195" s="135"/>
      <c r="AP195" s="11"/>
      <c r="AS195" s="11"/>
      <c r="AV195" s="11"/>
      <c r="AY195" s="11"/>
      <c r="AZ195" s="10"/>
      <c r="BA195" s="10"/>
      <c r="BB195" s="10"/>
      <c r="BC195" s="11"/>
      <c r="BD195" s="299"/>
      <c r="BE195" s="299"/>
    </row>
    <row r="196" spans="29:57" ht="18" customHeight="1" x14ac:dyDescent="0.2">
      <c r="AC196" s="214"/>
      <c r="AM196" s="135"/>
      <c r="AP196" s="11"/>
      <c r="AS196" s="11"/>
      <c r="AV196" s="11"/>
      <c r="AY196" s="11"/>
      <c r="AZ196" s="10"/>
      <c r="BA196" s="10"/>
      <c r="BB196" s="10"/>
      <c r="BC196" s="11"/>
      <c r="BD196" s="299"/>
      <c r="BE196" s="299"/>
    </row>
    <row r="197" spans="29:57" ht="18" customHeight="1" x14ac:dyDescent="0.2">
      <c r="AC197" s="214"/>
      <c r="AM197" s="135"/>
      <c r="AP197" s="11"/>
      <c r="AS197" s="11"/>
      <c r="AV197" s="11"/>
      <c r="AY197" s="11"/>
      <c r="AZ197" s="10"/>
      <c r="BA197" s="10"/>
      <c r="BB197" s="10"/>
      <c r="BC197" s="11"/>
      <c r="BD197" s="299"/>
      <c r="BE197" s="299"/>
    </row>
    <row r="198" spans="29:57" ht="18" customHeight="1" x14ac:dyDescent="0.2">
      <c r="AC198" s="7"/>
      <c r="AG198" s="300"/>
      <c r="AH198" s="300"/>
      <c r="AI198" s="300"/>
      <c r="AJ198" s="300"/>
      <c r="AK198" s="300"/>
      <c r="AL198" s="300"/>
      <c r="AM198" s="135"/>
      <c r="AN198" s="300"/>
      <c r="AO198" s="300"/>
      <c r="AP198" s="241"/>
      <c r="AQ198" s="300"/>
      <c r="AR198" s="300"/>
      <c r="AS198" s="241"/>
      <c r="AT198" s="300"/>
      <c r="AU198" s="300"/>
      <c r="AV198" s="241"/>
      <c r="AW198" s="300"/>
      <c r="AX198" s="300"/>
      <c r="AY198" s="241"/>
      <c r="AZ198" s="300"/>
      <c r="BA198" s="300"/>
      <c r="BB198" s="300"/>
      <c r="BC198" s="241"/>
      <c r="BD198" s="98"/>
      <c r="BE198" s="98"/>
    </row>
    <row r="199" spans="29:57" ht="18" customHeight="1" x14ac:dyDescent="0.2">
      <c r="AC199" s="212"/>
      <c r="AD199" s="15"/>
      <c r="AE199" s="23"/>
      <c r="AF199" s="16"/>
      <c r="AG199" s="15"/>
      <c r="AH199" s="15"/>
      <c r="AI199" s="15"/>
      <c r="AJ199" s="15"/>
      <c r="AK199" s="15"/>
      <c r="AL199" s="22"/>
      <c r="AM199" s="213"/>
      <c r="AN199" s="23"/>
      <c r="AO199" s="23"/>
      <c r="AP199" s="7"/>
      <c r="AQ199" s="15"/>
      <c r="AR199" s="15"/>
      <c r="AS199" s="7"/>
      <c r="AT199" s="15"/>
      <c r="AU199" s="15"/>
      <c r="AV199" s="7"/>
      <c r="AW199" s="15"/>
      <c r="AX199" s="15"/>
      <c r="AY199" s="214"/>
      <c r="AZ199" s="215"/>
      <c r="BA199" s="10"/>
      <c r="BB199" s="7"/>
      <c r="BC199" s="7"/>
      <c r="BD199" s="7"/>
      <c r="BE199" s="7"/>
    </row>
    <row r="200" spans="29:57" ht="18" customHeight="1" x14ac:dyDescent="0.2">
      <c r="AC200" s="214"/>
      <c r="AM200" s="135"/>
      <c r="AP200" s="11"/>
      <c r="AS200" s="11"/>
      <c r="AV200" s="11"/>
      <c r="AY200" s="11"/>
      <c r="AZ200" s="10"/>
      <c r="BA200" s="10"/>
      <c r="BB200" s="10"/>
      <c r="BC200" s="11"/>
      <c r="BD200" s="299"/>
      <c r="BE200" s="299"/>
    </row>
    <row r="201" spans="29:57" ht="18" customHeight="1" x14ac:dyDescent="0.2">
      <c r="AC201" s="214"/>
      <c r="AM201" s="135"/>
      <c r="AP201" s="11"/>
      <c r="AS201" s="11"/>
      <c r="AV201" s="11"/>
      <c r="AY201" s="11"/>
      <c r="AZ201" s="10"/>
      <c r="BA201" s="10"/>
      <c r="BB201" s="10"/>
      <c r="BC201" s="11"/>
      <c r="BD201" s="299"/>
      <c r="BE201" s="299"/>
    </row>
    <row r="202" spans="29:57" ht="18" customHeight="1" x14ac:dyDescent="0.2">
      <c r="AC202" s="214"/>
      <c r="AM202" s="135"/>
      <c r="AP202" s="11"/>
      <c r="AS202" s="11"/>
      <c r="AV202" s="11"/>
      <c r="AY202" s="11"/>
      <c r="AZ202" s="10"/>
      <c r="BA202" s="10"/>
      <c r="BB202" s="10"/>
      <c r="BC202" s="11"/>
      <c r="BD202" s="299"/>
      <c r="BE202" s="299"/>
    </row>
    <row r="203" spans="29:57" ht="18" customHeight="1" x14ac:dyDescent="0.2">
      <c r="AC203" s="7"/>
      <c r="AG203" s="300"/>
      <c r="AH203" s="300"/>
      <c r="AI203" s="300"/>
      <c r="AJ203" s="300"/>
      <c r="AK203" s="300"/>
      <c r="AL203" s="300"/>
      <c r="AM203" s="135"/>
      <c r="AN203" s="300"/>
      <c r="AO203" s="300"/>
      <c r="AP203" s="241"/>
      <c r="AQ203" s="300"/>
      <c r="AR203" s="300"/>
      <c r="AS203" s="241"/>
      <c r="AT203" s="300"/>
      <c r="AU203" s="300"/>
      <c r="AV203" s="241"/>
      <c r="AW203" s="300"/>
      <c r="AX203" s="300"/>
      <c r="AY203" s="241"/>
      <c r="AZ203" s="300"/>
      <c r="BA203" s="300"/>
      <c r="BB203" s="300"/>
      <c r="BC203" s="241"/>
      <c r="BD203" s="98"/>
      <c r="BE203" s="98"/>
    </row>
    <row r="204" spans="29:57" ht="18" customHeight="1" x14ac:dyDescent="0.2">
      <c r="AC204" s="212"/>
      <c r="AD204" s="15"/>
      <c r="AE204" s="23"/>
      <c r="AF204" s="16"/>
      <c r="AG204" s="15"/>
      <c r="AH204" s="15"/>
      <c r="AI204" s="15"/>
      <c r="AJ204" s="15"/>
      <c r="AK204" s="15"/>
      <c r="AL204" s="22"/>
      <c r="AM204" s="213"/>
      <c r="AN204" s="23"/>
      <c r="AO204" s="23"/>
      <c r="AP204" s="7"/>
      <c r="AQ204" s="15"/>
      <c r="AR204" s="15"/>
      <c r="AS204" s="7"/>
      <c r="AT204" s="15"/>
      <c r="AU204" s="15"/>
      <c r="AV204" s="7"/>
      <c r="AW204" s="15"/>
      <c r="AX204" s="15"/>
      <c r="AY204" s="214"/>
      <c r="AZ204" s="215"/>
      <c r="BA204" s="10"/>
      <c r="BB204" s="7"/>
      <c r="BC204" s="7"/>
      <c r="BD204" s="7"/>
      <c r="BE204" s="7"/>
    </row>
    <row r="205" spans="29:57" ht="18" customHeight="1" x14ac:dyDescent="0.2">
      <c r="AC205" s="214"/>
      <c r="AM205" s="135"/>
      <c r="AP205" s="11"/>
      <c r="AS205" s="11"/>
      <c r="AV205" s="11"/>
      <c r="AY205" s="11"/>
      <c r="AZ205" s="10"/>
      <c r="BA205" s="10"/>
      <c r="BB205" s="10"/>
      <c r="BC205" s="11"/>
      <c r="BD205" s="299"/>
      <c r="BE205" s="299"/>
    </row>
    <row r="206" spans="29:57" ht="18" customHeight="1" x14ac:dyDescent="0.2">
      <c r="AC206" s="214"/>
      <c r="AM206" s="135"/>
      <c r="AP206" s="11"/>
      <c r="AS206" s="11"/>
      <c r="AV206" s="11"/>
      <c r="AY206" s="11"/>
      <c r="AZ206" s="10"/>
      <c r="BA206" s="10"/>
      <c r="BB206" s="10"/>
      <c r="BC206" s="11"/>
      <c r="BD206" s="299"/>
      <c r="BE206" s="299"/>
    </row>
    <row r="207" spans="29:57" ht="18" customHeight="1" x14ac:dyDescent="0.2">
      <c r="AC207" s="214"/>
      <c r="AM207" s="135"/>
      <c r="AP207" s="11"/>
      <c r="AS207" s="11"/>
      <c r="AV207" s="11"/>
      <c r="AY207" s="11"/>
      <c r="AZ207" s="10"/>
      <c r="BA207" s="10"/>
      <c r="BB207" s="10"/>
      <c r="BC207" s="11"/>
      <c r="BD207" s="299"/>
      <c r="BE207" s="299"/>
    </row>
    <row r="208" spans="29:57" ht="18" customHeight="1" x14ac:dyDescent="0.2">
      <c r="AC208" s="7"/>
      <c r="AG208" s="300"/>
      <c r="AH208" s="300"/>
      <c r="AI208" s="300"/>
      <c r="AJ208" s="300"/>
      <c r="AK208" s="300"/>
      <c r="AL208" s="300"/>
      <c r="AM208" s="135"/>
      <c r="AN208" s="300"/>
      <c r="AO208" s="300"/>
      <c r="AP208" s="241"/>
      <c r="AQ208" s="300"/>
      <c r="AR208" s="300"/>
      <c r="AS208" s="241"/>
      <c r="AT208" s="300"/>
      <c r="AU208" s="300"/>
      <c r="AV208" s="241"/>
      <c r="AW208" s="300"/>
      <c r="AX208" s="300"/>
      <c r="AY208" s="241"/>
      <c r="AZ208" s="300"/>
      <c r="BA208" s="300"/>
      <c r="BB208" s="300"/>
      <c r="BC208" s="241"/>
      <c r="BD208" s="98"/>
      <c r="BE208" s="98"/>
    </row>
    <row r="209" spans="29:57" ht="18" customHeight="1" x14ac:dyDescent="0.2">
      <c r="AC209" s="212"/>
      <c r="AD209" s="15"/>
      <c r="AE209" s="23"/>
      <c r="AF209" s="16"/>
      <c r="AG209" s="15"/>
      <c r="AH209" s="15"/>
      <c r="AI209" s="15"/>
      <c r="AJ209" s="15"/>
      <c r="AK209" s="15"/>
      <c r="AL209" s="22"/>
      <c r="AM209" s="213"/>
      <c r="AN209" s="23"/>
      <c r="AO209" s="23"/>
      <c r="AP209" s="7"/>
      <c r="AQ209" s="15"/>
      <c r="AR209" s="15"/>
      <c r="AS209" s="7"/>
      <c r="AT209" s="15"/>
      <c r="AU209" s="15"/>
      <c r="AV209" s="7"/>
      <c r="AW209" s="15"/>
      <c r="AX209" s="15"/>
      <c r="AY209" s="214"/>
      <c r="AZ209" s="215"/>
      <c r="BA209" s="10"/>
      <c r="BB209" s="7"/>
      <c r="BC209" s="7"/>
      <c r="BD209" s="7"/>
      <c r="BE209" s="7"/>
    </row>
    <row r="210" spans="29:57" ht="18" customHeight="1" x14ac:dyDescent="0.2">
      <c r="AC210" s="214"/>
      <c r="AM210" s="135"/>
      <c r="AP210" s="11"/>
      <c r="AS210" s="11"/>
      <c r="AV210" s="11"/>
      <c r="AY210" s="11"/>
      <c r="AZ210" s="10"/>
      <c r="BA210" s="10"/>
      <c r="BB210" s="10"/>
      <c r="BC210" s="11"/>
      <c r="BD210" s="299"/>
      <c r="BE210" s="299"/>
    </row>
    <row r="211" spans="29:57" ht="18" customHeight="1" x14ac:dyDescent="0.2">
      <c r="AC211" s="214"/>
      <c r="AM211" s="135"/>
      <c r="AP211" s="11"/>
      <c r="AS211" s="11"/>
      <c r="AV211" s="11"/>
      <c r="AY211" s="11"/>
      <c r="AZ211" s="10"/>
      <c r="BA211" s="10"/>
      <c r="BB211" s="10"/>
      <c r="BC211" s="11"/>
      <c r="BD211" s="299"/>
      <c r="BE211" s="299"/>
    </row>
    <row r="212" spans="29:57" ht="18" customHeight="1" x14ac:dyDescent="0.2">
      <c r="AC212" s="214"/>
      <c r="AM212" s="135"/>
      <c r="AP212" s="11"/>
      <c r="AS212" s="11"/>
      <c r="AV212" s="11"/>
      <c r="AY212" s="11"/>
      <c r="AZ212" s="10"/>
      <c r="BA212" s="10"/>
      <c r="BB212" s="10"/>
      <c r="BC212" s="11"/>
      <c r="BD212" s="299"/>
      <c r="BE212" s="299"/>
    </row>
    <row r="213" spans="29:57" ht="18" customHeight="1" x14ac:dyDescent="0.2">
      <c r="AC213" s="7"/>
      <c r="AG213" s="300"/>
      <c r="AH213" s="300"/>
      <c r="AI213" s="300"/>
      <c r="AJ213" s="300"/>
      <c r="AK213" s="300"/>
      <c r="AL213" s="300"/>
      <c r="AM213" s="135"/>
      <c r="AN213" s="300"/>
      <c r="AO213" s="300"/>
      <c r="AP213" s="241"/>
      <c r="AQ213" s="300"/>
      <c r="AR213" s="300"/>
      <c r="AS213" s="241"/>
      <c r="AT213" s="300"/>
      <c r="AU213" s="300"/>
      <c r="AV213" s="241"/>
      <c r="AW213" s="300"/>
      <c r="AX213" s="300"/>
      <c r="AY213" s="241"/>
      <c r="AZ213" s="300"/>
      <c r="BA213" s="300"/>
      <c r="BB213" s="300"/>
      <c r="BC213" s="241"/>
      <c r="BD213" s="98"/>
      <c r="BE213" s="98"/>
    </row>
  </sheetData>
  <protectedRanges>
    <protectedRange sqref="D3:D6" name="Range1_1_1_2"/>
    <protectedRange sqref="B3:C6" name="Range1_1_2_1"/>
    <protectedRange sqref="D7:D22" name="Range1_2_1"/>
    <protectedRange sqref="B7:C22" name="Range1_1_1_1_1"/>
    <protectedRange sqref="E9:K17 E20:K22 G18:K19" name="Range1_2_3_1"/>
    <protectedRange sqref="E3:K6 F7:K7" name="Range1_4_1"/>
    <protectedRange sqref="AD4:AL6 AD9:AL11 AD14:AL16 AD19:AL21 AD24:AL26 AD29:AL31 AD34:AL36 AD39:AL41 AD44:AL46 AD49:AL51 AD54:AL56 AD59:AL61 AD64:AL66 AD69:AL71 AD79:AL81 AD84:AL86 AD89:AL91 AD99:AL101 AD74:AL76 AD94:AL96 AD110:AL112 AD115:AL117 AD120:AL122 AD125:AL127 AD130:AL132 AD135:AL137 AD140:AL142 AD145:AL147 AD150:AL152 AD155:AL157 AD160:AL162 AD165:AL167 AD170:AL172 AD175:AL177 AD180:AL182 AD185:AL187 AD190:AL192 AD195:AL197 AD200:AL202 AD205:AL207 AD210:AL212 AD104:AL106" name="Range2_12_3_1"/>
    <protectedRange sqref="AN4:AO6 AN9:AO11 AN14:AO16 AN19:AO21 AN24:AO26 AN29:AO31 AN34:AO36 AN39:AO41 AN44:AO46 AN49:AO51 AN54:AO56 AN59:AO61 AN64:AO66 AN69:AO71 AN74:AO76 AN79:AO81 AN84:AO86 AN89:AO91 AN94:AO96 AN99:AO101 AN110:AO112 AN115:AO117 AN120:AO122 AN125:AO127 AN130:AO132 AN135:AO137 AN140:AO142 AN145:AO147 AN150:AO152 AN155:AO157 AN160:AO162 AN165:AO167 AN170:AO172 AN175:AO177 AN180:AO182 AN185:AO187 AN190:AO192 AN195:AO197 AN200:AO202 AN205:AO207 AN210:AO212 AN104:AO106" name="Range3_12_3_1"/>
    <protectedRange sqref="AQ4:AR6 AQ9:AR11 AQ14:AR16 AQ19:AR21 AQ24:AR26 AQ29:AR31 AQ34:AR36 AQ39:AR41 AQ44:AR46 AQ49:AR51 AQ54:AR56 AQ59:AR61 AQ64:AR66 AQ69:AR71 AQ74:AR76 AQ79:AR81 AQ84:AR86 AQ89:AR91 AQ94:AR96 AQ99:AR101 AQ110:AR112 AQ115:AR117 AQ120:AR122 AQ125:AR127 AQ130:AR132 AQ135:AR137 AQ140:AR142 AQ145:AR147 AQ150:AR152 AQ155:AR157 AQ160:AR162 AQ165:AR167 AQ170:AR172 AQ175:AR177 AQ180:AR182 AQ185:AR187 AQ190:AR192 AQ195:AR197 AQ200:AR202 AQ205:AR207 AQ210:AR212 AQ104:AR106" name="Range4_12_3_1"/>
    <protectedRange sqref="AT4:AU6 AT9:AU11 AT14:AU16 AT19:AU21 AT24:AU26 AT29:AU31 AT34:AU36 AT39:AU41 AT44:AU46 AT49:AU51 AT54:AU56 AT59:AU61 AT64:AU66 AT69:AU71 AT74:AU76 AT79:AU81 AT84:AU86 AT89:AU91 AT94:AU96 AT99:AU101 AT110:AU112 AT115:AU117 AT120:AU122 AT125:AU127 AT130:AU132 AT135:AU137 AT140:AU142 AT145:AU147 AT150:AU152 AT155:AU157 AT160:AU162 AT165:AU167 AT170:AU172 AT175:AU177 AT180:AU182 AT185:AU187 AT190:AU192 AT195:AU197 AT200:AU202 AT205:AU207 AT210:AU212 AT104:AU106" name="Range5_12_3_1"/>
    <protectedRange sqref="AW4:AX6 AW9:AX11 AW14:AX16 AW19:AX21 AW24:AX26 AW29:AX31 AW34:AX36 AW39:AX41 AW44:AX46 AW49:AX51 AW54:AX56 AW59:AX61 AW64:AX66 AW69:AX71 AW74:AX76 AW79:AX81 AW84:AX86 AW89:AX91 AW94:AX96 AW99:AX101 AW110:AX112 AW115:AX117 AW120:AX122 AW125:AX127 AW130:AX132 AW135:AX137 AW140:AX142 AW145:AX147 AW150:AX152 AW155:AX157 AW160:AX162 AW165:AX167 AW170:AX172 AW175:AX177 AW180:AX182 AW185:AX187 AW190:AX192 AW195:AX197 AW200:AX202 AW205:AX207 AW210:AX212 AW104:AX106" name="Range6_12_3_1"/>
    <protectedRange sqref="E7:E8" name="Range1_4_1_1"/>
    <protectedRange sqref="H8" name="Range1_4_1_2"/>
    <protectedRange sqref="E18:E19" name="Range1_2_3_1_1"/>
    <protectedRange sqref="F18:F19" name="Range1_2_3_1_3"/>
  </protectedRanges>
  <pageMargins left="0.75" right="0.75" top="1" bottom="1" header="0.5" footer="0.5"/>
  <pageSetup orientation="portrait"/>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BH102"/>
  <sheetViews>
    <sheetView zoomScale="85" zoomScaleNormal="85" workbookViewId="0">
      <pane xSplit="2" ySplit="1" topLeftCell="F2" activePane="bottomRight" state="frozen"/>
      <selection pane="topRight" activeCell="C1" sqref="C1"/>
      <selection pane="bottomLeft" activeCell="A3" sqref="A3"/>
      <selection pane="bottomRight" activeCell="X6" sqref="X6:X11"/>
    </sheetView>
  </sheetViews>
  <sheetFormatPr defaultColWidth="5.42578125" defaultRowHeight="18" customHeight="1" x14ac:dyDescent="0.2"/>
  <cols>
    <col min="1" max="1" width="4.85546875" style="24" bestFit="1" customWidth="1"/>
    <col min="2" max="3" width="8.7109375" style="105" bestFit="1" customWidth="1"/>
    <col min="4" max="4" width="4.140625" style="113" bestFit="1" customWidth="1"/>
    <col min="5" max="5" width="4.140625" style="113" customWidth="1"/>
    <col min="6" max="6" width="5.85546875" style="19" bestFit="1" customWidth="1"/>
    <col min="7" max="7" width="5.85546875" style="114" bestFit="1" customWidth="1"/>
    <col min="8" max="8" width="4.28515625" style="114" bestFit="1" customWidth="1"/>
    <col min="9" max="9" width="20.7109375" style="114" customWidth="1"/>
    <col min="10" max="10" width="13.42578125" style="113" customWidth="1"/>
    <col min="11" max="11" width="8.5703125" style="113" bestFit="1" customWidth="1"/>
    <col min="12" max="12" width="4.28515625" style="113" bestFit="1" customWidth="1"/>
    <col min="13" max="13" width="7.28515625" style="26" bestFit="1" customWidth="1"/>
    <col min="14" max="14" width="4.140625" style="19" bestFit="1" customWidth="1"/>
    <col min="15" max="15" width="7.28515625" style="15" bestFit="1" customWidth="1"/>
    <col min="16" max="16" width="4.140625" style="19" bestFit="1" customWidth="1"/>
    <col min="17" max="17" width="7.28515625" style="15" bestFit="1" customWidth="1"/>
    <col min="18" max="18" width="4.140625" style="19" bestFit="1" customWidth="1"/>
    <col min="19" max="19" width="7.28515625" style="15" bestFit="1" customWidth="1"/>
    <col min="20" max="20" width="4.140625" style="19" bestFit="1" customWidth="1"/>
    <col min="21" max="21" width="7.28515625" style="15" bestFit="1" customWidth="1"/>
    <col min="22" max="23" width="4.140625" style="132" bestFit="1" customWidth="1"/>
    <col min="24" max="24" width="6.85546875" style="132" bestFit="1" customWidth="1"/>
    <col min="25" max="25" width="7.140625" style="15" bestFit="1" customWidth="1"/>
    <col min="26" max="26" width="8.85546875" style="15" bestFit="1" customWidth="1"/>
    <col min="27" max="27" width="8.85546875" style="15" customWidth="1"/>
    <col min="28" max="28" width="7.5703125" style="15" customWidth="1"/>
    <col min="29" max="29" width="12.42578125" style="15" customWidth="1"/>
    <col min="30" max="30" width="8.7109375" style="105" bestFit="1" customWidth="1"/>
    <col min="31" max="31" width="8.42578125" style="105" bestFit="1" customWidth="1"/>
    <col min="32" max="32" width="4.28515625" style="19" bestFit="1" customWidth="1"/>
    <col min="33" max="33" width="4.140625" style="19" customWidth="1"/>
    <col min="34" max="35" width="4.42578125" style="19" bestFit="1" customWidth="1"/>
    <col min="36" max="36" width="4.28515625" style="19" bestFit="1" customWidth="1"/>
    <col min="37" max="38" width="4.140625" style="19" bestFit="1" customWidth="1"/>
    <col min="39" max="39" width="7.28515625" style="136" bestFit="1" customWidth="1"/>
    <col min="40" max="41" width="4.140625" style="19" bestFit="1" customWidth="1"/>
    <col min="42" max="42" width="7.28515625" style="26" bestFit="1" customWidth="1"/>
    <col min="43" max="44" width="4.140625" style="19" bestFit="1" customWidth="1"/>
    <col min="45" max="45" width="7.28515625" style="26" bestFit="1" customWidth="1"/>
    <col min="46" max="47" width="4.140625" style="19" bestFit="1" customWidth="1"/>
    <col min="48" max="48" width="7.28515625" style="26" bestFit="1" customWidth="1"/>
    <col min="49" max="50" width="4.140625" style="19" bestFit="1" customWidth="1"/>
    <col min="51" max="51" width="7.28515625" style="26" bestFit="1" customWidth="1"/>
    <col min="52" max="54" width="4.140625" style="19" bestFit="1" customWidth="1"/>
    <col min="55" max="55" width="7.140625" style="24" bestFit="1" customWidth="1"/>
    <col min="56" max="56" width="9.42578125" style="24" bestFit="1" customWidth="1"/>
    <col min="57" max="57" width="8.85546875" style="15" bestFit="1" customWidth="1"/>
    <col min="58" max="58" width="10.7109375" style="15" bestFit="1" customWidth="1"/>
    <col min="59" max="59" width="90.140625" style="15" bestFit="1" customWidth="1"/>
    <col min="60" max="60" width="8.140625" style="15" bestFit="1" customWidth="1"/>
    <col min="61" max="64" width="5.42578125" style="15" customWidth="1"/>
    <col min="65" max="16384" width="5.42578125" style="15"/>
  </cols>
  <sheetData>
    <row r="1" spans="1:60" ht="26.25" customHeight="1" thickBot="1" x14ac:dyDescent="0.25">
      <c r="A1" s="49" t="s">
        <v>345</v>
      </c>
      <c r="B1" s="106"/>
      <c r="C1" s="106"/>
      <c r="D1" s="109"/>
      <c r="E1" s="109"/>
      <c r="F1" s="109"/>
      <c r="G1" s="109"/>
      <c r="H1" s="109"/>
      <c r="I1" s="109"/>
      <c r="J1" s="109"/>
      <c r="K1" s="109"/>
      <c r="L1" s="109"/>
      <c r="M1" s="48"/>
      <c r="N1" s="109"/>
      <c r="O1" s="48"/>
      <c r="P1" s="109"/>
      <c r="Q1" s="48"/>
      <c r="R1" s="109"/>
      <c r="S1" s="48"/>
      <c r="T1" s="109"/>
      <c r="U1" s="48"/>
      <c r="V1" s="109"/>
      <c r="W1" s="109"/>
      <c r="X1" s="109"/>
      <c r="Y1" s="48"/>
      <c r="Z1" s="48"/>
      <c r="AA1" s="206"/>
      <c r="AB1" s="7"/>
      <c r="AC1" s="7" t="s">
        <v>346</v>
      </c>
      <c r="AD1" s="102"/>
      <c r="AE1" s="102"/>
      <c r="AF1" s="10"/>
      <c r="AG1" s="10"/>
      <c r="AH1" s="10"/>
      <c r="AI1" s="10"/>
      <c r="AJ1" s="10"/>
      <c r="AK1" s="10"/>
      <c r="AL1" s="10"/>
      <c r="AM1" s="135"/>
      <c r="AN1" s="10"/>
      <c r="AO1" s="10"/>
      <c r="AP1" s="11"/>
      <c r="AQ1" s="10"/>
      <c r="AR1" s="10"/>
      <c r="AS1" s="11"/>
      <c r="AT1" s="10"/>
      <c r="AU1" s="10"/>
      <c r="AV1" s="11"/>
      <c r="AW1" s="10"/>
      <c r="AX1" s="10"/>
      <c r="AY1" s="11"/>
      <c r="AZ1" s="10"/>
      <c r="BA1" s="10"/>
      <c r="BB1" s="10"/>
      <c r="BC1" s="98"/>
      <c r="BD1" s="98"/>
    </row>
    <row r="2" spans="1:60" s="20" customFormat="1" ht="153.75" customHeight="1" thickBot="1" x14ac:dyDescent="0.25">
      <c r="A2" s="175" t="s">
        <v>58</v>
      </c>
      <c r="B2" s="176" t="s">
        <v>230</v>
      </c>
      <c r="C2" s="177" t="s">
        <v>231</v>
      </c>
      <c r="D2" s="112" t="s">
        <v>232</v>
      </c>
      <c r="E2" s="150" t="s">
        <v>233</v>
      </c>
      <c r="F2" s="150" t="s">
        <v>234</v>
      </c>
      <c r="G2" s="150" t="s">
        <v>235</v>
      </c>
      <c r="H2" s="150" t="s">
        <v>236</v>
      </c>
      <c r="I2" s="150" t="s">
        <v>237</v>
      </c>
      <c r="J2" s="150" t="s">
        <v>238</v>
      </c>
      <c r="K2" s="112" t="s">
        <v>239</v>
      </c>
      <c r="L2" s="150" t="s">
        <v>240</v>
      </c>
      <c r="M2" s="178" t="s">
        <v>241</v>
      </c>
      <c r="N2" s="179" t="s">
        <v>242</v>
      </c>
      <c r="O2" s="175" t="s">
        <v>243</v>
      </c>
      <c r="P2" s="179" t="s">
        <v>244</v>
      </c>
      <c r="Q2" s="175" t="s">
        <v>245</v>
      </c>
      <c r="R2" s="179" t="s">
        <v>246</v>
      </c>
      <c r="S2" s="175" t="s">
        <v>247</v>
      </c>
      <c r="T2" s="179" t="s">
        <v>248</v>
      </c>
      <c r="U2" s="175" t="s">
        <v>249</v>
      </c>
      <c r="V2" s="150" t="s">
        <v>250</v>
      </c>
      <c r="W2" s="150" t="s">
        <v>251</v>
      </c>
      <c r="X2" s="175" t="s">
        <v>252</v>
      </c>
      <c r="Y2" s="175" t="s">
        <v>253</v>
      </c>
      <c r="Z2" s="175" t="s">
        <v>254</v>
      </c>
      <c r="AA2" s="175" t="s">
        <v>255</v>
      </c>
      <c r="AB2" s="8"/>
      <c r="AC2" s="175" t="s">
        <v>256</v>
      </c>
      <c r="AD2" s="176" t="s">
        <v>230</v>
      </c>
      <c r="AE2" s="177" t="s">
        <v>231</v>
      </c>
      <c r="AF2" s="112" t="s">
        <v>232</v>
      </c>
      <c r="AG2" s="150" t="s">
        <v>233</v>
      </c>
      <c r="AH2" s="150" t="s">
        <v>234</v>
      </c>
      <c r="AI2" s="150" t="s">
        <v>235</v>
      </c>
      <c r="AJ2" s="150" t="s">
        <v>236</v>
      </c>
      <c r="AK2" s="150" t="s">
        <v>237</v>
      </c>
      <c r="AL2" s="150" t="s">
        <v>238</v>
      </c>
      <c r="AM2" s="178" t="s">
        <v>241</v>
      </c>
      <c r="AN2" s="210" t="s">
        <v>257</v>
      </c>
      <c r="AO2" s="210" t="s">
        <v>258</v>
      </c>
      <c r="AP2" s="175" t="s">
        <v>243</v>
      </c>
      <c r="AQ2" s="210" t="s">
        <v>259</v>
      </c>
      <c r="AR2" s="210" t="s">
        <v>260</v>
      </c>
      <c r="AS2" s="175" t="s">
        <v>245</v>
      </c>
      <c r="AT2" s="210" t="s">
        <v>261</v>
      </c>
      <c r="AU2" s="210" t="s">
        <v>262</v>
      </c>
      <c r="AV2" s="175" t="s">
        <v>247</v>
      </c>
      <c r="AW2" s="210" t="s">
        <v>263</v>
      </c>
      <c r="AX2" s="210" t="s">
        <v>264</v>
      </c>
      <c r="AY2" s="175" t="s">
        <v>249</v>
      </c>
      <c r="AZ2" s="211" t="s">
        <v>265</v>
      </c>
      <c r="BA2" s="175" t="s">
        <v>266</v>
      </c>
      <c r="BB2" s="175" t="s">
        <v>251</v>
      </c>
      <c r="BC2" s="175" t="s">
        <v>252</v>
      </c>
      <c r="BD2" s="175" t="s">
        <v>253</v>
      </c>
      <c r="BE2" s="175" t="s">
        <v>254</v>
      </c>
    </row>
    <row r="3" spans="1:60" ht="15" customHeight="1" x14ac:dyDescent="0.2">
      <c r="A3" s="180">
        <v>1</v>
      </c>
      <c r="B3" s="181">
        <v>45983</v>
      </c>
      <c r="C3" s="181">
        <v>45984</v>
      </c>
      <c r="D3" s="182">
        <v>3</v>
      </c>
      <c r="E3" s="183">
        <f t="shared" ref="E3:J3" si="0">AG7</f>
        <v>227</v>
      </c>
      <c r="F3" s="183">
        <f t="shared" si="0"/>
        <v>222</v>
      </c>
      <c r="G3" s="183">
        <f t="shared" si="0"/>
        <v>220</v>
      </c>
      <c r="H3" s="183">
        <f t="shared" si="0"/>
        <v>1</v>
      </c>
      <c r="I3" s="183">
        <f t="shared" si="0"/>
        <v>4</v>
      </c>
      <c r="J3" s="183">
        <f t="shared" si="0"/>
        <v>2</v>
      </c>
      <c r="K3" s="183">
        <f>BA7</f>
        <v>0</v>
      </c>
      <c r="L3" s="184">
        <f>SUM(H3:K3)</f>
        <v>7</v>
      </c>
      <c r="M3" s="185">
        <f>L3/E3</f>
        <v>3.0837004405286344E-2</v>
      </c>
      <c r="N3" s="186">
        <f>AN7+AO7</f>
        <v>34</v>
      </c>
      <c r="O3" s="187">
        <f t="shared" ref="O3:O22" si="1">N3/G3</f>
        <v>0.15454545454545454</v>
      </c>
      <c r="P3" s="186">
        <f>SUM(AQ7:AR7)</f>
        <v>5</v>
      </c>
      <c r="Q3" s="187">
        <f>P3/G3</f>
        <v>2.2727272727272728E-2</v>
      </c>
      <c r="R3" s="186">
        <f>SUM(AT7:AU7)</f>
        <v>2</v>
      </c>
      <c r="S3" s="187">
        <f t="shared" ref="S3:S22" si="2">R3/G3</f>
        <v>9.0909090909090905E-3</v>
      </c>
      <c r="T3" s="186">
        <f>SUM(AW7:AX7)</f>
        <v>1</v>
      </c>
      <c r="U3" s="187">
        <f t="shared" ref="U3:U22" si="3">T3/G3</f>
        <v>4.5454545454545452E-3</v>
      </c>
      <c r="V3" s="184">
        <f>AZ7</f>
        <v>42</v>
      </c>
      <c r="W3" s="184">
        <f>BB7</f>
        <v>42</v>
      </c>
      <c r="X3" s="187">
        <f t="shared" ref="X3:X22" si="4">(W3+1)/(G3+1)</f>
        <v>0.19457013574660634</v>
      </c>
      <c r="Y3" s="188" t="s">
        <v>347</v>
      </c>
      <c r="Z3" s="188" t="s">
        <v>268</v>
      </c>
      <c r="AA3" s="188" t="s">
        <v>269</v>
      </c>
      <c r="AB3" s="21"/>
      <c r="AC3" s="212" t="s">
        <v>270</v>
      </c>
      <c r="AD3" s="15"/>
      <c r="AE3" s="23"/>
      <c r="AF3" s="16"/>
      <c r="AG3" s="15"/>
      <c r="AH3" s="15"/>
      <c r="AI3" s="15"/>
      <c r="AJ3" s="15"/>
      <c r="AK3" s="15"/>
      <c r="AL3" s="22"/>
      <c r="AM3" s="213"/>
      <c r="AN3" s="23"/>
      <c r="AO3" s="23"/>
      <c r="AP3" s="7"/>
      <c r="AQ3" s="15"/>
      <c r="AR3" s="15"/>
      <c r="AS3" s="7"/>
      <c r="AT3" s="15"/>
      <c r="AU3" s="15"/>
      <c r="AV3" s="7"/>
      <c r="AW3" s="15"/>
      <c r="AX3" s="15"/>
      <c r="AY3" s="214"/>
      <c r="AZ3" s="215"/>
      <c r="BA3" s="10"/>
      <c r="BB3" s="7"/>
      <c r="BC3" s="7"/>
      <c r="BD3" s="7"/>
      <c r="BE3" s="7"/>
      <c r="BH3" s="17"/>
    </row>
    <row r="4" spans="1:60" ht="15" customHeight="1" x14ac:dyDescent="0.2">
      <c r="A4" s="189">
        <v>2</v>
      </c>
      <c r="B4" s="190">
        <v>45983</v>
      </c>
      <c r="C4" s="190">
        <v>45984</v>
      </c>
      <c r="D4" s="191">
        <v>3</v>
      </c>
      <c r="E4" s="192">
        <f t="shared" ref="E4:J4" si="5">AG12</f>
        <v>272</v>
      </c>
      <c r="F4" s="192">
        <f t="shared" si="5"/>
        <v>264</v>
      </c>
      <c r="G4" s="192">
        <f t="shared" si="5"/>
        <v>263</v>
      </c>
      <c r="H4" s="192">
        <f t="shared" si="5"/>
        <v>8</v>
      </c>
      <c r="I4" s="192">
        <f t="shared" si="5"/>
        <v>2</v>
      </c>
      <c r="J4" s="192">
        <f t="shared" si="5"/>
        <v>3</v>
      </c>
      <c r="K4" s="192">
        <f>BA12</f>
        <v>0</v>
      </c>
      <c r="L4" s="184">
        <f t="shared" ref="L4:L22" si="6">SUM(H4:K4)</f>
        <v>13</v>
      </c>
      <c r="M4" s="290">
        <f>L4/E4</f>
        <v>4.779411764705882E-2</v>
      </c>
      <c r="N4" s="292">
        <f>AO12+AN12</f>
        <v>50</v>
      </c>
      <c r="O4" s="291">
        <f t="shared" si="1"/>
        <v>0.19011406844106463</v>
      </c>
      <c r="P4" s="184">
        <f>SUM(AQ12:AR12)</f>
        <v>2</v>
      </c>
      <c r="Q4" s="194">
        <f t="shared" ref="Q4:Q22" si="7">P4/G4</f>
        <v>7.6045627376425855E-3</v>
      </c>
      <c r="R4" s="184">
        <f>SUM(AT12:AU12)</f>
        <v>0</v>
      </c>
      <c r="S4" s="194">
        <f t="shared" si="2"/>
        <v>0</v>
      </c>
      <c r="T4" s="184">
        <f>SUM(AW12:AX12)</f>
        <v>0</v>
      </c>
      <c r="U4" s="194">
        <f t="shared" si="3"/>
        <v>0</v>
      </c>
      <c r="V4" s="184">
        <f>AZ12</f>
        <v>52</v>
      </c>
      <c r="W4" s="184">
        <f>BB12</f>
        <v>52</v>
      </c>
      <c r="X4" s="194">
        <f t="shared" si="4"/>
        <v>0.20075757575757575</v>
      </c>
      <c r="Y4" s="195" t="s">
        <v>347</v>
      </c>
      <c r="Z4" s="195" t="s">
        <v>268</v>
      </c>
      <c r="AA4" s="195" t="s">
        <v>269</v>
      </c>
      <c r="AB4" s="21"/>
      <c r="AC4" s="216" t="s">
        <v>271</v>
      </c>
      <c r="AD4" s="217">
        <v>45983</v>
      </c>
      <c r="AE4" s="217">
        <v>45984</v>
      </c>
      <c r="AF4" s="218">
        <v>3</v>
      </c>
      <c r="AG4" s="218">
        <v>227</v>
      </c>
      <c r="AH4" s="219">
        <v>222</v>
      </c>
      <c r="AI4" s="218">
        <v>220</v>
      </c>
      <c r="AJ4" s="218">
        <v>1</v>
      </c>
      <c r="AK4" s="218">
        <v>4</v>
      </c>
      <c r="AL4" s="218">
        <v>2</v>
      </c>
      <c r="AM4" s="220">
        <f>SUM(AJ4:AL4)/AH4</f>
        <v>3.1531531531531529E-2</v>
      </c>
      <c r="AN4" s="218">
        <v>34</v>
      </c>
      <c r="AO4" s="218">
        <v>0</v>
      </c>
      <c r="AP4" s="221">
        <f>SUM(AN4:AO4)/AI4</f>
        <v>0.15454545454545454</v>
      </c>
      <c r="AQ4" s="218">
        <v>5</v>
      </c>
      <c r="AR4" s="218">
        <v>0</v>
      </c>
      <c r="AS4" s="221">
        <f>(AQ4+AR4)/$AG4</f>
        <v>2.2026431718061675E-2</v>
      </c>
      <c r="AT4" s="218">
        <v>2</v>
      </c>
      <c r="AU4" s="218">
        <v>0</v>
      </c>
      <c r="AV4" s="221">
        <f>(AT4+AU4)/$AG4</f>
        <v>8.8105726872246704E-3</v>
      </c>
      <c r="AW4" s="218">
        <v>1</v>
      </c>
      <c r="AX4" s="218">
        <v>0</v>
      </c>
      <c r="AY4" s="221">
        <f>(AW4+AX4)/$AG4</f>
        <v>4.4052863436123352E-3</v>
      </c>
      <c r="AZ4" s="222">
        <f>SUM(AN4,AQ4,AT4,AW4)</f>
        <v>42</v>
      </c>
      <c r="BA4" s="222">
        <f>SUM(AO4,AR4,AU4,AX4)</f>
        <v>0</v>
      </c>
      <c r="BB4" s="222">
        <f>SUM(AZ4:BA4)</f>
        <v>42</v>
      </c>
      <c r="BC4" s="221">
        <f>(BB4+1)/(AI4+1)</f>
        <v>0.19457013574660634</v>
      </c>
      <c r="BD4" s="223" t="s">
        <v>347</v>
      </c>
      <c r="BE4" s="223" t="s">
        <v>268</v>
      </c>
      <c r="BH4" s="17"/>
    </row>
    <row r="5" spans="1:60" ht="15" customHeight="1" x14ac:dyDescent="0.2">
      <c r="A5" s="189">
        <v>3</v>
      </c>
      <c r="B5" s="190">
        <v>45987</v>
      </c>
      <c r="C5" s="190">
        <v>45988</v>
      </c>
      <c r="D5" s="191">
        <v>1</v>
      </c>
      <c r="E5" s="192">
        <f t="shared" ref="E5:J5" si="8">AG17</f>
        <v>252</v>
      </c>
      <c r="F5" s="192">
        <f t="shared" si="8"/>
        <v>250</v>
      </c>
      <c r="G5" s="192">
        <f t="shared" si="8"/>
        <v>246</v>
      </c>
      <c r="H5" s="192">
        <f t="shared" si="8"/>
        <v>0</v>
      </c>
      <c r="I5" s="192">
        <f t="shared" si="8"/>
        <v>0</v>
      </c>
      <c r="J5" s="192">
        <f t="shared" si="8"/>
        <v>0</v>
      </c>
      <c r="K5" s="192">
        <f>BA17</f>
        <v>2</v>
      </c>
      <c r="L5" s="184">
        <f t="shared" si="6"/>
        <v>2</v>
      </c>
      <c r="M5" s="193">
        <f>L5/E5</f>
        <v>7.9365079365079361E-3</v>
      </c>
      <c r="N5" s="184">
        <f>AN17+AO17</f>
        <v>29</v>
      </c>
      <c r="O5" s="194">
        <f t="shared" si="1"/>
        <v>0.11788617886178862</v>
      </c>
      <c r="P5" s="184">
        <f>SUM(AQ17:AR17)</f>
        <v>21</v>
      </c>
      <c r="Q5" s="194">
        <f t="shared" si="7"/>
        <v>8.5365853658536592E-2</v>
      </c>
      <c r="R5" s="184">
        <f>SUM(AT17:AU17)</f>
        <v>13</v>
      </c>
      <c r="S5" s="194">
        <f t="shared" si="2"/>
        <v>5.2845528455284556E-2</v>
      </c>
      <c r="T5" s="184">
        <f>SUM(AW17:AX17)</f>
        <v>0</v>
      </c>
      <c r="U5" s="194">
        <f t="shared" si="3"/>
        <v>0</v>
      </c>
      <c r="V5" s="184">
        <f>AZ17</f>
        <v>61</v>
      </c>
      <c r="W5" s="184">
        <f>BB17</f>
        <v>63</v>
      </c>
      <c r="X5" s="194">
        <f t="shared" si="4"/>
        <v>0.25910931174089069</v>
      </c>
      <c r="Y5" s="195" t="s">
        <v>347</v>
      </c>
      <c r="Z5" s="195" t="s">
        <v>268</v>
      </c>
      <c r="AA5" s="195" t="s">
        <v>269</v>
      </c>
      <c r="AB5" s="21"/>
      <c r="AC5" s="224" t="s">
        <v>273</v>
      </c>
      <c r="AD5" s="225"/>
      <c r="AE5" s="225"/>
      <c r="AF5" s="226"/>
      <c r="AG5" s="226"/>
      <c r="AH5" s="227"/>
      <c r="AI5" s="226"/>
      <c r="AJ5" s="226"/>
      <c r="AK5" s="226"/>
      <c r="AL5" s="226"/>
      <c r="AM5" s="228" t="e">
        <f t="shared" ref="AM5:AM6" si="9">SUM(AJ5:AL5)/AH5</f>
        <v>#DIV/0!</v>
      </c>
      <c r="AN5" s="226"/>
      <c r="AO5" s="226"/>
      <c r="AP5" s="229" t="e">
        <f t="shared" ref="AP5:AP6" si="10">SUM(AN5:AO5)/AI5</f>
        <v>#DIV/0!</v>
      </c>
      <c r="AQ5" s="226"/>
      <c r="AR5" s="226"/>
      <c r="AS5" s="229" t="e">
        <f t="shared" ref="AS5:AS6" si="11">(AQ5+AR5)/$AG5</f>
        <v>#DIV/0!</v>
      </c>
      <c r="AT5" s="226"/>
      <c r="AU5" s="226"/>
      <c r="AV5" s="229" t="e">
        <f t="shared" ref="AV5:AV6" si="12">(AT5+AU5)/$AG5</f>
        <v>#DIV/0!</v>
      </c>
      <c r="AW5" s="226"/>
      <c r="AX5" s="226"/>
      <c r="AY5" s="229" t="e">
        <f t="shared" ref="AY5:AY6" si="13">(AW5+AX5)/$AG5</f>
        <v>#DIV/0!</v>
      </c>
      <c r="AZ5" s="230">
        <f t="shared" ref="AZ5:BA6" si="14">SUM(AN5,AQ5,AT5,AW5)</f>
        <v>0</v>
      </c>
      <c r="BA5" s="230">
        <f t="shared" si="14"/>
        <v>0</v>
      </c>
      <c r="BB5" s="230">
        <f t="shared" ref="BB5:BB6" si="15">SUM(AZ5:BA5)</f>
        <v>0</v>
      </c>
      <c r="BC5" s="229">
        <f t="shared" ref="BC5:BC6" si="16">(BB5+1)/(AI5+1)</f>
        <v>1</v>
      </c>
      <c r="BD5" s="231"/>
      <c r="BE5" s="231"/>
      <c r="BH5" s="17"/>
    </row>
    <row r="6" spans="1:60" ht="15" customHeight="1" x14ac:dyDescent="0.2">
      <c r="A6" s="189">
        <v>4</v>
      </c>
      <c r="B6" s="190">
        <v>45987</v>
      </c>
      <c r="C6" s="190">
        <v>45988</v>
      </c>
      <c r="D6" s="191">
        <v>1</v>
      </c>
      <c r="E6" s="192">
        <f t="shared" ref="E6:J6" si="17">AG22</f>
        <v>255</v>
      </c>
      <c r="F6" s="192">
        <f t="shared" si="17"/>
        <v>251</v>
      </c>
      <c r="G6" s="192">
        <f t="shared" si="17"/>
        <v>251</v>
      </c>
      <c r="H6" s="192">
        <f t="shared" si="17"/>
        <v>0</v>
      </c>
      <c r="I6" s="192">
        <f t="shared" si="17"/>
        <v>0</v>
      </c>
      <c r="J6" s="192">
        <f t="shared" si="17"/>
        <v>0</v>
      </c>
      <c r="K6" s="192">
        <f>BA22</f>
        <v>2</v>
      </c>
      <c r="L6" s="184">
        <f t="shared" si="6"/>
        <v>2</v>
      </c>
      <c r="M6" s="193">
        <f>L6/E6</f>
        <v>7.8431372549019607E-3</v>
      </c>
      <c r="N6" s="184">
        <f>AN22+AO22</f>
        <v>25</v>
      </c>
      <c r="O6" s="194">
        <f t="shared" si="1"/>
        <v>9.9601593625498003E-2</v>
      </c>
      <c r="P6" s="184">
        <f>SUM(AQ22:AR22)</f>
        <v>12</v>
      </c>
      <c r="Q6" s="194">
        <f t="shared" si="7"/>
        <v>4.7808764940239043E-2</v>
      </c>
      <c r="R6" s="184">
        <f>SUM(AT22:AU22)</f>
        <v>7</v>
      </c>
      <c r="S6" s="194">
        <f t="shared" si="2"/>
        <v>2.7888446215139442E-2</v>
      </c>
      <c r="T6" s="184">
        <f>SUM(AW22:AX22)</f>
        <v>0</v>
      </c>
      <c r="U6" s="194">
        <f t="shared" si="3"/>
        <v>0</v>
      </c>
      <c r="V6" s="184">
        <f>AZ22</f>
        <v>42</v>
      </c>
      <c r="W6" s="184">
        <f>BB22</f>
        <v>44</v>
      </c>
      <c r="X6" s="194">
        <f t="shared" si="4"/>
        <v>0.17857142857142858</v>
      </c>
      <c r="Y6" s="195" t="s">
        <v>347</v>
      </c>
      <c r="Z6" s="195" t="s">
        <v>268</v>
      </c>
      <c r="AA6" s="195" t="s">
        <v>269</v>
      </c>
      <c r="AB6" s="21"/>
      <c r="AC6" s="232" t="s">
        <v>275</v>
      </c>
      <c r="AD6" s="233"/>
      <c r="AE6" s="233"/>
      <c r="AF6" s="234"/>
      <c r="AG6" s="234"/>
      <c r="AH6" s="235"/>
      <c r="AI6" s="234"/>
      <c r="AJ6" s="234"/>
      <c r="AK6" s="234"/>
      <c r="AL6" s="234"/>
      <c r="AM6" s="236" t="e">
        <f t="shared" si="9"/>
        <v>#DIV/0!</v>
      </c>
      <c r="AN6" s="234"/>
      <c r="AO6" s="234"/>
      <c r="AP6" s="237" t="e">
        <f t="shared" si="10"/>
        <v>#DIV/0!</v>
      </c>
      <c r="AQ6" s="234"/>
      <c r="AR6" s="234"/>
      <c r="AS6" s="237" t="e">
        <f t="shared" si="11"/>
        <v>#DIV/0!</v>
      </c>
      <c r="AT6" s="234"/>
      <c r="AU6" s="234"/>
      <c r="AV6" s="237" t="e">
        <f t="shared" si="12"/>
        <v>#DIV/0!</v>
      </c>
      <c r="AW6" s="234"/>
      <c r="AX6" s="234"/>
      <c r="AY6" s="237" t="e">
        <f t="shared" si="13"/>
        <v>#DIV/0!</v>
      </c>
      <c r="AZ6" s="238">
        <f t="shared" si="14"/>
        <v>0</v>
      </c>
      <c r="BA6" s="238">
        <f t="shared" si="14"/>
        <v>0</v>
      </c>
      <c r="BB6" s="238">
        <f t="shared" si="15"/>
        <v>0</v>
      </c>
      <c r="BC6" s="237">
        <f t="shared" si="16"/>
        <v>1</v>
      </c>
      <c r="BD6" s="239"/>
      <c r="BE6" s="239"/>
      <c r="BH6" s="17"/>
    </row>
    <row r="7" spans="1:60" ht="15" customHeight="1" x14ac:dyDescent="0.2">
      <c r="A7" s="189">
        <v>5</v>
      </c>
      <c r="B7" s="190">
        <v>45997</v>
      </c>
      <c r="C7" s="190">
        <v>45998</v>
      </c>
      <c r="D7" s="196">
        <v>3</v>
      </c>
      <c r="E7" s="192">
        <f t="shared" ref="E7:J7" si="18">AG27</f>
        <v>227</v>
      </c>
      <c r="F7" s="192">
        <f t="shared" si="18"/>
        <v>227</v>
      </c>
      <c r="G7" s="192">
        <f t="shared" si="18"/>
        <v>227</v>
      </c>
      <c r="H7" s="192">
        <f t="shared" si="18"/>
        <v>0</v>
      </c>
      <c r="I7" s="192">
        <f t="shared" si="18"/>
        <v>0</v>
      </c>
      <c r="J7" s="192">
        <f t="shared" si="18"/>
        <v>0</v>
      </c>
      <c r="K7" s="192">
        <f>BA27</f>
        <v>0</v>
      </c>
      <c r="L7" s="184">
        <f t="shared" si="6"/>
        <v>0</v>
      </c>
      <c r="M7" s="193">
        <f t="shared" ref="M7:M22" si="19">L7/E7</f>
        <v>0</v>
      </c>
      <c r="N7" s="184">
        <f>AN27+AO27</f>
        <v>43</v>
      </c>
      <c r="O7" s="194">
        <f t="shared" si="1"/>
        <v>0.1894273127753304</v>
      </c>
      <c r="P7" s="184">
        <f>SUM(AQ27:AR27)</f>
        <v>3</v>
      </c>
      <c r="Q7" s="194">
        <f t="shared" si="7"/>
        <v>1.3215859030837005E-2</v>
      </c>
      <c r="R7" s="184">
        <f>SUM(AT27:AU27)</f>
        <v>0</v>
      </c>
      <c r="S7" s="194">
        <f t="shared" si="2"/>
        <v>0</v>
      </c>
      <c r="T7" s="184">
        <f>SUM(AW27:AX27)</f>
        <v>2</v>
      </c>
      <c r="U7" s="194">
        <f t="shared" si="3"/>
        <v>8.8105726872246704E-3</v>
      </c>
      <c r="V7" s="184">
        <f>AZ27</f>
        <v>48</v>
      </c>
      <c r="W7" s="184">
        <f>BB27</f>
        <v>48</v>
      </c>
      <c r="X7" s="194">
        <f t="shared" si="4"/>
        <v>0.21491228070175439</v>
      </c>
      <c r="Y7" s="195" t="s">
        <v>347</v>
      </c>
      <c r="Z7" s="195" t="s">
        <v>268</v>
      </c>
      <c r="AA7" s="195" t="s">
        <v>269</v>
      </c>
      <c r="AB7" s="21"/>
      <c r="AC7" s="7"/>
      <c r="AG7" s="240">
        <f>SUM(AG4:AG6)</f>
        <v>227</v>
      </c>
      <c r="AH7" s="240">
        <f>SUM(AH4:AH6)</f>
        <v>222</v>
      </c>
      <c r="AI7" s="240">
        <f t="shared" ref="AI7:AL7" si="20">SUM(AI4:AI6)</f>
        <v>220</v>
      </c>
      <c r="AJ7" s="240">
        <f t="shared" si="20"/>
        <v>1</v>
      </c>
      <c r="AK7" s="240">
        <f t="shared" si="20"/>
        <v>4</v>
      </c>
      <c r="AL7" s="240">
        <f t="shared" si="20"/>
        <v>2</v>
      </c>
      <c r="AM7" s="135"/>
      <c r="AN7" s="240">
        <f>SUM(AN4:AN6)</f>
        <v>34</v>
      </c>
      <c r="AO7" s="240">
        <f>SUM(AO4:AO6)</f>
        <v>0</v>
      </c>
      <c r="AP7" s="241"/>
      <c r="AQ7" s="240">
        <f>SUM(AQ4:AQ6)</f>
        <v>5</v>
      </c>
      <c r="AR7" s="240">
        <f>SUM(AR4:AR6)</f>
        <v>0</v>
      </c>
      <c r="AS7" s="241"/>
      <c r="AT7" s="240">
        <f>SUM(AT4:AT6)</f>
        <v>2</v>
      </c>
      <c r="AU7" s="240">
        <f>SUM(AU4:AU6)</f>
        <v>0</v>
      </c>
      <c r="AV7" s="241"/>
      <c r="AW7" s="240">
        <f>SUM(AW4:AW6)</f>
        <v>1</v>
      </c>
      <c r="AX7" s="240">
        <f>SUM(AX4:AX6)</f>
        <v>0</v>
      </c>
      <c r="AY7" s="241"/>
      <c r="AZ7" s="240">
        <f>SUM(AZ4:AZ6)</f>
        <v>42</v>
      </c>
      <c r="BA7" s="240">
        <f>SUM(BA4:BA6)</f>
        <v>0</v>
      </c>
      <c r="BB7" s="240">
        <f>SUM(AZ7:BA7)</f>
        <v>42</v>
      </c>
      <c r="BC7" s="242">
        <f>(BB7+1)/(AI7+1)</f>
        <v>0.19457013574660634</v>
      </c>
      <c r="BD7" s="98"/>
      <c r="BE7" s="98"/>
      <c r="BH7" s="17"/>
    </row>
    <row r="8" spans="1:60" ht="12.75" x14ac:dyDescent="0.2">
      <c r="A8" s="189">
        <v>6</v>
      </c>
      <c r="B8" s="190">
        <v>45997</v>
      </c>
      <c r="C8" s="190">
        <v>45998</v>
      </c>
      <c r="D8" s="196">
        <v>3</v>
      </c>
      <c r="E8" s="184">
        <f t="shared" ref="E8:J8" si="21">AG32</f>
        <v>263</v>
      </c>
      <c r="F8" s="184">
        <f t="shared" si="21"/>
        <v>263</v>
      </c>
      <c r="G8" s="184">
        <f t="shared" si="21"/>
        <v>263</v>
      </c>
      <c r="H8" s="184">
        <f t="shared" si="21"/>
        <v>0</v>
      </c>
      <c r="I8" s="184">
        <f t="shared" si="21"/>
        <v>0</v>
      </c>
      <c r="J8" s="184">
        <f t="shared" si="21"/>
        <v>0</v>
      </c>
      <c r="K8" s="184">
        <f>BA32</f>
        <v>0</v>
      </c>
      <c r="L8" s="184">
        <f t="shared" si="6"/>
        <v>0</v>
      </c>
      <c r="M8" s="193">
        <f>L8/E8</f>
        <v>0</v>
      </c>
      <c r="N8" s="184">
        <f>AN32+AO32</f>
        <v>30</v>
      </c>
      <c r="O8" s="194">
        <f t="shared" si="1"/>
        <v>0.11406844106463879</v>
      </c>
      <c r="P8" s="184">
        <f>SUM(AQ32:AR32)</f>
        <v>3</v>
      </c>
      <c r="Q8" s="194">
        <f t="shared" si="7"/>
        <v>1.1406844106463879E-2</v>
      </c>
      <c r="R8" s="184">
        <f>SUM(AT32:AU32)</f>
        <v>1</v>
      </c>
      <c r="S8" s="194">
        <f t="shared" si="2"/>
        <v>3.8022813688212928E-3</v>
      </c>
      <c r="T8" s="184">
        <f>SUM(AW32:AX32)</f>
        <v>0</v>
      </c>
      <c r="U8" s="194">
        <f t="shared" si="3"/>
        <v>0</v>
      </c>
      <c r="V8" s="184">
        <f>AZ32</f>
        <v>34</v>
      </c>
      <c r="W8" s="184">
        <f>BB32</f>
        <v>34</v>
      </c>
      <c r="X8" s="194">
        <f t="shared" si="4"/>
        <v>0.13257575757575757</v>
      </c>
      <c r="Y8" s="195" t="s">
        <v>347</v>
      </c>
      <c r="Z8" s="195" t="s">
        <v>268</v>
      </c>
      <c r="AA8" s="195" t="s">
        <v>269</v>
      </c>
      <c r="AB8" s="21"/>
      <c r="AC8" s="212" t="s">
        <v>276</v>
      </c>
      <c r="AD8" s="15"/>
      <c r="AE8" s="23"/>
      <c r="AF8" s="16"/>
      <c r="AG8" s="15"/>
      <c r="AH8" s="15"/>
      <c r="AI8" s="15"/>
      <c r="AJ8" s="15"/>
      <c r="AK8" s="15"/>
      <c r="AL8" s="22"/>
      <c r="AM8" s="213"/>
      <c r="AN8" s="23"/>
      <c r="AO8" s="23"/>
      <c r="AP8" s="7"/>
      <c r="AQ8" s="15"/>
      <c r="AR8" s="15"/>
      <c r="AS8" s="7"/>
      <c r="AT8" s="15"/>
      <c r="AU8" s="15"/>
      <c r="AV8" s="7"/>
      <c r="AW8" s="15"/>
      <c r="AX8" s="15"/>
      <c r="AY8" s="214"/>
      <c r="AZ8" s="215"/>
      <c r="BA8" s="10"/>
      <c r="BB8" s="7"/>
      <c r="BC8" s="7"/>
      <c r="BD8" s="7"/>
      <c r="BE8" s="7"/>
      <c r="BH8" s="17"/>
    </row>
    <row r="9" spans="1:60" ht="12.75" x14ac:dyDescent="0.2">
      <c r="A9" s="189">
        <v>7</v>
      </c>
      <c r="B9" s="190">
        <v>46004</v>
      </c>
      <c r="C9" s="190">
        <v>46005</v>
      </c>
      <c r="D9" s="196">
        <v>4</v>
      </c>
      <c r="E9" s="197">
        <f t="shared" ref="E9:J9" si="22">AG37</f>
        <v>229</v>
      </c>
      <c r="F9" s="197">
        <f t="shared" si="22"/>
        <v>226</v>
      </c>
      <c r="G9" s="197">
        <f t="shared" si="22"/>
        <v>228</v>
      </c>
      <c r="H9" s="197">
        <f t="shared" si="22"/>
        <v>1</v>
      </c>
      <c r="I9" s="197">
        <f t="shared" si="22"/>
        <v>0</v>
      </c>
      <c r="J9" s="197">
        <f t="shared" si="22"/>
        <v>0</v>
      </c>
      <c r="K9" s="197">
        <f>BA37</f>
        <v>3</v>
      </c>
      <c r="L9" s="184">
        <f t="shared" si="6"/>
        <v>4</v>
      </c>
      <c r="M9" s="193">
        <f t="shared" si="19"/>
        <v>1.7467248908296942E-2</v>
      </c>
      <c r="N9" s="184">
        <f>AN37+AO37</f>
        <v>9</v>
      </c>
      <c r="O9" s="194">
        <f t="shared" si="1"/>
        <v>3.9473684210526314E-2</v>
      </c>
      <c r="P9" s="184">
        <f>SUM(AQ37:AR37)</f>
        <v>6</v>
      </c>
      <c r="Q9" s="194">
        <f t="shared" si="7"/>
        <v>2.6315789473684209E-2</v>
      </c>
      <c r="R9" s="184">
        <f>SUM(AT37:AU37)</f>
        <v>3</v>
      </c>
      <c r="S9" s="194">
        <f t="shared" si="2"/>
        <v>1.3157894736842105E-2</v>
      </c>
      <c r="T9" s="184">
        <f>SUM(AW37:AX37)</f>
        <v>0</v>
      </c>
      <c r="U9" s="194">
        <f t="shared" si="3"/>
        <v>0</v>
      </c>
      <c r="V9" s="184">
        <f>AZ37</f>
        <v>15</v>
      </c>
      <c r="W9" s="184">
        <f>BB37</f>
        <v>18</v>
      </c>
      <c r="X9" s="194">
        <f t="shared" si="4"/>
        <v>8.296943231441048E-2</v>
      </c>
      <c r="Y9" s="195" t="s">
        <v>347</v>
      </c>
      <c r="Z9" s="195" t="s">
        <v>348</v>
      </c>
      <c r="AA9" s="195" t="s">
        <v>269</v>
      </c>
      <c r="AB9" s="21"/>
      <c r="AC9" s="216" t="s">
        <v>271</v>
      </c>
      <c r="AD9" s="217"/>
      <c r="AE9" s="217"/>
      <c r="AF9" s="218"/>
      <c r="AG9" s="218"/>
      <c r="AH9" s="219"/>
      <c r="AI9" s="218"/>
      <c r="AJ9" s="218"/>
      <c r="AK9" s="218"/>
      <c r="AL9" s="218"/>
      <c r="AM9" s="220" t="e">
        <f>SUM(AJ9:AL9)/AH9</f>
        <v>#DIV/0!</v>
      </c>
      <c r="AN9" s="218"/>
      <c r="AO9" s="218"/>
      <c r="AP9" s="221" t="e">
        <f>SUM(AN9:AO9)/AI9</f>
        <v>#DIV/0!</v>
      </c>
      <c r="AQ9" s="218"/>
      <c r="AR9" s="218"/>
      <c r="AS9" s="221" t="e">
        <f>(AQ9+AR9)/$AG9</f>
        <v>#DIV/0!</v>
      </c>
      <c r="AT9" s="218"/>
      <c r="AU9" s="218"/>
      <c r="AV9" s="221" t="e">
        <f>(AT9+AU9)/$AG9</f>
        <v>#DIV/0!</v>
      </c>
      <c r="AW9" s="218"/>
      <c r="AX9" s="218"/>
      <c r="AY9" s="221" t="e">
        <f>(AW9+AX9)/$AG9</f>
        <v>#DIV/0!</v>
      </c>
      <c r="AZ9" s="222">
        <f>SUM(AN9,AQ9,AT9,AW9)</f>
        <v>0</v>
      </c>
      <c r="BA9" s="222">
        <f>SUM(AO9,AR9,AU9,AX9)</f>
        <v>0</v>
      </c>
      <c r="BB9" s="222">
        <f>SUM(AZ9:BA9)</f>
        <v>0</v>
      </c>
      <c r="BC9" s="221">
        <f>(BB9+1)/(AI9+1)</f>
        <v>1</v>
      </c>
      <c r="BD9" s="223"/>
      <c r="BE9" s="223"/>
      <c r="BH9" s="17"/>
    </row>
    <row r="10" spans="1:60" ht="12.75" x14ac:dyDescent="0.2">
      <c r="A10" s="189">
        <v>8</v>
      </c>
      <c r="B10" s="190">
        <v>46004</v>
      </c>
      <c r="C10" s="190">
        <v>46005</v>
      </c>
      <c r="D10" s="196">
        <v>4</v>
      </c>
      <c r="E10" s="197">
        <f t="shared" ref="E10:J10" si="23">AG42</f>
        <v>256</v>
      </c>
      <c r="F10" s="197">
        <f t="shared" si="23"/>
        <v>253</v>
      </c>
      <c r="G10" s="197">
        <f t="shared" si="23"/>
        <v>263</v>
      </c>
      <c r="H10" s="197">
        <f t="shared" si="23"/>
        <v>1</v>
      </c>
      <c r="I10" s="197">
        <f t="shared" si="23"/>
        <v>0</v>
      </c>
      <c r="J10" s="197">
        <f t="shared" si="23"/>
        <v>0</v>
      </c>
      <c r="K10" s="197">
        <f>BA42</f>
        <v>4</v>
      </c>
      <c r="L10" s="184">
        <f t="shared" si="6"/>
        <v>5</v>
      </c>
      <c r="M10" s="193">
        <f t="shared" si="19"/>
        <v>1.953125E-2</v>
      </c>
      <c r="N10" s="184">
        <f>AN42+AO42</f>
        <v>6</v>
      </c>
      <c r="O10" s="194">
        <f t="shared" si="1"/>
        <v>2.2813688212927757E-2</v>
      </c>
      <c r="P10" s="184">
        <f>SUM(AQ42:AR42)</f>
        <v>7</v>
      </c>
      <c r="Q10" s="194">
        <f t="shared" si="7"/>
        <v>2.6615969581749048E-2</v>
      </c>
      <c r="R10" s="184">
        <f>SUM(AT42:AU42)</f>
        <v>2</v>
      </c>
      <c r="S10" s="194">
        <f t="shared" si="2"/>
        <v>7.6045627376425855E-3</v>
      </c>
      <c r="T10" s="184">
        <f>SUM(AU42:AV42)</f>
        <v>0</v>
      </c>
      <c r="U10" s="194">
        <f t="shared" si="3"/>
        <v>0</v>
      </c>
      <c r="V10" s="184">
        <f>AZ42</f>
        <v>11</v>
      </c>
      <c r="W10" s="184">
        <f>BB42</f>
        <v>15</v>
      </c>
      <c r="X10" s="194">
        <f t="shared" si="4"/>
        <v>6.0606060606060608E-2</v>
      </c>
      <c r="Y10" s="195" t="s">
        <v>347</v>
      </c>
      <c r="Z10" s="195" t="s">
        <v>268</v>
      </c>
      <c r="AA10" s="195" t="s">
        <v>269</v>
      </c>
      <c r="AB10" s="21"/>
      <c r="AC10" s="224" t="s">
        <v>273</v>
      </c>
      <c r="AD10" s="225"/>
      <c r="AE10" s="225"/>
      <c r="AF10" s="226"/>
      <c r="AG10" s="226"/>
      <c r="AH10" s="227"/>
      <c r="AI10" s="226"/>
      <c r="AJ10" s="226"/>
      <c r="AK10" s="226"/>
      <c r="AL10" s="226"/>
      <c r="AM10" s="228" t="e">
        <f t="shared" ref="AM10:AM11" si="24">SUM(AJ10:AL10)/AH10</f>
        <v>#DIV/0!</v>
      </c>
      <c r="AN10" s="226"/>
      <c r="AO10" s="226"/>
      <c r="AP10" s="229" t="e">
        <f t="shared" ref="AP10:AP11" si="25">SUM(AN10:AO10)/AI10</f>
        <v>#DIV/0!</v>
      </c>
      <c r="AQ10" s="226"/>
      <c r="AR10" s="226"/>
      <c r="AS10" s="229" t="e">
        <f t="shared" ref="AS10:AS11" si="26">(AQ10+AR10)/$AG10</f>
        <v>#DIV/0!</v>
      </c>
      <c r="AT10" s="226"/>
      <c r="AU10" s="226"/>
      <c r="AV10" s="229" t="e">
        <f t="shared" ref="AV10:AV11" si="27">(AT10+AU10)/$AG10</f>
        <v>#DIV/0!</v>
      </c>
      <c r="AW10" s="226"/>
      <c r="AX10" s="226"/>
      <c r="AY10" s="229" t="e">
        <f t="shared" ref="AY10:AY11" si="28">(AW10+AX10)/$AG10</f>
        <v>#DIV/0!</v>
      </c>
      <c r="AZ10" s="230">
        <f t="shared" ref="AZ10:BA11" si="29">SUM(AN10,AQ10,AT10,AW10)</f>
        <v>0</v>
      </c>
      <c r="BA10" s="230">
        <f t="shared" si="29"/>
        <v>0</v>
      </c>
      <c r="BB10" s="230">
        <f t="shared" ref="BB10:BB11" si="30">SUM(AZ10:BA10)</f>
        <v>0</v>
      </c>
      <c r="BC10" s="229">
        <f t="shared" ref="BC10:BC11" si="31">(BB10+1)/(AI10+1)</f>
        <v>1</v>
      </c>
      <c r="BD10" s="231"/>
      <c r="BE10" s="231"/>
      <c r="BH10" s="17"/>
    </row>
    <row r="11" spans="1:60" ht="15" customHeight="1" x14ac:dyDescent="0.2">
      <c r="A11" s="189">
        <v>9</v>
      </c>
      <c r="B11" s="190">
        <v>46029</v>
      </c>
      <c r="C11" s="190">
        <v>46030</v>
      </c>
      <c r="D11" s="196">
        <v>1</v>
      </c>
      <c r="E11" s="197">
        <f t="shared" ref="E11:J11" si="32">AG47</f>
        <v>276</v>
      </c>
      <c r="F11" s="197">
        <f t="shared" si="32"/>
        <v>276</v>
      </c>
      <c r="G11" s="197">
        <f t="shared" si="32"/>
        <v>275</v>
      </c>
      <c r="H11" s="197">
        <f t="shared" si="32"/>
        <v>0</v>
      </c>
      <c r="I11" s="197">
        <f t="shared" si="32"/>
        <v>2</v>
      </c>
      <c r="J11" s="197">
        <f t="shared" si="32"/>
        <v>0</v>
      </c>
      <c r="K11" s="197">
        <f>BA47</f>
        <v>1</v>
      </c>
      <c r="L11" s="184">
        <f t="shared" si="6"/>
        <v>3</v>
      </c>
      <c r="M11" s="193">
        <f t="shared" si="19"/>
        <v>1.0869565217391304E-2</v>
      </c>
      <c r="N11" s="184">
        <f>AN47+AO47</f>
        <v>15</v>
      </c>
      <c r="O11" s="194">
        <f t="shared" si="1"/>
        <v>5.4545454545454543E-2</v>
      </c>
      <c r="P11" s="184">
        <f>SUM(AQ47:AR47)</f>
        <v>13</v>
      </c>
      <c r="Q11" s="194">
        <f t="shared" si="7"/>
        <v>4.7272727272727272E-2</v>
      </c>
      <c r="R11" s="184">
        <f>SUM(AT47:AU47)</f>
        <v>0</v>
      </c>
      <c r="S11" s="194">
        <f t="shared" si="2"/>
        <v>0</v>
      </c>
      <c r="T11" s="184">
        <f>SUM(AU47:AV47)</f>
        <v>0</v>
      </c>
      <c r="U11" s="194">
        <f t="shared" si="3"/>
        <v>0</v>
      </c>
      <c r="V11" s="184">
        <f>AZ47</f>
        <v>27</v>
      </c>
      <c r="W11" s="184">
        <f>BB47</f>
        <v>28</v>
      </c>
      <c r="X11" s="194">
        <f t="shared" si="4"/>
        <v>0.10507246376811594</v>
      </c>
      <c r="Y11" s="195" t="s">
        <v>347</v>
      </c>
      <c r="Z11" s="195" t="s">
        <v>268</v>
      </c>
      <c r="AA11" s="195" t="s">
        <v>269</v>
      </c>
      <c r="AB11" s="21"/>
      <c r="AC11" s="232" t="s">
        <v>275</v>
      </c>
      <c r="AD11" s="233">
        <v>45983</v>
      </c>
      <c r="AE11" s="233">
        <v>45984</v>
      </c>
      <c r="AF11" s="234">
        <v>3</v>
      </c>
      <c r="AG11" s="234">
        <v>272</v>
      </c>
      <c r="AH11" s="235">
        <v>264</v>
      </c>
      <c r="AI11" s="234">
        <v>263</v>
      </c>
      <c r="AJ11" s="234">
        <v>8</v>
      </c>
      <c r="AK11" s="234">
        <v>2</v>
      </c>
      <c r="AL11" s="234">
        <v>3</v>
      </c>
      <c r="AM11" s="236">
        <f t="shared" si="24"/>
        <v>4.924242424242424E-2</v>
      </c>
      <c r="AN11" s="234">
        <v>50</v>
      </c>
      <c r="AO11" s="234">
        <v>0</v>
      </c>
      <c r="AP11" s="237">
        <f t="shared" si="25"/>
        <v>0.19011406844106463</v>
      </c>
      <c r="AQ11" s="234">
        <v>2</v>
      </c>
      <c r="AR11" s="234">
        <v>0</v>
      </c>
      <c r="AS11" s="237">
        <f t="shared" si="26"/>
        <v>7.3529411764705881E-3</v>
      </c>
      <c r="AT11" s="234">
        <v>0</v>
      </c>
      <c r="AU11" s="234">
        <v>0</v>
      </c>
      <c r="AV11" s="237">
        <f t="shared" si="27"/>
        <v>0</v>
      </c>
      <c r="AW11" s="234">
        <v>0</v>
      </c>
      <c r="AX11" s="234">
        <v>0</v>
      </c>
      <c r="AY11" s="237">
        <f t="shared" si="28"/>
        <v>0</v>
      </c>
      <c r="AZ11" s="238">
        <f t="shared" si="29"/>
        <v>52</v>
      </c>
      <c r="BA11" s="238">
        <f t="shared" si="29"/>
        <v>0</v>
      </c>
      <c r="BB11" s="238">
        <f t="shared" si="30"/>
        <v>52</v>
      </c>
      <c r="BC11" s="237">
        <f t="shared" si="31"/>
        <v>0.20075757575757575</v>
      </c>
      <c r="BD11" s="239" t="s">
        <v>347</v>
      </c>
      <c r="BE11" s="239" t="s">
        <v>268</v>
      </c>
      <c r="BH11" s="17"/>
    </row>
    <row r="12" spans="1:60" ht="15" customHeight="1" x14ac:dyDescent="0.2">
      <c r="A12" s="189">
        <v>10</v>
      </c>
      <c r="B12" s="190">
        <v>46029</v>
      </c>
      <c r="C12" s="190">
        <v>46030</v>
      </c>
      <c r="D12" s="196">
        <v>1</v>
      </c>
      <c r="E12" s="197">
        <f t="shared" ref="E12:J12" si="33">AG52</f>
        <v>251</v>
      </c>
      <c r="F12" s="197">
        <f t="shared" si="33"/>
        <v>251</v>
      </c>
      <c r="G12" s="197">
        <f t="shared" si="33"/>
        <v>220</v>
      </c>
      <c r="H12" s="197">
        <f t="shared" si="33"/>
        <v>0</v>
      </c>
      <c r="I12" s="197">
        <f t="shared" si="33"/>
        <v>1</v>
      </c>
      <c r="J12" s="197">
        <f t="shared" si="33"/>
        <v>0</v>
      </c>
      <c r="K12" s="197">
        <f>BA52</f>
        <v>0</v>
      </c>
      <c r="L12" s="184">
        <f t="shared" si="6"/>
        <v>1</v>
      </c>
      <c r="M12" s="193">
        <f t="shared" si="19"/>
        <v>3.9840637450199202E-3</v>
      </c>
      <c r="N12" s="184">
        <f>AN52+AO52</f>
        <v>18</v>
      </c>
      <c r="O12" s="194">
        <f t="shared" si="1"/>
        <v>8.1818181818181818E-2</v>
      </c>
      <c r="P12" s="184">
        <f>SUM(AQ52:AR52)</f>
        <v>1</v>
      </c>
      <c r="Q12" s="194">
        <f t="shared" si="7"/>
        <v>4.5454545454545452E-3</v>
      </c>
      <c r="R12" s="184">
        <f>SUM(AT52:AU52)</f>
        <v>0</v>
      </c>
      <c r="S12" s="194">
        <f t="shared" si="2"/>
        <v>0</v>
      </c>
      <c r="T12" s="184">
        <f>SUM(AU52:AV52)</f>
        <v>0</v>
      </c>
      <c r="U12" s="194">
        <f t="shared" si="3"/>
        <v>0</v>
      </c>
      <c r="V12" s="184">
        <f>AZ52</f>
        <v>19</v>
      </c>
      <c r="W12" s="184">
        <f>BB52</f>
        <v>19</v>
      </c>
      <c r="X12" s="194">
        <f t="shared" si="4"/>
        <v>9.0497737556561084E-2</v>
      </c>
      <c r="Y12" s="195" t="s">
        <v>347</v>
      </c>
      <c r="Z12" s="195" t="s">
        <v>268</v>
      </c>
      <c r="AA12" s="195" t="s">
        <v>269</v>
      </c>
      <c r="AB12" s="21"/>
      <c r="AC12" s="7"/>
      <c r="AG12" s="240">
        <f>SUM(AG9:AG11)</f>
        <v>272</v>
      </c>
      <c r="AH12" s="240">
        <f>SUM(AH9:AH11)</f>
        <v>264</v>
      </c>
      <c r="AI12" s="240">
        <f t="shared" ref="AI12:AL12" si="34">SUM(AI9:AI11)</f>
        <v>263</v>
      </c>
      <c r="AJ12" s="240">
        <f t="shared" si="34"/>
        <v>8</v>
      </c>
      <c r="AK12" s="240">
        <f t="shared" si="34"/>
        <v>2</v>
      </c>
      <c r="AL12" s="240">
        <f t="shared" si="34"/>
        <v>3</v>
      </c>
      <c r="AM12" s="135"/>
      <c r="AN12" s="240">
        <f>SUM(AN9:AN11)</f>
        <v>50</v>
      </c>
      <c r="AO12" s="240">
        <f>SUM(AO9:AO11)</f>
        <v>0</v>
      </c>
      <c r="AP12" s="241"/>
      <c r="AQ12" s="240">
        <f>SUM(AQ9:AQ11)</f>
        <v>2</v>
      </c>
      <c r="AR12" s="240">
        <f>SUM(AR9:AR11)</f>
        <v>0</v>
      </c>
      <c r="AS12" s="241"/>
      <c r="AT12" s="240">
        <f>SUM(AT9:AT11)</f>
        <v>0</v>
      </c>
      <c r="AU12" s="240">
        <f>SUM(AU9:AU11)</f>
        <v>0</v>
      </c>
      <c r="AV12" s="241"/>
      <c r="AW12" s="240">
        <f>SUM(AW9:AW11)</f>
        <v>0</v>
      </c>
      <c r="AX12" s="240">
        <f>SUM(AX9:AX11)</f>
        <v>0</v>
      </c>
      <c r="AY12" s="241"/>
      <c r="AZ12" s="240">
        <f>SUM(AZ9:AZ11)</f>
        <v>52</v>
      </c>
      <c r="BA12" s="240">
        <f>SUM(BA9:BA11)</f>
        <v>0</v>
      </c>
      <c r="BB12" s="240">
        <f>SUM(AZ12:BA12)</f>
        <v>52</v>
      </c>
      <c r="BC12" s="242">
        <f>(BB12+1)/(AI12+1)</f>
        <v>0.20075757575757575</v>
      </c>
      <c r="BD12" s="98"/>
      <c r="BE12" s="98"/>
      <c r="BH12" s="17"/>
    </row>
    <row r="13" spans="1:60" ht="15" customHeight="1" x14ac:dyDescent="0.2">
      <c r="A13" s="189">
        <v>11</v>
      </c>
      <c r="B13" s="190">
        <v>46033</v>
      </c>
      <c r="C13" s="190">
        <v>46034</v>
      </c>
      <c r="D13" s="196">
        <v>4</v>
      </c>
      <c r="E13" s="197">
        <f t="shared" ref="E13:J13" si="35">AG57</f>
        <v>491</v>
      </c>
      <c r="F13" s="197">
        <f t="shared" si="35"/>
        <v>209</v>
      </c>
      <c r="G13" s="197">
        <f t="shared" si="35"/>
        <v>209</v>
      </c>
      <c r="H13" s="197">
        <f t="shared" si="35"/>
        <v>282</v>
      </c>
      <c r="I13" s="197">
        <f t="shared" si="35"/>
        <v>0</v>
      </c>
      <c r="J13" s="197">
        <f t="shared" si="35"/>
        <v>0</v>
      </c>
      <c r="K13" s="197">
        <f>BA57</f>
        <v>0</v>
      </c>
      <c r="L13" s="184">
        <f>SUM(H13:K13)</f>
        <v>282</v>
      </c>
      <c r="M13" s="193">
        <f t="shared" si="19"/>
        <v>0.57433808553971488</v>
      </c>
      <c r="N13" s="184">
        <f>AN57+AO57</f>
        <v>21</v>
      </c>
      <c r="O13" s="194">
        <f t="shared" si="1"/>
        <v>0.10047846889952153</v>
      </c>
      <c r="P13" s="184">
        <f>SUM(AQ57:AR57)</f>
        <v>0</v>
      </c>
      <c r="Q13" s="194">
        <f t="shared" si="7"/>
        <v>0</v>
      </c>
      <c r="R13" s="184">
        <f>SUM(AT57:AU57)</f>
        <v>4</v>
      </c>
      <c r="S13" s="194">
        <f t="shared" si="2"/>
        <v>1.9138755980861243E-2</v>
      </c>
      <c r="T13" s="184">
        <f>SUM(AU57:AV57)</f>
        <v>0</v>
      </c>
      <c r="U13" s="194">
        <f t="shared" si="3"/>
        <v>0</v>
      </c>
      <c r="V13" s="184">
        <f>AZ57</f>
        <v>25</v>
      </c>
      <c r="W13" s="184">
        <f>BB57</f>
        <v>25</v>
      </c>
      <c r="X13" s="194">
        <f t="shared" si="4"/>
        <v>0.12380952380952381</v>
      </c>
      <c r="Y13" s="195" t="s">
        <v>347</v>
      </c>
      <c r="Z13" s="195" t="s">
        <v>268</v>
      </c>
      <c r="AA13" s="195" t="s">
        <v>269</v>
      </c>
      <c r="AB13" s="21"/>
      <c r="AC13" s="212" t="s">
        <v>277</v>
      </c>
      <c r="AD13" s="15"/>
      <c r="AE13" s="23"/>
      <c r="AF13" s="16"/>
      <c r="AG13" s="15"/>
      <c r="AH13" s="15"/>
      <c r="AI13" s="15"/>
      <c r="AJ13" s="15"/>
      <c r="AK13" s="15"/>
      <c r="AL13" s="22"/>
      <c r="AM13" s="213"/>
      <c r="AN13" s="23"/>
      <c r="AO13" s="23"/>
      <c r="AP13" s="7"/>
      <c r="AQ13" s="15"/>
      <c r="AR13" s="15"/>
      <c r="AS13" s="7"/>
      <c r="AT13" s="15"/>
      <c r="AU13" s="15"/>
      <c r="AV13" s="7"/>
      <c r="AW13" s="15"/>
      <c r="AX13" s="15"/>
      <c r="AY13" s="214"/>
      <c r="AZ13" s="215"/>
      <c r="BA13" s="10"/>
      <c r="BB13" s="7"/>
      <c r="BC13" s="7"/>
      <c r="BD13" s="7"/>
      <c r="BE13" s="7"/>
      <c r="BH13" s="17"/>
    </row>
    <row r="14" spans="1:60" ht="15" customHeight="1" x14ac:dyDescent="0.2">
      <c r="A14" s="189">
        <v>12</v>
      </c>
      <c r="B14" s="190"/>
      <c r="C14" s="190"/>
      <c r="D14" s="196"/>
      <c r="E14" s="197">
        <f t="shared" ref="E14:J14" si="36">AG62</f>
        <v>0</v>
      </c>
      <c r="F14" s="197">
        <f t="shared" si="36"/>
        <v>0</v>
      </c>
      <c r="G14" s="197">
        <f t="shared" si="36"/>
        <v>0</v>
      </c>
      <c r="H14" s="197">
        <f t="shared" si="36"/>
        <v>0</v>
      </c>
      <c r="I14" s="197">
        <f t="shared" si="36"/>
        <v>0</v>
      </c>
      <c r="J14" s="197">
        <f t="shared" si="36"/>
        <v>0</v>
      </c>
      <c r="K14" s="197">
        <f>BA62</f>
        <v>0</v>
      </c>
      <c r="L14" s="184">
        <f t="shared" si="6"/>
        <v>0</v>
      </c>
      <c r="M14" s="193" t="e">
        <f t="shared" si="19"/>
        <v>#DIV/0!</v>
      </c>
      <c r="N14" s="184">
        <f>AN62+AO62</f>
        <v>0</v>
      </c>
      <c r="O14" s="194" t="e">
        <f t="shared" si="1"/>
        <v>#DIV/0!</v>
      </c>
      <c r="P14" s="184">
        <f>SUM(AQ62:AR62)</f>
        <v>0</v>
      </c>
      <c r="Q14" s="194" t="e">
        <f t="shared" si="7"/>
        <v>#DIV/0!</v>
      </c>
      <c r="R14" s="184">
        <f>SUM(AT62:AU62)</f>
        <v>0</v>
      </c>
      <c r="S14" s="194" t="e">
        <f t="shared" si="2"/>
        <v>#DIV/0!</v>
      </c>
      <c r="T14" s="184">
        <f>SUM(AU62:AV62)</f>
        <v>0</v>
      </c>
      <c r="U14" s="194" t="e">
        <f t="shared" si="3"/>
        <v>#DIV/0!</v>
      </c>
      <c r="V14" s="184">
        <f>AZ62</f>
        <v>0</v>
      </c>
      <c r="W14" s="184">
        <f>BB62</f>
        <v>0</v>
      </c>
      <c r="X14" s="194">
        <f t="shared" si="4"/>
        <v>1</v>
      </c>
      <c r="Y14" s="195"/>
      <c r="Z14" s="195"/>
      <c r="AA14" s="195"/>
      <c r="AB14" s="21"/>
      <c r="AC14" s="216" t="s">
        <v>271</v>
      </c>
      <c r="AD14" s="217">
        <v>45987</v>
      </c>
      <c r="AE14" s="217">
        <v>45988</v>
      </c>
      <c r="AF14" s="218">
        <v>1</v>
      </c>
      <c r="AG14" s="218">
        <v>252</v>
      </c>
      <c r="AH14" s="219">
        <v>250</v>
      </c>
      <c r="AI14" s="218">
        <v>246</v>
      </c>
      <c r="AJ14" s="218">
        <v>0</v>
      </c>
      <c r="AK14" s="218">
        <v>0</v>
      </c>
      <c r="AL14" s="218">
        <v>0</v>
      </c>
      <c r="AM14" s="220">
        <f>SUM(AJ14:AL14)/AH14</f>
        <v>0</v>
      </c>
      <c r="AN14" s="218">
        <v>29</v>
      </c>
      <c r="AO14" s="218">
        <v>0</v>
      </c>
      <c r="AP14" s="221">
        <f>SUM(AN14:AO14)/AI14</f>
        <v>0.11788617886178862</v>
      </c>
      <c r="AQ14" s="218">
        <v>21</v>
      </c>
      <c r="AR14" s="218">
        <v>0</v>
      </c>
      <c r="AS14" s="221">
        <f>(AQ14+AR14)/$AG14</f>
        <v>8.3333333333333329E-2</v>
      </c>
      <c r="AT14" s="218">
        <v>11</v>
      </c>
      <c r="AU14" s="218">
        <v>2</v>
      </c>
      <c r="AV14" s="221">
        <f>(AT14+AU14)/$AG14</f>
        <v>5.1587301587301584E-2</v>
      </c>
      <c r="AW14" s="218">
        <v>0</v>
      </c>
      <c r="AX14" s="218">
        <v>0</v>
      </c>
      <c r="AY14" s="221">
        <f>(AW14+AX14)/$AG14</f>
        <v>0</v>
      </c>
      <c r="AZ14" s="222">
        <f>SUM(AN14,AQ14,AT14,AW14)</f>
        <v>61</v>
      </c>
      <c r="BA14" s="222">
        <f>SUM(AO14,AR14,AU14,AX14)</f>
        <v>2</v>
      </c>
      <c r="BB14" s="222">
        <f>SUM(AZ14:BA14)</f>
        <v>63</v>
      </c>
      <c r="BC14" s="221">
        <f>(BB14+1)/(AI14+1)</f>
        <v>0.25910931174089069</v>
      </c>
      <c r="BD14" s="223" t="s">
        <v>347</v>
      </c>
      <c r="BE14" s="223" t="s">
        <v>268</v>
      </c>
      <c r="BH14" s="17"/>
    </row>
    <row r="15" spans="1:60" ht="15" customHeight="1" x14ac:dyDescent="0.2">
      <c r="A15" s="189">
        <v>13</v>
      </c>
      <c r="B15" s="190"/>
      <c r="C15" s="190"/>
      <c r="D15" s="196"/>
      <c r="E15" s="197">
        <f t="shared" ref="E15:J15" si="37">AG67</f>
        <v>0</v>
      </c>
      <c r="F15" s="197">
        <f t="shared" si="37"/>
        <v>0</v>
      </c>
      <c r="G15" s="197">
        <f t="shared" si="37"/>
        <v>0</v>
      </c>
      <c r="H15" s="197">
        <f t="shared" si="37"/>
        <v>0</v>
      </c>
      <c r="I15" s="197">
        <f t="shared" si="37"/>
        <v>0</v>
      </c>
      <c r="J15" s="197">
        <f t="shared" si="37"/>
        <v>0</v>
      </c>
      <c r="K15" s="197">
        <f>BA67</f>
        <v>0</v>
      </c>
      <c r="L15" s="184">
        <f t="shared" si="6"/>
        <v>0</v>
      </c>
      <c r="M15" s="193" t="e">
        <f t="shared" si="19"/>
        <v>#DIV/0!</v>
      </c>
      <c r="N15" s="184">
        <f>AN67+AO67</f>
        <v>0</v>
      </c>
      <c r="O15" s="194" t="e">
        <f t="shared" si="1"/>
        <v>#DIV/0!</v>
      </c>
      <c r="P15" s="184">
        <f>SUM(AQ67:AR67)</f>
        <v>0</v>
      </c>
      <c r="Q15" s="194" t="e">
        <f t="shared" si="7"/>
        <v>#DIV/0!</v>
      </c>
      <c r="R15" s="184">
        <f>SUM(AT67:AU67)</f>
        <v>0</v>
      </c>
      <c r="S15" s="194" t="e">
        <f t="shared" si="2"/>
        <v>#DIV/0!</v>
      </c>
      <c r="T15" s="184">
        <f>SUM(AU67:AV67)</f>
        <v>0</v>
      </c>
      <c r="U15" s="194" t="e">
        <f t="shared" si="3"/>
        <v>#DIV/0!</v>
      </c>
      <c r="V15" s="184">
        <f>AZ67</f>
        <v>0</v>
      </c>
      <c r="W15" s="184">
        <f>BB67</f>
        <v>0</v>
      </c>
      <c r="X15" s="194">
        <f t="shared" si="4"/>
        <v>1</v>
      </c>
      <c r="Y15" s="195"/>
      <c r="Z15" s="195"/>
      <c r="AA15" s="195"/>
      <c r="AB15" s="21"/>
      <c r="AC15" s="224" t="s">
        <v>273</v>
      </c>
      <c r="AD15" s="225"/>
      <c r="AE15" s="225"/>
      <c r="AF15" s="226"/>
      <c r="AG15" s="226"/>
      <c r="AH15" s="227"/>
      <c r="AI15" s="226"/>
      <c r="AJ15" s="226"/>
      <c r="AK15" s="226"/>
      <c r="AL15" s="226"/>
      <c r="AM15" s="228" t="e">
        <f t="shared" ref="AM15:AM16" si="38">SUM(AJ15:AL15)/AH15</f>
        <v>#DIV/0!</v>
      </c>
      <c r="AN15" s="226"/>
      <c r="AO15" s="226"/>
      <c r="AP15" s="229" t="e">
        <f t="shared" ref="AP15:AP16" si="39">SUM(AN15:AO15)/AI15</f>
        <v>#DIV/0!</v>
      </c>
      <c r="AQ15" s="226"/>
      <c r="AR15" s="226"/>
      <c r="AS15" s="229" t="e">
        <f t="shared" ref="AS15:AS16" si="40">(AQ15+AR15)/$AG15</f>
        <v>#DIV/0!</v>
      </c>
      <c r="AT15" s="226"/>
      <c r="AU15" s="226"/>
      <c r="AV15" s="229" t="e">
        <f t="shared" ref="AV15:AV16" si="41">(AT15+AU15)/$AG15</f>
        <v>#DIV/0!</v>
      </c>
      <c r="AW15" s="226"/>
      <c r="AX15" s="226"/>
      <c r="AY15" s="229" t="e">
        <f t="shared" ref="AY15:AY16" si="42">(AW15+AX15)/$AG15</f>
        <v>#DIV/0!</v>
      </c>
      <c r="AZ15" s="230">
        <f t="shared" ref="AZ15:BA16" si="43">SUM(AN15,AQ15,AT15,AW15)</f>
        <v>0</v>
      </c>
      <c r="BA15" s="230">
        <f t="shared" si="43"/>
        <v>0</v>
      </c>
      <c r="BB15" s="230">
        <f t="shared" ref="BB15:BB16" si="44">SUM(AZ15:BA15)</f>
        <v>0</v>
      </c>
      <c r="BC15" s="229">
        <f t="shared" ref="BC15:BC16" si="45">(BB15+1)/(AI15+1)</f>
        <v>1</v>
      </c>
      <c r="BD15" s="231"/>
      <c r="BE15" s="231"/>
      <c r="BH15" s="17"/>
    </row>
    <row r="16" spans="1:60" ht="15" customHeight="1" x14ac:dyDescent="0.2">
      <c r="A16" s="189">
        <v>14</v>
      </c>
      <c r="B16" s="190"/>
      <c r="C16" s="190"/>
      <c r="D16" s="196"/>
      <c r="E16" s="197">
        <f t="shared" ref="E16:J16" si="46">AG72</f>
        <v>0</v>
      </c>
      <c r="F16" s="197">
        <f t="shared" si="46"/>
        <v>0</v>
      </c>
      <c r="G16" s="197">
        <f t="shared" si="46"/>
        <v>0</v>
      </c>
      <c r="H16" s="197">
        <f t="shared" si="46"/>
        <v>0</v>
      </c>
      <c r="I16" s="197">
        <f t="shared" si="46"/>
        <v>0</v>
      </c>
      <c r="J16" s="197">
        <f t="shared" si="46"/>
        <v>0</v>
      </c>
      <c r="K16" s="197">
        <f>BA72</f>
        <v>0</v>
      </c>
      <c r="L16" s="184">
        <f t="shared" si="6"/>
        <v>0</v>
      </c>
      <c r="M16" s="193" t="e">
        <f t="shared" si="19"/>
        <v>#DIV/0!</v>
      </c>
      <c r="N16" s="184">
        <f>AN72+AO72</f>
        <v>0</v>
      </c>
      <c r="O16" s="194" t="e">
        <f t="shared" si="1"/>
        <v>#DIV/0!</v>
      </c>
      <c r="P16" s="184">
        <f>SUM(AQ72:AR72)</f>
        <v>0</v>
      </c>
      <c r="Q16" s="194" t="e">
        <f t="shared" si="7"/>
        <v>#DIV/0!</v>
      </c>
      <c r="R16" s="184">
        <f>SUM(AT72:AU72)</f>
        <v>0</v>
      </c>
      <c r="S16" s="194" t="e">
        <f t="shared" si="2"/>
        <v>#DIV/0!</v>
      </c>
      <c r="T16" s="184">
        <f>SUM(AU72:AV72)</f>
        <v>0</v>
      </c>
      <c r="U16" s="194" t="e">
        <f t="shared" si="3"/>
        <v>#DIV/0!</v>
      </c>
      <c r="V16" s="184">
        <f>AZ72</f>
        <v>0</v>
      </c>
      <c r="W16" s="184">
        <f>BB72</f>
        <v>0</v>
      </c>
      <c r="X16" s="194">
        <f t="shared" si="4"/>
        <v>1</v>
      </c>
      <c r="Y16" s="195"/>
      <c r="Z16" s="195"/>
      <c r="AA16" s="195"/>
      <c r="AB16" s="21"/>
      <c r="AC16" s="232" t="s">
        <v>275</v>
      </c>
      <c r="AD16" s="233"/>
      <c r="AE16" s="233"/>
      <c r="AF16" s="234"/>
      <c r="AG16" s="234"/>
      <c r="AH16" s="235"/>
      <c r="AI16" s="234"/>
      <c r="AJ16" s="234"/>
      <c r="AK16" s="234"/>
      <c r="AL16" s="234"/>
      <c r="AM16" s="236" t="e">
        <f t="shared" si="38"/>
        <v>#DIV/0!</v>
      </c>
      <c r="AN16" s="234"/>
      <c r="AO16" s="234"/>
      <c r="AP16" s="237" t="e">
        <f t="shared" si="39"/>
        <v>#DIV/0!</v>
      </c>
      <c r="AQ16" s="234"/>
      <c r="AR16" s="234"/>
      <c r="AS16" s="237" t="e">
        <f t="shared" si="40"/>
        <v>#DIV/0!</v>
      </c>
      <c r="AT16" s="234"/>
      <c r="AU16" s="234"/>
      <c r="AV16" s="237" t="e">
        <f t="shared" si="41"/>
        <v>#DIV/0!</v>
      </c>
      <c r="AW16" s="234"/>
      <c r="AX16" s="234"/>
      <c r="AY16" s="237" t="e">
        <f t="shared" si="42"/>
        <v>#DIV/0!</v>
      </c>
      <c r="AZ16" s="238">
        <f t="shared" si="43"/>
        <v>0</v>
      </c>
      <c r="BA16" s="238">
        <f t="shared" si="43"/>
        <v>0</v>
      </c>
      <c r="BB16" s="238">
        <f t="shared" si="44"/>
        <v>0</v>
      </c>
      <c r="BC16" s="237">
        <f t="shared" si="45"/>
        <v>1</v>
      </c>
      <c r="BD16" s="239"/>
      <c r="BE16" s="239"/>
      <c r="BH16" s="17"/>
    </row>
    <row r="17" spans="1:60" ht="15" customHeight="1" x14ac:dyDescent="0.2">
      <c r="A17" s="189">
        <v>15</v>
      </c>
      <c r="B17" s="190"/>
      <c r="C17" s="190"/>
      <c r="D17" s="196"/>
      <c r="E17" s="197">
        <f t="shared" ref="E17:J17" si="47">AG77</f>
        <v>0</v>
      </c>
      <c r="F17" s="197">
        <f t="shared" si="47"/>
        <v>0</v>
      </c>
      <c r="G17" s="197">
        <f t="shared" si="47"/>
        <v>0</v>
      </c>
      <c r="H17" s="197">
        <f t="shared" si="47"/>
        <v>0</v>
      </c>
      <c r="I17" s="197">
        <f t="shared" si="47"/>
        <v>0</v>
      </c>
      <c r="J17" s="197">
        <f t="shared" si="47"/>
        <v>0</v>
      </c>
      <c r="K17" s="197">
        <f>BA77</f>
        <v>0</v>
      </c>
      <c r="L17" s="184">
        <f t="shared" si="6"/>
        <v>0</v>
      </c>
      <c r="M17" s="193" t="e">
        <f t="shared" si="19"/>
        <v>#DIV/0!</v>
      </c>
      <c r="N17" s="184">
        <f>AN77+AO77</f>
        <v>0</v>
      </c>
      <c r="O17" s="194" t="e">
        <f t="shared" si="1"/>
        <v>#DIV/0!</v>
      </c>
      <c r="P17" s="184">
        <f>SUM(AQ77:AR77)</f>
        <v>0</v>
      </c>
      <c r="Q17" s="194" t="e">
        <f t="shared" si="7"/>
        <v>#DIV/0!</v>
      </c>
      <c r="R17" s="184">
        <f>SUM(AT77:AU77)</f>
        <v>0</v>
      </c>
      <c r="S17" s="194" t="e">
        <f t="shared" si="2"/>
        <v>#DIV/0!</v>
      </c>
      <c r="T17" s="184">
        <f>SUM(AU77:AV77)</f>
        <v>0</v>
      </c>
      <c r="U17" s="194" t="e">
        <f t="shared" si="3"/>
        <v>#DIV/0!</v>
      </c>
      <c r="V17" s="184">
        <f>AZ77</f>
        <v>0</v>
      </c>
      <c r="W17" s="184">
        <f>BB77</f>
        <v>0</v>
      </c>
      <c r="X17" s="194">
        <f t="shared" si="4"/>
        <v>1</v>
      </c>
      <c r="Y17" s="195"/>
      <c r="Z17" s="195"/>
      <c r="AA17" s="195"/>
      <c r="AB17" s="21"/>
      <c r="AC17" s="7"/>
      <c r="AG17" s="240">
        <f>SUM(AG14:AG16)</f>
        <v>252</v>
      </c>
      <c r="AH17" s="240">
        <f>SUM(AH14:AH16)</f>
        <v>250</v>
      </c>
      <c r="AI17" s="240">
        <f t="shared" ref="AI17:AL17" si="48">SUM(AI14:AI16)</f>
        <v>246</v>
      </c>
      <c r="AJ17" s="240">
        <f t="shared" si="48"/>
        <v>0</v>
      </c>
      <c r="AK17" s="240">
        <f t="shared" si="48"/>
        <v>0</v>
      </c>
      <c r="AL17" s="240">
        <f t="shared" si="48"/>
        <v>0</v>
      </c>
      <c r="AM17" s="135"/>
      <c r="AN17" s="240">
        <f>SUM(AN14:AN16)</f>
        <v>29</v>
      </c>
      <c r="AO17" s="240">
        <f>SUM(AO14:AO16)</f>
        <v>0</v>
      </c>
      <c r="AP17" s="241"/>
      <c r="AQ17" s="240">
        <f>SUM(AQ14:AQ16)</f>
        <v>21</v>
      </c>
      <c r="AR17" s="240">
        <f>SUM(AR14:AR16)</f>
        <v>0</v>
      </c>
      <c r="AS17" s="241"/>
      <c r="AT17" s="240">
        <f>SUM(AT14:AT16)</f>
        <v>11</v>
      </c>
      <c r="AU17" s="240">
        <f>SUM(AU14:AU16)</f>
        <v>2</v>
      </c>
      <c r="AV17" s="241"/>
      <c r="AW17" s="240">
        <f>SUM(AW14:AW16)</f>
        <v>0</v>
      </c>
      <c r="AX17" s="240">
        <f>SUM(AX14:AX16)</f>
        <v>0</v>
      </c>
      <c r="AY17" s="241"/>
      <c r="AZ17" s="240">
        <f>SUM(AZ14:AZ16)</f>
        <v>61</v>
      </c>
      <c r="BA17" s="240">
        <f>SUM(BA14:BA16)</f>
        <v>2</v>
      </c>
      <c r="BB17" s="240">
        <f>SUM(AZ17:BA17)</f>
        <v>63</v>
      </c>
      <c r="BC17" s="242">
        <f>(BB17+1)/(AI17+1)</f>
        <v>0.25910931174089069</v>
      </c>
      <c r="BD17" s="98"/>
      <c r="BE17" s="98"/>
      <c r="BH17" s="17"/>
    </row>
    <row r="18" spans="1:60" ht="15" customHeight="1" x14ac:dyDescent="0.2">
      <c r="A18" s="189">
        <v>16</v>
      </c>
      <c r="B18" s="190"/>
      <c r="C18" s="190"/>
      <c r="D18" s="196"/>
      <c r="E18" s="197">
        <f t="shared" ref="E18:J18" si="49">AG82</f>
        <v>0</v>
      </c>
      <c r="F18" s="197">
        <f t="shared" si="49"/>
        <v>0</v>
      </c>
      <c r="G18" s="197">
        <f t="shared" si="49"/>
        <v>0</v>
      </c>
      <c r="H18" s="197">
        <f t="shared" si="49"/>
        <v>0</v>
      </c>
      <c r="I18" s="197">
        <f t="shared" si="49"/>
        <v>0</v>
      </c>
      <c r="J18" s="197">
        <f t="shared" si="49"/>
        <v>0</v>
      </c>
      <c r="K18" s="197">
        <f>BA82</f>
        <v>0</v>
      </c>
      <c r="L18" s="184">
        <f t="shared" si="6"/>
        <v>0</v>
      </c>
      <c r="M18" s="193" t="e">
        <f t="shared" si="19"/>
        <v>#DIV/0!</v>
      </c>
      <c r="N18" s="184">
        <f>AN82+AO82</f>
        <v>0</v>
      </c>
      <c r="O18" s="194" t="e">
        <f t="shared" si="1"/>
        <v>#DIV/0!</v>
      </c>
      <c r="P18" s="184">
        <f>SUM(AQ82:AR82)</f>
        <v>0</v>
      </c>
      <c r="Q18" s="194" t="e">
        <f t="shared" si="7"/>
        <v>#DIV/0!</v>
      </c>
      <c r="R18" s="184">
        <f>SUM(AT82:AU82)</f>
        <v>0</v>
      </c>
      <c r="S18" s="194" t="e">
        <f t="shared" si="2"/>
        <v>#DIV/0!</v>
      </c>
      <c r="T18" s="184">
        <f>SUM(AU82:AV82)</f>
        <v>0</v>
      </c>
      <c r="U18" s="194" t="e">
        <f t="shared" si="3"/>
        <v>#DIV/0!</v>
      </c>
      <c r="V18" s="184">
        <f>AZ82</f>
        <v>0</v>
      </c>
      <c r="W18" s="184">
        <f>BB82</f>
        <v>0</v>
      </c>
      <c r="X18" s="194">
        <f t="shared" si="4"/>
        <v>1</v>
      </c>
      <c r="Y18" s="195"/>
      <c r="Z18" s="195"/>
      <c r="AA18" s="195"/>
      <c r="AB18" s="21"/>
      <c r="AC18" s="212" t="s">
        <v>278</v>
      </c>
      <c r="AD18" s="15"/>
      <c r="AE18" s="23"/>
      <c r="AF18" s="16"/>
      <c r="AG18" s="15"/>
      <c r="AH18" s="15"/>
      <c r="AI18" s="15"/>
      <c r="AJ18" s="15"/>
      <c r="AK18" s="15"/>
      <c r="AL18" s="22"/>
      <c r="AM18" s="213"/>
      <c r="AN18" s="23"/>
      <c r="AO18" s="23"/>
      <c r="AP18" s="7"/>
      <c r="AQ18" s="15"/>
      <c r="AR18" s="15"/>
      <c r="AS18" s="7"/>
      <c r="AT18" s="15"/>
      <c r="AU18" s="15"/>
      <c r="AV18" s="7"/>
      <c r="AW18" s="15"/>
      <c r="AX18" s="15"/>
      <c r="AY18" s="214"/>
      <c r="AZ18" s="215"/>
      <c r="BA18" s="10"/>
      <c r="BB18" s="7"/>
      <c r="BC18" s="7"/>
      <c r="BD18" s="7"/>
      <c r="BE18" s="7"/>
    </row>
    <row r="19" spans="1:60" ht="15" customHeight="1" x14ac:dyDescent="0.2">
      <c r="A19" s="189">
        <v>17</v>
      </c>
      <c r="B19" s="190"/>
      <c r="C19" s="190"/>
      <c r="D19" s="196"/>
      <c r="E19" s="197">
        <f t="shared" ref="E19:J19" si="50">AG87</f>
        <v>0</v>
      </c>
      <c r="F19" s="197">
        <f t="shared" si="50"/>
        <v>0</v>
      </c>
      <c r="G19" s="197">
        <f t="shared" si="50"/>
        <v>0</v>
      </c>
      <c r="H19" s="197">
        <f t="shared" si="50"/>
        <v>0</v>
      </c>
      <c r="I19" s="197">
        <f t="shared" si="50"/>
        <v>0</v>
      </c>
      <c r="J19" s="197">
        <f t="shared" si="50"/>
        <v>0</v>
      </c>
      <c r="K19" s="197">
        <f>BA87</f>
        <v>0</v>
      </c>
      <c r="L19" s="184">
        <f t="shared" si="6"/>
        <v>0</v>
      </c>
      <c r="M19" s="193" t="e">
        <f t="shared" si="19"/>
        <v>#DIV/0!</v>
      </c>
      <c r="N19" s="184">
        <f>AN87+AO87</f>
        <v>0</v>
      </c>
      <c r="O19" s="194" t="e">
        <f t="shared" si="1"/>
        <v>#DIV/0!</v>
      </c>
      <c r="P19" s="184">
        <f>SUM(AQ87:AR87)</f>
        <v>0</v>
      </c>
      <c r="Q19" s="194" t="e">
        <f t="shared" si="7"/>
        <v>#DIV/0!</v>
      </c>
      <c r="R19" s="184">
        <f>SUM(AT87:AU87)</f>
        <v>0</v>
      </c>
      <c r="S19" s="194" t="e">
        <f t="shared" si="2"/>
        <v>#DIV/0!</v>
      </c>
      <c r="T19" s="184">
        <f>SUM(AU87:AV87)</f>
        <v>0</v>
      </c>
      <c r="U19" s="194" t="e">
        <f t="shared" si="3"/>
        <v>#DIV/0!</v>
      </c>
      <c r="V19" s="184">
        <f>AZ87</f>
        <v>0</v>
      </c>
      <c r="W19" s="184">
        <f>BB87</f>
        <v>0</v>
      </c>
      <c r="X19" s="194">
        <f t="shared" si="4"/>
        <v>1</v>
      </c>
      <c r="Y19" s="195"/>
      <c r="Z19" s="195"/>
      <c r="AA19" s="195"/>
      <c r="AB19" s="21"/>
      <c r="AC19" s="216" t="s">
        <v>271</v>
      </c>
      <c r="AD19" s="217"/>
      <c r="AE19" s="217"/>
      <c r="AF19" s="218"/>
      <c r="AG19" s="218"/>
      <c r="AH19" s="219"/>
      <c r="AI19" s="218"/>
      <c r="AJ19" s="218"/>
      <c r="AK19" s="218"/>
      <c r="AL19" s="218"/>
      <c r="AM19" s="220" t="e">
        <f>SUM(AJ19:AL19)/AH19</f>
        <v>#DIV/0!</v>
      </c>
      <c r="AN19" s="218"/>
      <c r="AO19" s="218"/>
      <c r="AP19" s="221" t="e">
        <f>SUM(AN19:AO19)/AI19</f>
        <v>#DIV/0!</v>
      </c>
      <c r="AQ19" s="218"/>
      <c r="AR19" s="218"/>
      <c r="AS19" s="221" t="e">
        <f>(AQ19+AR19)/$AG19</f>
        <v>#DIV/0!</v>
      </c>
      <c r="AT19" s="218"/>
      <c r="AU19" s="218"/>
      <c r="AV19" s="221" t="e">
        <f>(AT19+AU19)/$AG19</f>
        <v>#DIV/0!</v>
      </c>
      <c r="AW19" s="218"/>
      <c r="AX19" s="218"/>
      <c r="AY19" s="221" t="e">
        <f>(AW19+AX19)/$AG19</f>
        <v>#DIV/0!</v>
      </c>
      <c r="AZ19" s="222">
        <f>SUM(AN19,AQ19,AT19,AW19)</f>
        <v>0</v>
      </c>
      <c r="BA19" s="222">
        <f>SUM(AO19,AR19,AU19,AX19)</f>
        <v>0</v>
      </c>
      <c r="BB19" s="222">
        <f>SUM(AZ19:BA19)</f>
        <v>0</v>
      </c>
      <c r="BC19" s="221">
        <f>(BB19+1)/(AI19+1)</f>
        <v>1</v>
      </c>
      <c r="BD19" s="223"/>
      <c r="BE19" s="223"/>
    </row>
    <row r="20" spans="1:60" ht="15" customHeight="1" x14ac:dyDescent="0.2">
      <c r="A20" s="189">
        <v>18</v>
      </c>
      <c r="B20" s="190"/>
      <c r="C20" s="190"/>
      <c r="D20" s="196"/>
      <c r="E20" s="197">
        <f t="shared" ref="E20:J20" si="51">AG92</f>
        <v>0</v>
      </c>
      <c r="F20" s="197">
        <f t="shared" si="51"/>
        <v>0</v>
      </c>
      <c r="G20" s="197">
        <f t="shared" si="51"/>
        <v>0</v>
      </c>
      <c r="H20" s="197">
        <f t="shared" si="51"/>
        <v>0</v>
      </c>
      <c r="I20" s="197">
        <f t="shared" si="51"/>
        <v>0</v>
      </c>
      <c r="J20" s="197">
        <f t="shared" si="51"/>
        <v>0</v>
      </c>
      <c r="K20" s="197">
        <f>BA92</f>
        <v>0</v>
      </c>
      <c r="L20" s="184">
        <f t="shared" si="6"/>
        <v>0</v>
      </c>
      <c r="M20" s="193" t="e">
        <f t="shared" si="19"/>
        <v>#DIV/0!</v>
      </c>
      <c r="N20" s="184">
        <f>AN92+AO92</f>
        <v>0</v>
      </c>
      <c r="O20" s="194" t="e">
        <f t="shared" si="1"/>
        <v>#DIV/0!</v>
      </c>
      <c r="P20" s="184">
        <f>SUM(AQ92:AR92)</f>
        <v>0</v>
      </c>
      <c r="Q20" s="194" t="e">
        <f t="shared" si="7"/>
        <v>#DIV/0!</v>
      </c>
      <c r="R20" s="184">
        <f>SUM(AT92:AU92)</f>
        <v>0</v>
      </c>
      <c r="S20" s="194" t="e">
        <f t="shared" si="2"/>
        <v>#DIV/0!</v>
      </c>
      <c r="T20" s="184">
        <f>SUM(AU92:AV92)</f>
        <v>0</v>
      </c>
      <c r="U20" s="194" t="e">
        <f t="shared" si="3"/>
        <v>#DIV/0!</v>
      </c>
      <c r="V20" s="184">
        <f>AZ92</f>
        <v>0</v>
      </c>
      <c r="W20" s="184">
        <f>BB92</f>
        <v>0</v>
      </c>
      <c r="X20" s="194">
        <f t="shared" si="4"/>
        <v>1</v>
      </c>
      <c r="Y20" s="195"/>
      <c r="Z20" s="195"/>
      <c r="AA20" s="195"/>
      <c r="AB20" s="21"/>
      <c r="AC20" s="224" t="s">
        <v>273</v>
      </c>
      <c r="AD20" s="225"/>
      <c r="AE20" s="225"/>
      <c r="AF20" s="226"/>
      <c r="AG20" s="226"/>
      <c r="AH20" s="227"/>
      <c r="AI20" s="226"/>
      <c r="AJ20" s="226"/>
      <c r="AK20" s="226"/>
      <c r="AL20" s="226"/>
      <c r="AM20" s="228" t="e">
        <f t="shared" ref="AM20:AM21" si="52">SUM(AJ20:AL20)/AH20</f>
        <v>#DIV/0!</v>
      </c>
      <c r="AN20" s="226"/>
      <c r="AO20" s="226"/>
      <c r="AP20" s="229" t="e">
        <f t="shared" ref="AP20:AP21" si="53">SUM(AN20:AO20)/AI20</f>
        <v>#DIV/0!</v>
      </c>
      <c r="AQ20" s="226"/>
      <c r="AR20" s="226"/>
      <c r="AS20" s="229" t="e">
        <f t="shared" ref="AS20:AS21" si="54">(AQ20+AR20)/$AG20</f>
        <v>#DIV/0!</v>
      </c>
      <c r="AT20" s="226"/>
      <c r="AU20" s="226"/>
      <c r="AV20" s="229" t="e">
        <f t="shared" ref="AV20:AV21" si="55">(AT20+AU20)/$AG20</f>
        <v>#DIV/0!</v>
      </c>
      <c r="AW20" s="226"/>
      <c r="AX20" s="226"/>
      <c r="AY20" s="229" t="e">
        <f t="shared" ref="AY20:AY21" si="56">(AW20+AX20)/$AG20</f>
        <v>#DIV/0!</v>
      </c>
      <c r="AZ20" s="230">
        <f t="shared" ref="AZ20:BA21" si="57">SUM(AN20,AQ20,AT20,AW20)</f>
        <v>0</v>
      </c>
      <c r="BA20" s="230">
        <f t="shared" si="57"/>
        <v>0</v>
      </c>
      <c r="BB20" s="230">
        <f t="shared" ref="BB20:BB21" si="58">SUM(AZ20:BA20)</f>
        <v>0</v>
      </c>
      <c r="BC20" s="229">
        <f t="shared" ref="BC20:BC21" si="59">(BB20+1)/(AI20+1)</f>
        <v>1</v>
      </c>
      <c r="BD20" s="231"/>
      <c r="BE20" s="231"/>
    </row>
    <row r="21" spans="1:60" ht="15" customHeight="1" x14ac:dyDescent="0.2">
      <c r="A21" s="189">
        <v>19</v>
      </c>
      <c r="B21" s="190"/>
      <c r="C21" s="190"/>
      <c r="D21" s="196"/>
      <c r="E21" s="197">
        <f t="shared" ref="E21:J21" si="60">AG97</f>
        <v>0</v>
      </c>
      <c r="F21" s="197">
        <f t="shared" si="60"/>
        <v>0</v>
      </c>
      <c r="G21" s="197">
        <f t="shared" si="60"/>
        <v>0</v>
      </c>
      <c r="H21" s="197">
        <f t="shared" si="60"/>
        <v>0</v>
      </c>
      <c r="I21" s="197">
        <f t="shared" si="60"/>
        <v>0</v>
      </c>
      <c r="J21" s="197">
        <f t="shared" si="60"/>
        <v>0</v>
      </c>
      <c r="K21" s="197">
        <f>BA97</f>
        <v>0</v>
      </c>
      <c r="L21" s="184">
        <f t="shared" si="6"/>
        <v>0</v>
      </c>
      <c r="M21" s="193" t="e">
        <f t="shared" si="19"/>
        <v>#DIV/0!</v>
      </c>
      <c r="N21" s="184">
        <f>AN97+AO97</f>
        <v>0</v>
      </c>
      <c r="O21" s="194" t="e">
        <f t="shared" si="1"/>
        <v>#DIV/0!</v>
      </c>
      <c r="P21" s="184">
        <f>SUM(AQ97:AR97)</f>
        <v>0</v>
      </c>
      <c r="Q21" s="194" t="e">
        <f t="shared" si="7"/>
        <v>#DIV/0!</v>
      </c>
      <c r="R21" s="184">
        <f>SUM(AT97:AU97)</f>
        <v>0</v>
      </c>
      <c r="S21" s="194" t="e">
        <f t="shared" si="2"/>
        <v>#DIV/0!</v>
      </c>
      <c r="T21" s="184">
        <f>SUM(AU97:AV97)</f>
        <v>0</v>
      </c>
      <c r="U21" s="194" t="e">
        <f t="shared" si="3"/>
        <v>#DIV/0!</v>
      </c>
      <c r="V21" s="184">
        <f>AZ97</f>
        <v>0</v>
      </c>
      <c r="W21" s="184">
        <f>BB97</f>
        <v>0</v>
      </c>
      <c r="X21" s="194">
        <f t="shared" si="4"/>
        <v>1</v>
      </c>
      <c r="Y21" s="195"/>
      <c r="Z21" s="195"/>
      <c r="AA21" s="195"/>
      <c r="AB21" s="21"/>
      <c r="AC21" s="232" t="s">
        <v>275</v>
      </c>
      <c r="AD21" s="233">
        <v>45987</v>
      </c>
      <c r="AE21" s="233">
        <v>42335</v>
      </c>
      <c r="AF21" s="234">
        <v>1</v>
      </c>
      <c r="AG21" s="234">
        <v>255</v>
      </c>
      <c r="AH21" s="235">
        <v>251</v>
      </c>
      <c r="AI21" s="234">
        <v>251</v>
      </c>
      <c r="AJ21" s="234">
        <v>0</v>
      </c>
      <c r="AK21" s="234">
        <v>0</v>
      </c>
      <c r="AL21" s="234">
        <v>0</v>
      </c>
      <c r="AM21" s="236">
        <f t="shared" si="52"/>
        <v>0</v>
      </c>
      <c r="AN21" s="234">
        <v>24</v>
      </c>
      <c r="AO21" s="234">
        <v>1</v>
      </c>
      <c r="AP21" s="237">
        <f t="shared" si="53"/>
        <v>9.9601593625498003E-2</v>
      </c>
      <c r="AQ21" s="234">
        <v>12</v>
      </c>
      <c r="AR21" s="234">
        <v>0</v>
      </c>
      <c r="AS21" s="237">
        <f t="shared" si="54"/>
        <v>4.7058823529411764E-2</v>
      </c>
      <c r="AT21" s="234">
        <v>6</v>
      </c>
      <c r="AU21" s="234">
        <v>1</v>
      </c>
      <c r="AV21" s="237">
        <f t="shared" si="55"/>
        <v>2.7450980392156862E-2</v>
      </c>
      <c r="AW21" s="234">
        <v>0</v>
      </c>
      <c r="AX21" s="234">
        <v>0</v>
      </c>
      <c r="AY21" s="237">
        <f t="shared" si="56"/>
        <v>0</v>
      </c>
      <c r="AZ21" s="238">
        <f t="shared" si="57"/>
        <v>42</v>
      </c>
      <c r="BA21" s="238">
        <f t="shared" si="57"/>
        <v>2</v>
      </c>
      <c r="BB21" s="238">
        <f t="shared" si="58"/>
        <v>44</v>
      </c>
      <c r="BC21" s="237">
        <f t="shared" si="59"/>
        <v>0.17857142857142858</v>
      </c>
      <c r="BD21" s="239" t="s">
        <v>347</v>
      </c>
      <c r="BE21" s="239" t="s">
        <v>268</v>
      </c>
    </row>
    <row r="22" spans="1:60" ht="15" customHeight="1" x14ac:dyDescent="0.2">
      <c r="A22" s="198">
        <v>20</v>
      </c>
      <c r="B22" s="199"/>
      <c r="C22" s="199"/>
      <c r="D22" s="200"/>
      <c r="E22" s="197">
        <f t="shared" ref="E22:J22" si="61">AG102</f>
        <v>0</v>
      </c>
      <c r="F22" s="197">
        <f t="shared" si="61"/>
        <v>0</v>
      </c>
      <c r="G22" s="197">
        <f t="shared" si="61"/>
        <v>0</v>
      </c>
      <c r="H22" s="197">
        <f t="shared" si="61"/>
        <v>0</v>
      </c>
      <c r="I22" s="197">
        <f t="shared" si="61"/>
        <v>0</v>
      </c>
      <c r="J22" s="197">
        <f t="shared" si="61"/>
        <v>0</v>
      </c>
      <c r="K22" s="197">
        <f>BA102</f>
        <v>0</v>
      </c>
      <c r="L22" s="202">
        <f t="shared" si="6"/>
        <v>0</v>
      </c>
      <c r="M22" s="203" t="e">
        <f t="shared" si="19"/>
        <v>#DIV/0!</v>
      </c>
      <c r="N22" s="202">
        <f>AN102+AO102</f>
        <v>0</v>
      </c>
      <c r="O22" s="204" t="e">
        <f t="shared" si="1"/>
        <v>#DIV/0!</v>
      </c>
      <c r="P22" s="202">
        <f>SUM(AQ102:AR102)</f>
        <v>0</v>
      </c>
      <c r="Q22" s="204" t="e">
        <f t="shared" si="7"/>
        <v>#DIV/0!</v>
      </c>
      <c r="R22" s="202">
        <f>SUM(AT102:AU102)</f>
        <v>0</v>
      </c>
      <c r="S22" s="204" t="e">
        <f t="shared" si="2"/>
        <v>#DIV/0!</v>
      </c>
      <c r="T22" s="202">
        <f>SUM(AU102:AV102)</f>
        <v>0</v>
      </c>
      <c r="U22" s="204" t="e">
        <f t="shared" si="3"/>
        <v>#DIV/0!</v>
      </c>
      <c r="V22" s="202">
        <f>AZ102</f>
        <v>0</v>
      </c>
      <c r="W22" s="202">
        <f>BB102</f>
        <v>0</v>
      </c>
      <c r="X22" s="204">
        <f t="shared" si="4"/>
        <v>1</v>
      </c>
      <c r="Y22" s="205"/>
      <c r="Z22" s="205"/>
      <c r="AA22" s="205"/>
      <c r="AB22" s="21"/>
      <c r="AC22" s="7"/>
      <c r="AG22" s="240">
        <f>SUM(AG19:AG21)</f>
        <v>255</v>
      </c>
      <c r="AH22" s="240">
        <f>SUM(AH19:AH21)</f>
        <v>251</v>
      </c>
      <c r="AI22" s="240">
        <f t="shared" ref="AI22:AL22" si="62">SUM(AI19:AI21)</f>
        <v>251</v>
      </c>
      <c r="AJ22" s="240">
        <f t="shared" si="62"/>
        <v>0</v>
      </c>
      <c r="AK22" s="240">
        <f t="shared" si="62"/>
        <v>0</v>
      </c>
      <c r="AL22" s="240">
        <f t="shared" si="62"/>
        <v>0</v>
      </c>
      <c r="AM22" s="135"/>
      <c r="AN22" s="240">
        <f>SUM(AN19:AN21)</f>
        <v>24</v>
      </c>
      <c r="AO22" s="240">
        <f>SUM(AO19:AO21)</f>
        <v>1</v>
      </c>
      <c r="AP22" s="241"/>
      <c r="AQ22" s="240">
        <f>SUM(AQ19:AQ21)</f>
        <v>12</v>
      </c>
      <c r="AR22" s="240">
        <f>SUM(AR19:AR21)</f>
        <v>0</v>
      </c>
      <c r="AS22" s="241"/>
      <c r="AT22" s="240">
        <f>SUM(AT19:AT21)</f>
        <v>6</v>
      </c>
      <c r="AU22" s="240">
        <f>SUM(AU19:AU21)</f>
        <v>1</v>
      </c>
      <c r="AV22" s="241"/>
      <c r="AW22" s="240">
        <f>SUM(AW19:AW21)</f>
        <v>0</v>
      </c>
      <c r="AX22" s="240">
        <f>SUM(AX19:AX21)</f>
        <v>0</v>
      </c>
      <c r="AY22" s="241"/>
      <c r="AZ22" s="240">
        <f>SUM(AZ19:AZ21)</f>
        <v>42</v>
      </c>
      <c r="BA22" s="240">
        <f>SUM(BA19:BA21)</f>
        <v>2</v>
      </c>
      <c r="BB22" s="240">
        <f>SUM(AZ22:BA22)</f>
        <v>44</v>
      </c>
      <c r="BC22" s="242">
        <f>(BB22+1)/(AI22+1)</f>
        <v>0.17857142857142858</v>
      </c>
      <c r="BD22" s="98"/>
      <c r="BE22" s="98"/>
    </row>
    <row r="23" spans="1:60" ht="15" customHeight="1" x14ac:dyDescent="0.2">
      <c r="D23" s="24"/>
      <c r="E23" s="99">
        <f>SUM(E3:E22)</f>
        <v>2999</v>
      </c>
      <c r="F23" s="99">
        <f>SUM(F3:F22)</f>
        <v>2692</v>
      </c>
      <c r="G23" s="99">
        <f t="shared" ref="G23:R23" si="63">SUM(G3:G22)</f>
        <v>2665</v>
      </c>
      <c r="H23" s="99">
        <f t="shared" si="63"/>
        <v>293</v>
      </c>
      <c r="I23" s="99">
        <f t="shared" si="63"/>
        <v>9</v>
      </c>
      <c r="J23" s="99">
        <f t="shared" si="63"/>
        <v>5</v>
      </c>
      <c r="K23" s="99">
        <f t="shared" si="63"/>
        <v>12</v>
      </c>
      <c r="L23" s="99">
        <f t="shared" ref="L23" si="64">SUM(H23:K23)</f>
        <v>319</v>
      </c>
      <c r="M23" s="101">
        <f t="shared" ref="M23" si="65">L23/E23</f>
        <v>0.10636878959653218</v>
      </c>
      <c r="N23" s="99">
        <f t="shared" si="63"/>
        <v>280</v>
      </c>
      <c r="O23" s="100">
        <f t="shared" ref="O23" si="66">N23/G23</f>
        <v>0.1050656660412758</v>
      </c>
      <c r="P23" s="99">
        <f t="shared" si="63"/>
        <v>73</v>
      </c>
      <c r="Q23" s="100">
        <f t="shared" ref="Q23" si="67">P23/G23</f>
        <v>2.7392120075046905E-2</v>
      </c>
      <c r="R23" s="99">
        <f t="shared" si="63"/>
        <v>32</v>
      </c>
      <c r="S23" s="100">
        <f t="shared" ref="S23" si="68">R23/G23</f>
        <v>1.200750469043152E-2</v>
      </c>
      <c r="T23" s="99">
        <f>SUM(T3:T6)</f>
        <v>1</v>
      </c>
      <c r="U23" s="100">
        <f t="shared" ref="U23" si="69">T23/G23</f>
        <v>3.7523452157598499E-4</v>
      </c>
      <c r="V23" s="99">
        <f t="shared" ref="V23:X23" si="70">SUM(V3:V22)</f>
        <v>376</v>
      </c>
      <c r="W23" s="99">
        <f t="shared" si="70"/>
        <v>388</v>
      </c>
      <c r="X23" s="99">
        <f t="shared" si="70"/>
        <v>10.643451708148685</v>
      </c>
      <c r="Y23" s="100"/>
      <c r="Z23" s="101"/>
      <c r="AA23" s="101"/>
      <c r="AB23" s="21"/>
      <c r="AC23" s="212" t="s">
        <v>279</v>
      </c>
      <c r="AD23" s="295"/>
      <c r="AE23" s="296"/>
      <c r="AF23" s="297"/>
      <c r="AG23" s="15"/>
      <c r="AH23" s="15"/>
      <c r="AI23" s="15"/>
      <c r="AJ23" s="15"/>
      <c r="AK23" s="15"/>
      <c r="AL23" s="22"/>
      <c r="AM23" s="213"/>
      <c r="AN23" s="23"/>
      <c r="AO23" s="23"/>
      <c r="AP23" s="7"/>
      <c r="AQ23" s="15"/>
      <c r="AR23" s="15"/>
      <c r="AS23" s="7"/>
      <c r="AT23" s="15"/>
      <c r="AU23" s="15"/>
      <c r="AV23" s="7"/>
      <c r="AW23" s="15"/>
      <c r="AX23" s="15"/>
      <c r="AY23" s="214"/>
      <c r="AZ23" s="215"/>
      <c r="BA23" s="10"/>
      <c r="BB23" s="7"/>
      <c r="BC23" s="7"/>
      <c r="BD23" s="7"/>
      <c r="BE23" s="7"/>
    </row>
    <row r="24" spans="1:60" ht="15" customHeight="1" x14ac:dyDescent="0.2">
      <c r="O24" s="18"/>
      <c r="Q24" s="18"/>
      <c r="S24" s="18"/>
      <c r="U24" s="18"/>
      <c r="Y24" s="23"/>
      <c r="Z24" s="18"/>
      <c r="AA24" s="18"/>
      <c r="AB24" s="21"/>
      <c r="AC24" s="216" t="s">
        <v>271</v>
      </c>
      <c r="AD24" s="190">
        <v>45997</v>
      </c>
      <c r="AE24" s="190">
        <v>45998</v>
      </c>
      <c r="AF24" s="196">
        <v>3</v>
      </c>
      <c r="AG24" s="218">
        <v>227</v>
      </c>
      <c r="AH24" s="219">
        <v>227</v>
      </c>
      <c r="AI24" s="218">
        <v>227</v>
      </c>
      <c r="AJ24" s="218">
        <v>0</v>
      </c>
      <c r="AK24" s="218">
        <v>0</v>
      </c>
      <c r="AL24" s="218">
        <v>0</v>
      </c>
      <c r="AM24" s="220">
        <f>SUM(AJ24:AL24)/AH24</f>
        <v>0</v>
      </c>
      <c r="AN24" s="218">
        <v>43</v>
      </c>
      <c r="AO24" s="218">
        <v>0</v>
      </c>
      <c r="AP24" s="221">
        <f>SUM(AN24:AO24)/AI24</f>
        <v>0.1894273127753304</v>
      </c>
      <c r="AQ24" s="218">
        <v>3</v>
      </c>
      <c r="AR24" s="218">
        <v>0</v>
      </c>
      <c r="AS24" s="221">
        <f>(AQ24+AR24)/$AG24</f>
        <v>1.3215859030837005E-2</v>
      </c>
      <c r="AT24" s="218">
        <v>0</v>
      </c>
      <c r="AU24" s="218">
        <v>0</v>
      </c>
      <c r="AV24" s="221">
        <f>(AT24+AU24)/$AG24</f>
        <v>0</v>
      </c>
      <c r="AW24" s="218">
        <v>2</v>
      </c>
      <c r="AX24" s="218">
        <v>0</v>
      </c>
      <c r="AY24" s="221">
        <f>(AW24+AX24)/$AG24</f>
        <v>8.8105726872246704E-3</v>
      </c>
      <c r="AZ24" s="222">
        <f>SUM(AN24,AQ24,AT24,AW24)</f>
        <v>48</v>
      </c>
      <c r="BA24" s="222">
        <f>SUM(AO24,AR24,AU24,AX24)</f>
        <v>0</v>
      </c>
      <c r="BB24" s="222">
        <f>SUM(AZ24:BA24)</f>
        <v>48</v>
      </c>
      <c r="BC24" s="221">
        <f>(BB24+1)/(AI24+1)</f>
        <v>0.21491228070175439</v>
      </c>
      <c r="BD24" s="223" t="s">
        <v>347</v>
      </c>
      <c r="BE24" s="223"/>
    </row>
    <row r="25" spans="1:60" ht="15" customHeight="1" x14ac:dyDescent="0.3">
      <c r="F25" s="107" t="s">
        <v>289</v>
      </c>
      <c r="G25" s="122"/>
      <c r="H25" s="123"/>
      <c r="I25" s="124"/>
      <c r="J25" s="124"/>
      <c r="K25" s="124"/>
      <c r="L25" s="124"/>
      <c r="M25" s="125"/>
      <c r="N25" s="125"/>
      <c r="O25" s="12"/>
      <c r="P25" s="123"/>
      <c r="Q25" s="13"/>
      <c r="R25" s="123"/>
      <c r="S25" s="13"/>
      <c r="T25" s="123"/>
      <c r="U25" s="14"/>
      <c r="V25" s="131"/>
      <c r="Y25" s="23"/>
      <c r="Z25" s="18"/>
      <c r="AA25" s="18"/>
      <c r="AB25" s="21"/>
      <c r="AC25" s="224" t="s">
        <v>273</v>
      </c>
      <c r="AD25" s="225"/>
      <c r="AE25" s="225"/>
      <c r="AF25" s="226"/>
      <c r="AG25" s="226"/>
      <c r="AH25" s="227"/>
      <c r="AI25" s="226"/>
      <c r="AJ25" s="226"/>
      <c r="AK25" s="226"/>
      <c r="AL25" s="226"/>
      <c r="AM25" s="228" t="e">
        <f t="shared" ref="AM25:AM26" si="71">SUM(AJ25:AL25)/AH25</f>
        <v>#DIV/0!</v>
      </c>
      <c r="AN25" s="226"/>
      <c r="AO25" s="226"/>
      <c r="AP25" s="229" t="e">
        <f t="shared" ref="AP25:AP26" si="72">SUM(AN25:AO25)/AI25</f>
        <v>#DIV/0!</v>
      </c>
      <c r="AQ25" s="226"/>
      <c r="AR25" s="226"/>
      <c r="AS25" s="229" t="e">
        <f t="shared" ref="AS25:AS26" si="73">(AQ25+AR25)/$AG25</f>
        <v>#DIV/0!</v>
      </c>
      <c r="AT25" s="226"/>
      <c r="AU25" s="226"/>
      <c r="AV25" s="229" t="e">
        <f t="shared" ref="AV25:AV26" si="74">(AT25+AU25)/$AG25</f>
        <v>#DIV/0!</v>
      </c>
      <c r="AW25" s="226"/>
      <c r="AX25" s="226"/>
      <c r="AY25" s="229" t="e">
        <f t="shared" ref="AY25:AY26" si="75">(AW25+AX25)/$AG25</f>
        <v>#DIV/0!</v>
      </c>
      <c r="AZ25" s="230">
        <f t="shared" ref="AZ25:BA26" si="76">SUM(AN25,AQ25,AT25,AW25)</f>
        <v>0</v>
      </c>
      <c r="BA25" s="230">
        <f t="shared" si="76"/>
        <v>0</v>
      </c>
      <c r="BB25" s="230">
        <f t="shared" ref="BB25:BB26" si="77">SUM(AZ25:BA25)</f>
        <v>0</v>
      </c>
      <c r="BC25" s="229">
        <f t="shared" ref="BC25:BC26" si="78">(BB25+1)/(AI25+1)</f>
        <v>1</v>
      </c>
      <c r="BD25" s="231"/>
      <c r="BE25" s="231"/>
    </row>
    <row r="26" spans="1:60" ht="15" customHeight="1" thickBot="1" x14ac:dyDescent="0.35">
      <c r="F26" s="137" t="s">
        <v>228</v>
      </c>
      <c r="G26" s="138"/>
      <c r="H26" s="139"/>
      <c r="I26" s="140"/>
      <c r="J26" s="141"/>
      <c r="K26" s="141"/>
      <c r="L26" s="141"/>
      <c r="M26" s="142"/>
      <c r="N26" s="139"/>
      <c r="O26" s="143"/>
      <c r="P26" s="139"/>
      <c r="Q26" s="143"/>
      <c r="R26" s="139"/>
      <c r="S26" s="144"/>
      <c r="T26" s="145"/>
      <c r="U26" s="18"/>
      <c r="Y26" s="23"/>
      <c r="Z26" s="18"/>
      <c r="AA26" s="18"/>
      <c r="AB26" s="21"/>
      <c r="AC26" s="232" t="s">
        <v>275</v>
      </c>
      <c r="AD26" s="233"/>
      <c r="AE26" s="233"/>
      <c r="AF26" s="234"/>
      <c r="AG26" s="234"/>
      <c r="AH26" s="235"/>
      <c r="AI26" s="234"/>
      <c r="AJ26" s="234"/>
      <c r="AK26" s="234"/>
      <c r="AL26" s="234"/>
      <c r="AM26" s="236" t="e">
        <f t="shared" si="71"/>
        <v>#DIV/0!</v>
      </c>
      <c r="AN26" s="234"/>
      <c r="AO26" s="234"/>
      <c r="AP26" s="237" t="e">
        <f t="shared" si="72"/>
        <v>#DIV/0!</v>
      </c>
      <c r="AQ26" s="234"/>
      <c r="AR26" s="234"/>
      <c r="AS26" s="237" t="e">
        <f t="shared" si="73"/>
        <v>#DIV/0!</v>
      </c>
      <c r="AT26" s="234"/>
      <c r="AU26" s="234"/>
      <c r="AV26" s="237" t="e">
        <f t="shared" si="74"/>
        <v>#DIV/0!</v>
      </c>
      <c r="AW26" s="234"/>
      <c r="AX26" s="234"/>
      <c r="AY26" s="237" t="e">
        <f t="shared" si="75"/>
        <v>#DIV/0!</v>
      </c>
      <c r="AZ26" s="238">
        <f t="shared" si="76"/>
        <v>0</v>
      </c>
      <c r="BA26" s="238">
        <f t="shared" si="76"/>
        <v>0</v>
      </c>
      <c r="BB26" s="238">
        <f t="shared" si="77"/>
        <v>0</v>
      </c>
      <c r="BC26" s="237">
        <f t="shared" si="78"/>
        <v>1</v>
      </c>
      <c r="BD26" s="239"/>
      <c r="BE26" s="239"/>
    </row>
    <row r="27" spans="1:60" ht="12.75" x14ac:dyDescent="0.2">
      <c r="O27" s="18"/>
      <c r="Q27" s="18"/>
      <c r="S27" s="18"/>
      <c r="U27" s="18"/>
      <c r="Y27" s="23"/>
      <c r="Z27" s="18"/>
      <c r="AA27" s="18"/>
      <c r="AB27" s="21"/>
      <c r="AC27" s="7"/>
      <c r="AG27" s="240">
        <f>SUM(AG24:AG26)</f>
        <v>227</v>
      </c>
      <c r="AH27" s="240">
        <f>SUM(AH24:AH26)</f>
        <v>227</v>
      </c>
      <c r="AI27" s="240">
        <f t="shared" ref="AI27:AL27" si="79">SUM(AI24:AI26)</f>
        <v>227</v>
      </c>
      <c r="AJ27" s="240">
        <f t="shared" si="79"/>
        <v>0</v>
      </c>
      <c r="AK27" s="240">
        <f t="shared" si="79"/>
        <v>0</v>
      </c>
      <c r="AL27" s="240">
        <f t="shared" si="79"/>
        <v>0</v>
      </c>
      <c r="AM27" s="135"/>
      <c r="AN27" s="240">
        <f>SUM(AN24:AN26)</f>
        <v>43</v>
      </c>
      <c r="AO27" s="240">
        <f>SUM(AO24:AO26)</f>
        <v>0</v>
      </c>
      <c r="AP27" s="241"/>
      <c r="AQ27" s="240">
        <f>SUM(AQ24:AQ26)</f>
        <v>3</v>
      </c>
      <c r="AR27" s="240">
        <f>SUM(AR24:AR26)</f>
        <v>0</v>
      </c>
      <c r="AS27" s="241"/>
      <c r="AT27" s="240">
        <f>SUM(AT24:AT26)</f>
        <v>0</v>
      </c>
      <c r="AU27" s="240">
        <f>SUM(AU24:AU26)</f>
        <v>0</v>
      </c>
      <c r="AV27" s="241"/>
      <c r="AW27" s="240">
        <f>SUM(AW24:AW26)</f>
        <v>2</v>
      </c>
      <c r="AX27" s="240">
        <f>SUM(AX24:AX26)</f>
        <v>0</v>
      </c>
      <c r="AY27" s="241"/>
      <c r="AZ27" s="240">
        <f>SUM(AZ24:AZ26)</f>
        <v>48</v>
      </c>
      <c r="BA27" s="240">
        <f>SUM(BA24:BA26)</f>
        <v>0</v>
      </c>
      <c r="BB27" s="240">
        <f>SUM(AZ27:BA27)</f>
        <v>48</v>
      </c>
      <c r="BC27" s="242">
        <f>(BB27+1)/(AI27+1)</f>
        <v>0.21491228070175439</v>
      </c>
      <c r="BD27" s="98"/>
      <c r="BE27" s="98"/>
    </row>
    <row r="28" spans="1:60" ht="13.5" thickBot="1" x14ac:dyDescent="0.25">
      <c r="I28" s="116" t="s">
        <v>291</v>
      </c>
      <c r="J28" s="3" t="s">
        <v>292</v>
      </c>
      <c r="K28" s="116" t="s">
        <v>293</v>
      </c>
      <c r="L28" s="115"/>
      <c r="M28" s="115"/>
      <c r="N28" s="115"/>
      <c r="O28" s="115"/>
      <c r="P28" s="115"/>
      <c r="Q28" s="115"/>
      <c r="U28" s="31"/>
      <c r="V28" s="133"/>
      <c r="W28" s="133"/>
      <c r="X28" s="133"/>
      <c r="Z28" s="18"/>
      <c r="AA28" s="18"/>
      <c r="AB28" s="21"/>
      <c r="AC28" s="212" t="s">
        <v>280</v>
      </c>
      <c r="AD28" s="15"/>
      <c r="AE28" s="23"/>
      <c r="AF28" s="16"/>
      <c r="AG28" s="15"/>
      <c r="AH28" s="15"/>
      <c r="AI28" s="15"/>
      <c r="AJ28" s="15"/>
      <c r="AK28" s="15"/>
      <c r="AL28" s="22"/>
      <c r="AM28" s="213"/>
      <c r="AN28" s="23"/>
      <c r="AO28" s="23"/>
      <c r="AP28" s="7"/>
      <c r="AQ28" s="15"/>
      <c r="AR28" s="15"/>
      <c r="AS28" s="7"/>
      <c r="AT28" s="15"/>
      <c r="AU28" s="15"/>
      <c r="AV28" s="7"/>
      <c r="AW28" s="15"/>
      <c r="AX28" s="15"/>
      <c r="AY28" s="214"/>
      <c r="AZ28" s="215"/>
      <c r="BA28" s="10"/>
      <c r="BB28" s="7"/>
      <c r="BC28" s="7"/>
      <c r="BD28" s="7"/>
      <c r="BE28" s="7"/>
    </row>
    <row r="29" spans="1:60" ht="12.75" x14ac:dyDescent="0.2">
      <c r="D29" s="117"/>
      <c r="E29" s="117"/>
      <c r="F29" s="118"/>
      <c r="I29" s="119">
        <f>ROUND(AVERAGE(G3:G13),0)</f>
        <v>242</v>
      </c>
      <c r="J29" s="5">
        <f>ROUND(AVERAGE(W3:W13),0)</f>
        <v>35</v>
      </c>
      <c r="K29" s="148">
        <f>(J29+1)/(I29+1)</f>
        <v>0.14814814814814814</v>
      </c>
      <c r="L29" s="115"/>
      <c r="M29" s="115"/>
      <c r="N29" s="115"/>
      <c r="O29" s="115"/>
      <c r="P29" s="115"/>
      <c r="Q29" s="115"/>
      <c r="Y29" s="17"/>
      <c r="Z29" s="18"/>
      <c r="AA29" s="18"/>
      <c r="AB29" s="21"/>
      <c r="AC29" s="216" t="s">
        <v>271</v>
      </c>
      <c r="AD29" s="217"/>
      <c r="AE29" s="217"/>
      <c r="AF29" s="218"/>
      <c r="AG29" s="218"/>
      <c r="AH29" s="219"/>
      <c r="AI29" s="218"/>
      <c r="AJ29" s="218"/>
      <c r="AK29" s="218"/>
      <c r="AL29" s="218"/>
      <c r="AM29" s="220" t="e">
        <f>SUM(AJ29:AL29)/AH29</f>
        <v>#DIV/0!</v>
      </c>
      <c r="AN29" s="218"/>
      <c r="AO29" s="218"/>
      <c r="AP29" s="221" t="e">
        <f>SUM(AN29:AO29)/AI29</f>
        <v>#DIV/0!</v>
      </c>
      <c r="AQ29" s="218"/>
      <c r="AR29" s="218"/>
      <c r="AS29" s="221" t="e">
        <f>(AQ29+AR29)/$AG29</f>
        <v>#DIV/0!</v>
      </c>
      <c r="AT29" s="218"/>
      <c r="AU29" s="218"/>
      <c r="AV29" s="221" t="e">
        <f>(AT29+AU29)/$AG29</f>
        <v>#DIV/0!</v>
      </c>
      <c r="AW29" s="218"/>
      <c r="AX29" s="218"/>
      <c r="AY29" s="221" t="e">
        <f>(AW29+AX29)/$AG29</f>
        <v>#DIV/0!</v>
      </c>
      <c r="AZ29" s="222">
        <f>SUM(AN29,AQ29,AT29,AW29)</f>
        <v>0</v>
      </c>
      <c r="BA29" s="222">
        <f>SUM(AO29,AR29,AU29,AX29)</f>
        <v>0</v>
      </c>
      <c r="BB29" s="222">
        <f>SUM(AZ29:BA29)</f>
        <v>0</v>
      </c>
      <c r="BC29" s="221">
        <f>(BB29+1)/(AI29+1)</f>
        <v>1</v>
      </c>
      <c r="BD29" s="223"/>
      <c r="BE29" s="223"/>
    </row>
    <row r="30" spans="1:60" ht="15" customHeight="1" x14ac:dyDescent="0.2">
      <c r="I30" s="120" t="s">
        <v>294</v>
      </c>
      <c r="J30" s="115"/>
      <c r="K30" s="120"/>
      <c r="L30" s="115"/>
      <c r="M30" s="115"/>
      <c r="N30" s="115"/>
      <c r="O30" s="115"/>
      <c r="P30" s="115"/>
      <c r="Q30" s="115"/>
      <c r="Y30" s="17"/>
      <c r="Z30" s="18"/>
      <c r="AA30" s="18"/>
      <c r="AB30" s="21"/>
      <c r="AC30" s="224" t="s">
        <v>273</v>
      </c>
      <c r="AD30" s="225"/>
      <c r="AE30" s="225"/>
      <c r="AF30" s="226"/>
      <c r="AG30" s="226"/>
      <c r="AH30" s="227"/>
      <c r="AI30" s="226"/>
      <c r="AJ30" s="226"/>
      <c r="AK30" s="226"/>
      <c r="AL30" s="226"/>
      <c r="AM30" s="228" t="e">
        <f t="shared" ref="AM30:AM31" si="80">SUM(AJ30:AL30)/AH30</f>
        <v>#DIV/0!</v>
      </c>
      <c r="AN30" s="226"/>
      <c r="AO30" s="226"/>
      <c r="AP30" s="229" t="e">
        <f t="shared" ref="AP30:AP31" si="81">SUM(AN30:AO30)/AI30</f>
        <v>#DIV/0!</v>
      </c>
      <c r="AQ30" s="226"/>
      <c r="AR30" s="226"/>
      <c r="AS30" s="229" t="e">
        <f t="shared" ref="AS30:AS31" si="82">(AQ30+AR30)/$AG30</f>
        <v>#DIV/0!</v>
      </c>
      <c r="AT30" s="226"/>
      <c r="AU30" s="226"/>
      <c r="AV30" s="229" t="e">
        <f t="shared" ref="AV30:AV31" si="83">(AT30+AU30)/$AG30</f>
        <v>#DIV/0!</v>
      </c>
      <c r="AW30" s="226"/>
      <c r="AX30" s="226"/>
      <c r="AY30" s="229" t="e">
        <f t="shared" ref="AY30:AY31" si="84">(AW30+AX30)/$AG30</f>
        <v>#DIV/0!</v>
      </c>
      <c r="AZ30" s="230">
        <f t="shared" ref="AZ30:BA31" si="85">SUM(AN30,AQ30,AT30,AW30)</f>
        <v>0</v>
      </c>
      <c r="BA30" s="230">
        <f t="shared" si="85"/>
        <v>0</v>
      </c>
      <c r="BB30" s="230">
        <f t="shared" ref="BB30:BB31" si="86">SUM(AZ30:BA30)</f>
        <v>0</v>
      </c>
      <c r="BC30" s="229">
        <f t="shared" ref="BC30:BC31" si="87">(BB30+1)/(AI30+1)</f>
        <v>1</v>
      </c>
      <c r="BD30" s="231"/>
      <c r="BE30" s="231"/>
    </row>
    <row r="31" spans="1:60" ht="15" customHeight="1" thickBot="1" x14ac:dyDescent="0.25">
      <c r="J31" s="121"/>
      <c r="K31" s="121"/>
      <c r="L31" s="121"/>
      <c r="M31" s="38"/>
      <c r="Y31" s="17"/>
      <c r="Z31" s="18"/>
      <c r="AA31" s="18"/>
      <c r="AB31" s="21"/>
      <c r="AC31" s="232" t="s">
        <v>275</v>
      </c>
      <c r="AD31" s="293">
        <v>45997</v>
      </c>
      <c r="AE31" s="293">
        <v>45998</v>
      </c>
      <c r="AF31" s="294">
        <v>3</v>
      </c>
      <c r="AG31" s="234">
        <v>263</v>
      </c>
      <c r="AH31" s="235">
        <v>263</v>
      </c>
      <c r="AI31" s="234">
        <v>263</v>
      </c>
      <c r="AJ31" s="234">
        <v>0</v>
      </c>
      <c r="AK31" s="234">
        <v>0</v>
      </c>
      <c r="AL31" s="234">
        <v>0</v>
      </c>
      <c r="AM31" s="236">
        <f t="shared" si="80"/>
        <v>0</v>
      </c>
      <c r="AN31" s="234">
        <v>30</v>
      </c>
      <c r="AO31" s="234">
        <v>0</v>
      </c>
      <c r="AP31" s="237">
        <f t="shared" si="81"/>
        <v>0.11406844106463879</v>
      </c>
      <c r="AQ31" s="234">
        <v>3</v>
      </c>
      <c r="AR31" s="234">
        <v>0</v>
      </c>
      <c r="AS31" s="237">
        <f t="shared" si="82"/>
        <v>1.1406844106463879E-2</v>
      </c>
      <c r="AT31" s="234">
        <v>1</v>
      </c>
      <c r="AU31" s="234">
        <v>0</v>
      </c>
      <c r="AV31" s="237">
        <f t="shared" si="83"/>
        <v>3.8022813688212928E-3</v>
      </c>
      <c r="AW31" s="234">
        <v>0</v>
      </c>
      <c r="AX31" s="234">
        <v>0</v>
      </c>
      <c r="AY31" s="237">
        <f t="shared" si="84"/>
        <v>0</v>
      </c>
      <c r="AZ31" s="238">
        <f t="shared" si="85"/>
        <v>34</v>
      </c>
      <c r="BA31" s="238">
        <f t="shared" si="85"/>
        <v>0</v>
      </c>
      <c r="BB31" s="238">
        <f t="shared" si="86"/>
        <v>34</v>
      </c>
      <c r="BC31" s="237">
        <f t="shared" si="87"/>
        <v>0.13257575757575757</v>
      </c>
      <c r="BD31" s="239" t="s">
        <v>347</v>
      </c>
      <c r="BE31" s="239"/>
    </row>
    <row r="32" spans="1:60" ht="15" customHeight="1" x14ac:dyDescent="0.2">
      <c r="J32" s="121"/>
      <c r="K32" s="121"/>
      <c r="L32" s="121"/>
      <c r="M32" s="38"/>
      <c r="O32" s="18"/>
      <c r="Q32" s="18"/>
      <c r="S32" s="18"/>
      <c r="Y32" s="17"/>
      <c r="AB32" s="21"/>
      <c r="AC32" s="7"/>
      <c r="AG32" s="240">
        <f>SUM(AG29:AG31)</f>
        <v>263</v>
      </c>
      <c r="AH32" s="240">
        <f>SUM(AH29:AH31)</f>
        <v>263</v>
      </c>
      <c r="AI32" s="240">
        <f t="shared" ref="AI32:AL32" si="88">SUM(AI29:AI31)</f>
        <v>263</v>
      </c>
      <c r="AJ32" s="240">
        <f t="shared" si="88"/>
        <v>0</v>
      </c>
      <c r="AK32" s="240">
        <f t="shared" si="88"/>
        <v>0</v>
      </c>
      <c r="AL32" s="240">
        <f t="shared" si="88"/>
        <v>0</v>
      </c>
      <c r="AM32" s="135"/>
      <c r="AN32" s="240">
        <f>SUM(AN29:AN31)</f>
        <v>30</v>
      </c>
      <c r="AO32" s="240">
        <f>SUM(AO29:AO31)</f>
        <v>0</v>
      </c>
      <c r="AP32" s="241"/>
      <c r="AQ32" s="240">
        <f>SUM(AQ29:AQ31)</f>
        <v>3</v>
      </c>
      <c r="AR32" s="240">
        <f>SUM(AR29:AR31)</f>
        <v>0</v>
      </c>
      <c r="AS32" s="241"/>
      <c r="AT32" s="240">
        <f>SUM(AT29:AT31)</f>
        <v>1</v>
      </c>
      <c r="AU32" s="240">
        <f>SUM(AU29:AU31)</f>
        <v>0</v>
      </c>
      <c r="AV32" s="241"/>
      <c r="AW32" s="240">
        <f>SUM(AW29:AW31)</f>
        <v>0</v>
      </c>
      <c r="AX32" s="240">
        <f>SUM(AX29:AX31)</f>
        <v>0</v>
      </c>
      <c r="AY32" s="241"/>
      <c r="AZ32" s="240">
        <f>SUM(AZ29:AZ31)</f>
        <v>34</v>
      </c>
      <c r="BA32" s="240">
        <f>SUM(BA29:BA31)</f>
        <v>0</v>
      </c>
      <c r="BB32" s="240">
        <f>SUM(AZ32:BA32)</f>
        <v>34</v>
      </c>
      <c r="BC32" s="242">
        <f>(BB32+1)/(AI32+1)</f>
        <v>0.13257575757575757</v>
      </c>
      <c r="BD32" s="98"/>
      <c r="BE32" s="98"/>
    </row>
    <row r="33" spans="3:59" ht="15" customHeight="1" thickBot="1" x14ac:dyDescent="0.25">
      <c r="D33" s="105"/>
      <c r="E33" s="105"/>
      <c r="F33" s="105"/>
      <c r="G33" s="105"/>
      <c r="H33" s="105"/>
      <c r="I33" s="105"/>
      <c r="J33" s="105"/>
      <c r="K33" s="105"/>
      <c r="L33" s="105"/>
      <c r="M33" s="105"/>
      <c r="N33" s="105"/>
      <c r="O33" s="105"/>
      <c r="P33" s="105"/>
      <c r="Q33" s="105"/>
      <c r="R33" s="105"/>
      <c r="S33" s="105"/>
      <c r="T33" s="105"/>
      <c r="U33" s="18"/>
      <c r="Y33" s="18"/>
      <c r="AB33" s="21"/>
      <c r="AC33" s="212" t="s">
        <v>281</v>
      </c>
      <c r="AD33" s="15"/>
      <c r="AE33" s="23"/>
      <c r="AF33" s="16"/>
      <c r="AG33" s="15"/>
      <c r="AH33" s="15"/>
      <c r="AI33" s="15"/>
      <c r="AJ33" s="15"/>
      <c r="AK33" s="15"/>
      <c r="AL33" s="22"/>
      <c r="AM33" s="213"/>
      <c r="AN33" s="23"/>
      <c r="AO33" s="23"/>
      <c r="AP33" s="7"/>
      <c r="AQ33" s="15"/>
      <c r="AR33" s="15"/>
      <c r="AS33" s="7"/>
      <c r="AT33" s="15"/>
      <c r="AU33" s="15"/>
      <c r="AV33" s="7"/>
      <c r="AW33" s="15"/>
      <c r="AX33" s="15"/>
      <c r="AY33" s="214"/>
      <c r="AZ33" s="215"/>
      <c r="BA33" s="10"/>
      <c r="BB33" s="7"/>
      <c r="BC33" s="7"/>
      <c r="BD33" s="7"/>
      <c r="BE33" s="7"/>
    </row>
    <row r="34" spans="3:59" ht="15" customHeight="1" x14ac:dyDescent="0.25">
      <c r="C34" s="108"/>
      <c r="D34" s="126"/>
      <c r="E34" s="126"/>
      <c r="F34" s="127"/>
      <c r="G34" s="128"/>
      <c r="H34" s="128"/>
      <c r="I34" s="128"/>
      <c r="J34" s="121"/>
      <c r="K34" s="121"/>
      <c r="L34" s="121"/>
      <c r="M34" s="38"/>
      <c r="S34" s="18"/>
      <c r="U34" s="43"/>
      <c r="V34" s="134"/>
      <c r="W34" s="134"/>
      <c r="X34" s="134"/>
      <c r="AB34" s="21"/>
      <c r="AC34" s="216" t="s">
        <v>271</v>
      </c>
      <c r="AD34" s="217"/>
      <c r="AE34" s="217"/>
      <c r="AF34" s="218"/>
      <c r="AG34" s="218"/>
      <c r="AH34" s="219"/>
      <c r="AI34" s="218"/>
      <c r="AJ34" s="218"/>
      <c r="AK34" s="218"/>
      <c r="AL34" s="218"/>
      <c r="AM34" s="220" t="e">
        <f>SUM(AJ34:AL34)/AH34</f>
        <v>#DIV/0!</v>
      </c>
      <c r="AN34" s="218"/>
      <c r="AO34" s="218"/>
      <c r="AP34" s="221" t="e">
        <f>SUM(AN34:AO34)/AI34</f>
        <v>#DIV/0!</v>
      </c>
      <c r="AQ34" s="218"/>
      <c r="AR34" s="218"/>
      <c r="AS34" s="221" t="e">
        <f>(AQ34+AR34)/$AG34</f>
        <v>#DIV/0!</v>
      </c>
      <c r="AT34" s="218"/>
      <c r="AU34" s="218"/>
      <c r="AV34" s="221" t="e">
        <f>(AT34+AU34)/$AG34</f>
        <v>#DIV/0!</v>
      </c>
      <c r="AW34" s="218"/>
      <c r="AX34" s="218"/>
      <c r="AY34" s="221" t="e">
        <f>(AW34+AX34)/$AG34</f>
        <v>#DIV/0!</v>
      </c>
      <c r="AZ34" s="222">
        <f>SUM(AN34,AQ34,AT34,AW34)</f>
        <v>0</v>
      </c>
      <c r="BA34" s="222">
        <f>SUM(AO34,AR34,AU34,AX34)</f>
        <v>0</v>
      </c>
      <c r="BB34" s="222">
        <f>SUM(AZ34:BA34)</f>
        <v>0</v>
      </c>
      <c r="BC34" s="221">
        <f>(BB34+1)/(AI34+1)</f>
        <v>1</v>
      </c>
      <c r="BD34" s="223"/>
      <c r="BE34" s="223"/>
    </row>
    <row r="35" spans="3:59" ht="15" customHeight="1" x14ac:dyDescent="0.2">
      <c r="S35" s="18"/>
      <c r="U35" s="43"/>
      <c r="V35" s="134"/>
      <c r="W35" s="134"/>
      <c r="X35" s="134"/>
      <c r="AB35" s="21"/>
      <c r="AC35" s="224" t="s">
        <v>273</v>
      </c>
      <c r="AD35" s="225"/>
      <c r="AE35" s="225"/>
      <c r="AF35" s="226"/>
      <c r="AG35" s="226"/>
      <c r="AH35" s="227"/>
      <c r="AI35" s="226"/>
      <c r="AJ35" s="226"/>
      <c r="AK35" s="226"/>
      <c r="AL35" s="226"/>
      <c r="AM35" s="228" t="e">
        <f t="shared" ref="AM35:AM36" si="89">SUM(AJ35:AL35)/AH35</f>
        <v>#DIV/0!</v>
      </c>
      <c r="AN35" s="226"/>
      <c r="AO35" s="226"/>
      <c r="AP35" s="229" t="e">
        <f t="shared" ref="AP35:AP36" si="90">SUM(AN35:AO35)/AI35</f>
        <v>#DIV/0!</v>
      </c>
      <c r="AQ35" s="226"/>
      <c r="AR35" s="226"/>
      <c r="AS35" s="229" t="e">
        <f t="shared" ref="AS35:AS36" si="91">(AQ35+AR35)/$AG35</f>
        <v>#DIV/0!</v>
      </c>
      <c r="AT35" s="226"/>
      <c r="AU35" s="226"/>
      <c r="AV35" s="229" t="e">
        <f t="shared" ref="AV35:AV36" si="92">(AT35+AU35)/$AG35</f>
        <v>#DIV/0!</v>
      </c>
      <c r="AW35" s="226"/>
      <c r="AX35" s="226"/>
      <c r="AY35" s="229" t="e">
        <f t="shared" ref="AY35:AY36" si="93">(AW35+AX35)/$AG35</f>
        <v>#DIV/0!</v>
      </c>
      <c r="AZ35" s="230">
        <f t="shared" ref="AZ35:BA36" si="94">SUM(AN35,AQ35,AT35,AW35)</f>
        <v>0</v>
      </c>
      <c r="BA35" s="230">
        <f t="shared" si="94"/>
        <v>0</v>
      </c>
      <c r="BB35" s="230">
        <f t="shared" ref="BB35:BB36" si="95">SUM(AZ35:BA35)</f>
        <v>0</v>
      </c>
      <c r="BC35" s="229">
        <f t="shared" ref="BC35:BC36" si="96">(BB35+1)/(AI35+1)</f>
        <v>1</v>
      </c>
      <c r="BD35" s="231"/>
      <c r="BE35" s="231"/>
    </row>
    <row r="36" spans="3:59" ht="15" customHeight="1" thickBot="1" x14ac:dyDescent="0.25">
      <c r="S36" s="18"/>
      <c r="U36" s="43"/>
      <c r="V36" s="134"/>
      <c r="W36" s="134"/>
      <c r="X36" s="134"/>
      <c r="AB36" s="21"/>
      <c r="AC36" s="232" t="s">
        <v>275</v>
      </c>
      <c r="AD36" s="233">
        <v>46004</v>
      </c>
      <c r="AE36" s="233">
        <v>46005</v>
      </c>
      <c r="AF36" s="234">
        <v>4</v>
      </c>
      <c r="AG36" s="234">
        <v>229</v>
      </c>
      <c r="AH36" s="235">
        <v>226</v>
      </c>
      <c r="AI36" s="234">
        <v>228</v>
      </c>
      <c r="AJ36" s="234">
        <v>1</v>
      </c>
      <c r="AK36" s="234">
        <v>0</v>
      </c>
      <c r="AL36" s="234">
        <v>0</v>
      </c>
      <c r="AM36" s="236">
        <f t="shared" si="89"/>
        <v>4.4247787610619468E-3</v>
      </c>
      <c r="AN36" s="234">
        <v>6</v>
      </c>
      <c r="AO36" s="234">
        <v>3</v>
      </c>
      <c r="AP36" s="237">
        <f t="shared" si="90"/>
        <v>3.9473684210526314E-2</v>
      </c>
      <c r="AQ36" s="234">
        <v>6</v>
      </c>
      <c r="AR36" s="234">
        <v>0</v>
      </c>
      <c r="AS36" s="237">
        <f t="shared" si="91"/>
        <v>2.6200873362445413E-2</v>
      </c>
      <c r="AT36" s="234">
        <v>3</v>
      </c>
      <c r="AU36" s="234">
        <v>0</v>
      </c>
      <c r="AV36" s="237">
        <f t="shared" si="92"/>
        <v>1.3100436681222707E-2</v>
      </c>
      <c r="AW36" s="234">
        <v>0</v>
      </c>
      <c r="AX36" s="234">
        <v>0</v>
      </c>
      <c r="AY36" s="237">
        <f t="shared" si="93"/>
        <v>0</v>
      </c>
      <c r="AZ36" s="238">
        <f t="shared" si="94"/>
        <v>15</v>
      </c>
      <c r="BA36" s="238">
        <f t="shared" si="94"/>
        <v>3</v>
      </c>
      <c r="BB36" s="238">
        <f t="shared" si="95"/>
        <v>18</v>
      </c>
      <c r="BC36" s="237">
        <f t="shared" si="96"/>
        <v>8.296943231441048E-2</v>
      </c>
      <c r="BD36" s="239" t="s">
        <v>347</v>
      </c>
      <c r="BE36" s="239"/>
    </row>
    <row r="37" spans="3:59" ht="15" customHeight="1" x14ac:dyDescent="0.2">
      <c r="S37" s="18"/>
      <c r="U37" s="43"/>
      <c r="V37" s="134"/>
      <c r="W37" s="134"/>
      <c r="X37" s="134"/>
      <c r="Z37" s="18"/>
      <c r="AA37" s="18"/>
      <c r="AB37" s="18"/>
      <c r="AC37" s="7"/>
      <c r="AG37" s="240">
        <f>SUM(AG34:AG36)</f>
        <v>229</v>
      </c>
      <c r="AH37" s="240">
        <f>SUM(AH34:AH36)</f>
        <v>226</v>
      </c>
      <c r="AI37" s="240">
        <f t="shared" ref="AI37:AL37" si="97">SUM(AI34:AI36)</f>
        <v>228</v>
      </c>
      <c r="AJ37" s="240">
        <f t="shared" si="97"/>
        <v>1</v>
      </c>
      <c r="AK37" s="240">
        <f t="shared" si="97"/>
        <v>0</v>
      </c>
      <c r="AL37" s="240">
        <f t="shared" si="97"/>
        <v>0</v>
      </c>
      <c r="AM37" s="135"/>
      <c r="AN37" s="240">
        <f>SUM(AN34:AN36)</f>
        <v>6</v>
      </c>
      <c r="AO37" s="240">
        <f>SUM(AO34:AO36)</f>
        <v>3</v>
      </c>
      <c r="AP37" s="241"/>
      <c r="AQ37" s="240">
        <f>SUM(AQ34:AQ36)</f>
        <v>6</v>
      </c>
      <c r="AR37" s="240">
        <f>SUM(AR34:AR36)</f>
        <v>0</v>
      </c>
      <c r="AS37" s="241"/>
      <c r="AT37" s="240">
        <f>SUM(AT34:AT36)</f>
        <v>3</v>
      </c>
      <c r="AU37" s="240">
        <f>SUM(AU34:AU36)</f>
        <v>0</v>
      </c>
      <c r="AV37" s="241"/>
      <c r="AW37" s="240">
        <f>SUM(AW34:AW36)</f>
        <v>0</v>
      </c>
      <c r="AX37" s="240">
        <f>SUM(AX34:AX36)</f>
        <v>0</v>
      </c>
      <c r="AY37" s="241"/>
      <c r="AZ37" s="240">
        <f>SUM(AZ34:AZ36)</f>
        <v>15</v>
      </c>
      <c r="BA37" s="240">
        <f>SUM(BA34:BA36)</f>
        <v>3</v>
      </c>
      <c r="BB37" s="240">
        <f>SUM(AZ37:BA37)</f>
        <v>18</v>
      </c>
      <c r="BC37" s="242">
        <f>(BB37+1)/(AI37+1)</f>
        <v>8.296943231441048E-2</v>
      </c>
      <c r="BD37" s="98"/>
      <c r="BE37" s="98"/>
    </row>
    <row r="38" spans="3:59" ht="15" customHeight="1" thickBot="1" x14ac:dyDescent="0.25">
      <c r="AB38" s="18"/>
      <c r="AC38" s="212" t="s">
        <v>282</v>
      </c>
      <c r="AD38" s="15"/>
      <c r="AE38" s="23"/>
      <c r="AF38" s="16"/>
      <c r="AG38" s="15"/>
      <c r="AH38" s="15"/>
      <c r="AI38" s="15"/>
      <c r="AJ38" s="15"/>
      <c r="AK38" s="15"/>
      <c r="AL38" s="22"/>
      <c r="AM38" s="213"/>
      <c r="AN38" s="23"/>
      <c r="AO38" s="23"/>
      <c r="AP38" s="7"/>
      <c r="AQ38" s="15"/>
      <c r="AR38" s="15"/>
      <c r="AS38" s="7"/>
      <c r="AT38" s="15"/>
      <c r="AU38" s="15"/>
      <c r="AV38" s="7"/>
      <c r="AW38" s="15"/>
      <c r="AX38" s="15"/>
      <c r="AY38" s="214"/>
      <c r="AZ38" s="215"/>
      <c r="BA38" s="10"/>
      <c r="BB38" s="7"/>
      <c r="BC38" s="7"/>
      <c r="BD38" s="7"/>
      <c r="BE38" s="7"/>
    </row>
    <row r="39" spans="3:59" ht="15" customHeight="1" x14ac:dyDescent="0.2">
      <c r="AB39" s="18"/>
      <c r="AC39" s="216" t="s">
        <v>271</v>
      </c>
      <c r="AD39" s="217">
        <v>46004</v>
      </c>
      <c r="AE39" s="217">
        <v>46005</v>
      </c>
      <c r="AF39" s="218">
        <v>4</v>
      </c>
      <c r="AG39" s="218">
        <v>256</v>
      </c>
      <c r="AH39" s="219">
        <v>253</v>
      </c>
      <c r="AI39" s="218">
        <v>263</v>
      </c>
      <c r="AJ39" s="218">
        <v>1</v>
      </c>
      <c r="AK39" s="218">
        <v>0</v>
      </c>
      <c r="AL39" s="218">
        <v>0</v>
      </c>
      <c r="AM39" s="220">
        <f>SUM(AJ39:AL39)/AH39</f>
        <v>3.952569169960474E-3</v>
      </c>
      <c r="AN39" s="218">
        <v>3</v>
      </c>
      <c r="AO39" s="218">
        <v>3</v>
      </c>
      <c r="AP39" s="221">
        <f>SUM(AN39:AO39)/AI39</f>
        <v>2.2813688212927757E-2</v>
      </c>
      <c r="AQ39" s="218">
        <v>6</v>
      </c>
      <c r="AR39" s="218">
        <v>1</v>
      </c>
      <c r="AS39" s="221">
        <f>(AQ39+AR39)/$AG39</f>
        <v>2.734375E-2</v>
      </c>
      <c r="AT39" s="218">
        <v>2</v>
      </c>
      <c r="AU39" s="218">
        <v>0</v>
      </c>
      <c r="AV39" s="221">
        <f>(AT39+AU39)/$AG39</f>
        <v>7.8125E-3</v>
      </c>
      <c r="AW39" s="218">
        <v>0</v>
      </c>
      <c r="AX39" s="218">
        <v>0</v>
      </c>
      <c r="AY39" s="221">
        <f>(AW39+AX39)/$AG39</f>
        <v>0</v>
      </c>
      <c r="AZ39" s="222">
        <f>SUM(AN39,AQ39,AT39,AW39)</f>
        <v>11</v>
      </c>
      <c r="BA39" s="222">
        <f>SUM(AO39,AR39,AU39,AX39)</f>
        <v>4</v>
      </c>
      <c r="BB39" s="222">
        <f>SUM(AZ39:BA39)</f>
        <v>15</v>
      </c>
      <c r="BC39" s="221">
        <f>(BB39+1)/(AI39+1)</f>
        <v>6.0606060606060608E-2</v>
      </c>
      <c r="BD39" s="223" t="s">
        <v>347</v>
      </c>
      <c r="BE39" s="223"/>
    </row>
    <row r="40" spans="3:59" ht="15" customHeight="1" x14ac:dyDescent="0.2">
      <c r="AB40" s="18"/>
      <c r="AC40" s="224" t="s">
        <v>273</v>
      </c>
      <c r="AD40" s="225"/>
      <c r="AE40" s="225"/>
      <c r="AF40" s="226"/>
      <c r="AG40" s="226"/>
      <c r="AH40" s="227"/>
      <c r="AI40" s="226"/>
      <c r="AJ40" s="226"/>
      <c r="AK40" s="226"/>
      <c r="AL40" s="226"/>
      <c r="AM40" s="228" t="e">
        <f t="shared" ref="AM40:AM41" si="98">SUM(AJ40:AL40)/AH40</f>
        <v>#DIV/0!</v>
      </c>
      <c r="AN40" s="226"/>
      <c r="AO40" s="226"/>
      <c r="AP40" s="229" t="e">
        <f t="shared" ref="AP40:AP41" si="99">SUM(AN40:AO40)/AI40</f>
        <v>#DIV/0!</v>
      </c>
      <c r="AQ40" s="226"/>
      <c r="AR40" s="226"/>
      <c r="AS40" s="229" t="e">
        <f t="shared" ref="AS40:AS41" si="100">(AQ40+AR40)/$AG40</f>
        <v>#DIV/0!</v>
      </c>
      <c r="AT40" s="226"/>
      <c r="AU40" s="226"/>
      <c r="AV40" s="229" t="e">
        <f t="shared" ref="AV40:AV41" si="101">(AT40+AU40)/$AG40</f>
        <v>#DIV/0!</v>
      </c>
      <c r="AW40" s="226"/>
      <c r="AX40" s="226"/>
      <c r="AY40" s="229" t="e">
        <f t="shared" ref="AY40:AY41" si="102">(AW40+AX40)/$AG40</f>
        <v>#DIV/0!</v>
      </c>
      <c r="AZ40" s="230">
        <f t="shared" ref="AZ40:BA41" si="103">SUM(AN40,AQ40,AT40,AW40)</f>
        <v>0</v>
      </c>
      <c r="BA40" s="230">
        <f t="shared" si="103"/>
        <v>0</v>
      </c>
      <c r="BB40" s="230">
        <f t="shared" ref="BB40:BB41" si="104">SUM(AZ40:BA40)</f>
        <v>0</v>
      </c>
      <c r="BC40" s="229">
        <f t="shared" ref="BC40:BC41" si="105">(BB40+1)/(AI40+1)</f>
        <v>1</v>
      </c>
      <c r="BD40" s="231"/>
      <c r="BE40" s="231"/>
    </row>
    <row r="41" spans="3:59" ht="15" customHeight="1" thickBot="1" x14ac:dyDescent="0.25">
      <c r="Z41" s="18"/>
      <c r="AA41" s="18"/>
      <c r="AB41" s="18"/>
      <c r="AC41" s="232" t="s">
        <v>275</v>
      </c>
      <c r="AD41" s="233"/>
      <c r="AE41" s="233"/>
      <c r="AF41" s="234"/>
      <c r="AG41" s="234"/>
      <c r="AH41" s="235"/>
      <c r="AI41" s="234"/>
      <c r="AJ41" s="234"/>
      <c r="AK41" s="234"/>
      <c r="AL41" s="234"/>
      <c r="AM41" s="236" t="e">
        <f t="shared" si="98"/>
        <v>#DIV/0!</v>
      </c>
      <c r="AN41" s="234"/>
      <c r="AO41" s="234"/>
      <c r="AP41" s="237" t="e">
        <f t="shared" si="99"/>
        <v>#DIV/0!</v>
      </c>
      <c r="AQ41" s="234"/>
      <c r="AR41" s="234"/>
      <c r="AS41" s="237" t="e">
        <f t="shared" si="100"/>
        <v>#DIV/0!</v>
      </c>
      <c r="AT41" s="234"/>
      <c r="AU41" s="234"/>
      <c r="AV41" s="237" t="e">
        <f t="shared" si="101"/>
        <v>#DIV/0!</v>
      </c>
      <c r="AW41" s="234"/>
      <c r="AX41" s="234"/>
      <c r="AY41" s="237" t="e">
        <f t="shared" si="102"/>
        <v>#DIV/0!</v>
      </c>
      <c r="AZ41" s="238">
        <f t="shared" si="103"/>
        <v>0</v>
      </c>
      <c r="BA41" s="238">
        <f t="shared" si="103"/>
        <v>0</v>
      </c>
      <c r="BB41" s="238">
        <f t="shared" si="104"/>
        <v>0</v>
      </c>
      <c r="BC41" s="237">
        <f t="shared" si="105"/>
        <v>1</v>
      </c>
      <c r="BD41" s="239"/>
      <c r="BE41" s="239"/>
    </row>
    <row r="42" spans="3:59" ht="15" customHeight="1" x14ac:dyDescent="0.2">
      <c r="AB42" s="18"/>
      <c r="AC42" s="7"/>
      <c r="AG42" s="240">
        <f>SUM(AG39:AG41)</f>
        <v>256</v>
      </c>
      <c r="AH42" s="240">
        <f>SUM(AH39:AH41)</f>
        <v>253</v>
      </c>
      <c r="AI42" s="240">
        <f t="shared" ref="AI42:AL42" si="106">SUM(AI39:AI41)</f>
        <v>263</v>
      </c>
      <c r="AJ42" s="240">
        <f t="shared" si="106"/>
        <v>1</v>
      </c>
      <c r="AK42" s="240">
        <f t="shared" si="106"/>
        <v>0</v>
      </c>
      <c r="AL42" s="240">
        <f t="shared" si="106"/>
        <v>0</v>
      </c>
      <c r="AM42" s="135"/>
      <c r="AN42" s="240">
        <f>SUM(AN39:AN41)</f>
        <v>3</v>
      </c>
      <c r="AO42" s="240">
        <f>SUM(AO39:AO41)</f>
        <v>3</v>
      </c>
      <c r="AP42" s="241"/>
      <c r="AQ42" s="240">
        <f>SUM(AQ39:AQ41)</f>
        <v>6</v>
      </c>
      <c r="AR42" s="240">
        <f>SUM(AR39:AR41)</f>
        <v>1</v>
      </c>
      <c r="AS42" s="241"/>
      <c r="AT42" s="240">
        <f>SUM(AT39:AT41)</f>
        <v>2</v>
      </c>
      <c r="AU42" s="240">
        <f>SUM(AU39:AU41)</f>
        <v>0</v>
      </c>
      <c r="AV42" s="241"/>
      <c r="AW42" s="240">
        <f>SUM(AW39:AW41)</f>
        <v>0</v>
      </c>
      <c r="AX42" s="240">
        <f>SUM(AX39:AX41)</f>
        <v>0</v>
      </c>
      <c r="AY42" s="241"/>
      <c r="AZ42" s="240">
        <f>SUM(AZ39:AZ41)</f>
        <v>11</v>
      </c>
      <c r="BA42" s="240">
        <f>SUM(BA39:BA41)</f>
        <v>4</v>
      </c>
      <c r="BB42" s="240">
        <f>SUM(AZ42:BA42)</f>
        <v>15</v>
      </c>
      <c r="BC42" s="242">
        <f>(BB42+1)/(AI42+1)</f>
        <v>6.0606060606060608E-2</v>
      </c>
      <c r="BD42" s="98"/>
      <c r="BE42" s="98"/>
    </row>
    <row r="43" spans="3:59" ht="15" customHeight="1" thickBot="1" x14ac:dyDescent="0.25">
      <c r="AB43" s="18"/>
      <c r="AC43" s="212" t="s">
        <v>284</v>
      </c>
      <c r="AD43" s="15"/>
      <c r="AE43" s="23"/>
      <c r="AF43" s="16"/>
      <c r="AG43" s="15"/>
      <c r="AH43" s="15"/>
      <c r="AI43" s="15"/>
      <c r="AJ43" s="15"/>
      <c r="AK43" s="15"/>
      <c r="AL43" s="22"/>
      <c r="AM43" s="213"/>
      <c r="AN43" s="23"/>
      <c r="AO43" s="23"/>
      <c r="AP43" s="7"/>
      <c r="AQ43" s="15"/>
      <c r="AR43" s="15"/>
      <c r="AS43" s="7"/>
      <c r="AT43" s="15"/>
      <c r="AU43" s="15"/>
      <c r="AV43" s="7"/>
      <c r="AW43" s="15"/>
      <c r="AX43" s="15"/>
      <c r="AY43" s="214"/>
      <c r="AZ43" s="215"/>
      <c r="BA43" s="10"/>
      <c r="BB43" s="7"/>
      <c r="BC43" s="7"/>
      <c r="BD43" s="7"/>
      <c r="BE43" s="7"/>
    </row>
    <row r="44" spans="3:59" ht="15" customHeight="1" x14ac:dyDescent="0.2">
      <c r="AB44" s="18"/>
      <c r="AC44" s="216" t="s">
        <v>271</v>
      </c>
      <c r="AD44" s="217"/>
      <c r="AE44" s="217"/>
      <c r="AF44" s="218"/>
      <c r="AG44" s="218"/>
      <c r="AH44" s="219"/>
      <c r="AI44" s="218"/>
      <c r="AJ44" s="218"/>
      <c r="AK44" s="218"/>
      <c r="AL44" s="218"/>
      <c r="AM44" s="220" t="e">
        <f>SUM(AJ44:AL44)/AH44</f>
        <v>#DIV/0!</v>
      </c>
      <c r="AN44" s="218"/>
      <c r="AO44" s="218"/>
      <c r="AP44" s="221" t="e">
        <f>SUM(AN44:AO44)/AI44</f>
        <v>#DIV/0!</v>
      </c>
      <c r="AQ44" s="218"/>
      <c r="AR44" s="218"/>
      <c r="AS44" s="221" t="e">
        <f>(AQ44+AR44)/$AG44</f>
        <v>#DIV/0!</v>
      </c>
      <c r="AT44" s="218"/>
      <c r="AU44" s="218"/>
      <c r="AV44" s="221" t="e">
        <f>(AT44+AU44)/$AG44</f>
        <v>#DIV/0!</v>
      </c>
      <c r="AW44" s="218"/>
      <c r="AX44" s="218"/>
      <c r="AY44" s="221" t="e">
        <f>(AW44+AX44)/$AG44</f>
        <v>#DIV/0!</v>
      </c>
      <c r="AZ44" s="222">
        <f>SUM(AN44,AQ44,AT44,AW44)</f>
        <v>0</v>
      </c>
      <c r="BA44" s="222">
        <f>SUM(AO44,AR44,AU44,AX44)</f>
        <v>0</v>
      </c>
      <c r="BB44" s="222">
        <f>SUM(AZ44:BA44)</f>
        <v>0</v>
      </c>
      <c r="BC44" s="221">
        <f>(BB44+1)/(AI44+1)</f>
        <v>1</v>
      </c>
      <c r="BD44" s="223"/>
      <c r="BE44" s="223"/>
    </row>
    <row r="45" spans="3:59" ht="15" customHeight="1" x14ac:dyDescent="0.2">
      <c r="AB45" s="18"/>
      <c r="AC45" s="224" t="s">
        <v>273</v>
      </c>
      <c r="AD45" s="225"/>
      <c r="AE45" s="225"/>
      <c r="AF45" s="226"/>
      <c r="AG45" s="226"/>
      <c r="AH45" s="227"/>
      <c r="AI45" s="226"/>
      <c r="AJ45" s="226"/>
      <c r="AK45" s="226"/>
      <c r="AL45" s="226"/>
      <c r="AM45" s="228" t="e">
        <f t="shared" ref="AM45:AM46" si="107">SUM(AJ45:AL45)/AH45</f>
        <v>#DIV/0!</v>
      </c>
      <c r="AN45" s="226"/>
      <c r="AO45" s="226"/>
      <c r="AP45" s="229" t="e">
        <f t="shared" ref="AP45:AP46" si="108">SUM(AN45:AO45)/AI45</f>
        <v>#DIV/0!</v>
      </c>
      <c r="AQ45" s="226"/>
      <c r="AR45" s="226"/>
      <c r="AS45" s="229" t="e">
        <f t="shared" ref="AS45:AS46" si="109">(AQ45+AR45)/$AG45</f>
        <v>#DIV/0!</v>
      </c>
      <c r="AT45" s="226"/>
      <c r="AU45" s="226"/>
      <c r="AV45" s="229" t="e">
        <f t="shared" ref="AV45:AV46" si="110">(AT45+AU45)/$AG45</f>
        <v>#DIV/0!</v>
      </c>
      <c r="AW45" s="226"/>
      <c r="AX45" s="226"/>
      <c r="AY45" s="229" t="e">
        <f t="shared" ref="AY45:AY46" si="111">(AW45+AX45)/$AG45</f>
        <v>#DIV/0!</v>
      </c>
      <c r="AZ45" s="230">
        <f t="shared" ref="AZ45:BA46" si="112">SUM(AN45,AQ45,AT45,AW45)</f>
        <v>0</v>
      </c>
      <c r="BA45" s="230">
        <f t="shared" si="112"/>
        <v>0</v>
      </c>
      <c r="BB45" s="230">
        <f t="shared" ref="BB45:BB46" si="113">SUM(AZ45:BA45)</f>
        <v>0</v>
      </c>
      <c r="BC45" s="229">
        <f t="shared" ref="BC45:BC46" si="114">(BB45+1)/(AI45+1)</f>
        <v>1</v>
      </c>
      <c r="BD45" s="231"/>
      <c r="BE45" s="231"/>
    </row>
    <row r="46" spans="3:59" ht="15" customHeight="1" x14ac:dyDescent="0.2">
      <c r="AC46" s="232" t="s">
        <v>275</v>
      </c>
      <c r="AD46" s="233">
        <v>46029</v>
      </c>
      <c r="AE46" s="233">
        <v>46030</v>
      </c>
      <c r="AF46" s="234">
        <v>1</v>
      </c>
      <c r="AG46" s="218">
        <v>276</v>
      </c>
      <c r="AH46" s="219">
        <v>276</v>
      </c>
      <c r="AI46" s="218">
        <v>275</v>
      </c>
      <c r="AJ46" s="218">
        <v>0</v>
      </c>
      <c r="AK46" s="218">
        <v>2</v>
      </c>
      <c r="AL46" s="218">
        <v>0</v>
      </c>
      <c r="AM46" s="236">
        <f t="shared" si="107"/>
        <v>7.246376811594203E-3</v>
      </c>
      <c r="AN46" s="234">
        <v>14</v>
      </c>
      <c r="AO46" s="234">
        <v>1</v>
      </c>
      <c r="AP46" s="237">
        <f t="shared" si="108"/>
        <v>5.4545454545454543E-2</v>
      </c>
      <c r="AQ46" s="234">
        <v>13</v>
      </c>
      <c r="AR46" s="234">
        <v>0</v>
      </c>
      <c r="AS46" s="237">
        <f t="shared" si="109"/>
        <v>4.710144927536232E-2</v>
      </c>
      <c r="AT46" s="234">
        <v>0</v>
      </c>
      <c r="AU46" s="234">
        <v>0</v>
      </c>
      <c r="AV46" s="237">
        <f t="shared" si="110"/>
        <v>0</v>
      </c>
      <c r="AW46" s="234">
        <v>0</v>
      </c>
      <c r="AX46" s="234">
        <v>0</v>
      </c>
      <c r="AY46" s="237">
        <f t="shared" si="111"/>
        <v>0</v>
      </c>
      <c r="AZ46" s="238">
        <f t="shared" si="112"/>
        <v>27</v>
      </c>
      <c r="BA46" s="238">
        <f t="shared" si="112"/>
        <v>1</v>
      </c>
      <c r="BB46" s="238">
        <f t="shared" si="113"/>
        <v>28</v>
      </c>
      <c r="BC46" s="237">
        <f t="shared" si="114"/>
        <v>0.10507246376811594</v>
      </c>
      <c r="BD46" s="239" t="s">
        <v>347</v>
      </c>
      <c r="BE46" s="239"/>
    </row>
    <row r="47" spans="3:59" ht="12.75" x14ac:dyDescent="0.2">
      <c r="AC47" s="7"/>
      <c r="AG47" s="240">
        <f>SUM(AG44:AG46)</f>
        <v>276</v>
      </c>
      <c r="AH47" s="240">
        <f>SUM(AH44:AH46)</f>
        <v>276</v>
      </c>
      <c r="AI47" s="240">
        <f t="shared" ref="AI47:AL47" si="115">SUM(AI44:AI46)</f>
        <v>275</v>
      </c>
      <c r="AJ47" s="240">
        <f t="shared" si="115"/>
        <v>0</v>
      </c>
      <c r="AK47" s="240">
        <f t="shared" si="115"/>
        <v>2</v>
      </c>
      <c r="AL47" s="240">
        <f t="shared" si="115"/>
        <v>0</v>
      </c>
      <c r="AM47" s="135"/>
      <c r="AN47" s="240">
        <f>SUM(AN44:AN46)</f>
        <v>14</v>
      </c>
      <c r="AO47" s="240">
        <f>SUM(AO44:AO46)</f>
        <v>1</v>
      </c>
      <c r="AP47" s="241"/>
      <c r="AQ47" s="240">
        <f>SUM(AQ44:AQ46)</f>
        <v>13</v>
      </c>
      <c r="AR47" s="240">
        <f>SUM(AR44:AR46)</f>
        <v>0</v>
      </c>
      <c r="AS47" s="241"/>
      <c r="AT47" s="240">
        <f>SUM(AT44:AT46)</f>
        <v>0</v>
      </c>
      <c r="AU47" s="240">
        <f>SUM(AU44:AU46)</f>
        <v>0</v>
      </c>
      <c r="AV47" s="241"/>
      <c r="AW47" s="240">
        <f>SUM(AW44:AW46)</f>
        <v>0</v>
      </c>
      <c r="AX47" s="240">
        <f>SUM(AX44:AX46)</f>
        <v>0</v>
      </c>
      <c r="AY47" s="241"/>
      <c r="AZ47" s="240">
        <f>SUM(AZ44:AZ46)</f>
        <v>27</v>
      </c>
      <c r="BA47" s="240">
        <f>SUM(BA44:BA46)</f>
        <v>1</v>
      </c>
      <c r="BB47" s="240">
        <f>SUM(AZ47:BA47)</f>
        <v>28</v>
      </c>
      <c r="BC47" s="242">
        <f>(BB47+1)/(AI47+1)</f>
        <v>0.10507246376811594</v>
      </c>
      <c r="BD47" s="98"/>
      <c r="BE47" s="98"/>
      <c r="BG47" s="17"/>
    </row>
    <row r="48" spans="3:59" ht="15" customHeight="1" x14ac:dyDescent="0.2">
      <c r="AC48" s="212" t="s">
        <v>285</v>
      </c>
      <c r="AD48" s="15"/>
      <c r="AE48" s="23"/>
      <c r="AF48" s="16"/>
      <c r="AG48" s="15"/>
      <c r="AH48" s="15"/>
      <c r="AI48" s="15"/>
      <c r="AJ48" s="15"/>
      <c r="AK48" s="15"/>
      <c r="AL48" s="22"/>
      <c r="AM48" s="213"/>
      <c r="AN48" s="23"/>
      <c r="AO48" s="23"/>
      <c r="AP48" s="7"/>
      <c r="AQ48" s="15"/>
      <c r="AR48" s="15"/>
      <c r="AS48" s="7"/>
      <c r="AT48" s="15"/>
      <c r="AU48" s="15"/>
      <c r="AV48" s="7"/>
      <c r="AW48" s="15"/>
      <c r="AX48" s="15"/>
      <c r="AY48" s="214"/>
      <c r="AZ48" s="215"/>
      <c r="BA48" s="10"/>
      <c r="BB48" s="7"/>
      <c r="BC48" s="7"/>
      <c r="BD48" s="7"/>
      <c r="BE48" s="7"/>
      <c r="BG48" s="17"/>
    </row>
    <row r="49" spans="19:60" ht="15" customHeight="1" x14ac:dyDescent="0.2">
      <c r="AC49" s="216" t="s">
        <v>271</v>
      </c>
      <c r="AD49" s="217">
        <v>46029</v>
      </c>
      <c r="AE49" s="217">
        <v>46030</v>
      </c>
      <c r="AF49" s="218">
        <v>1</v>
      </c>
      <c r="AG49" s="234">
        <v>251</v>
      </c>
      <c r="AH49" s="235">
        <v>251</v>
      </c>
      <c r="AI49" s="234">
        <v>220</v>
      </c>
      <c r="AJ49" s="234">
        <v>0</v>
      </c>
      <c r="AK49" s="234">
        <v>1</v>
      </c>
      <c r="AL49" s="234">
        <v>0</v>
      </c>
      <c r="AM49" s="220">
        <f>SUM(AJ49:AL49)/AH49</f>
        <v>3.9840637450199202E-3</v>
      </c>
      <c r="AN49" s="218">
        <v>18</v>
      </c>
      <c r="AO49" s="218">
        <v>0</v>
      </c>
      <c r="AP49" s="221">
        <f>SUM(AN49:AO49)/AI49</f>
        <v>8.1818181818181818E-2</v>
      </c>
      <c r="AQ49" s="218">
        <v>1</v>
      </c>
      <c r="AR49" s="218">
        <v>0</v>
      </c>
      <c r="AS49" s="221">
        <f>(AQ49+AR49)/$AG49</f>
        <v>3.9840637450199202E-3</v>
      </c>
      <c r="AT49" s="218">
        <v>0</v>
      </c>
      <c r="AU49" s="218">
        <v>0</v>
      </c>
      <c r="AV49" s="221">
        <f>(AT49+AU49)/$AG49</f>
        <v>0</v>
      </c>
      <c r="AW49" s="218">
        <v>0</v>
      </c>
      <c r="AX49" s="218">
        <v>0</v>
      </c>
      <c r="AY49" s="221">
        <f>(AW49+AX49)/$AG49</f>
        <v>0</v>
      </c>
      <c r="AZ49" s="222">
        <f>SUM(AN49,AQ49,AT49,AW49)</f>
        <v>19</v>
      </c>
      <c r="BA49" s="222">
        <f>SUM(AO49,AR49,AU49,AX49)</f>
        <v>0</v>
      </c>
      <c r="BB49" s="222">
        <f>SUM(AZ49:BA49)</f>
        <v>19</v>
      </c>
      <c r="BC49" s="221">
        <f>(BB49+1)/(AI49+1)</f>
        <v>9.0497737556561084E-2</v>
      </c>
      <c r="BD49" s="223" t="s">
        <v>347</v>
      </c>
      <c r="BE49" s="223"/>
      <c r="BG49" s="17"/>
    </row>
    <row r="50" spans="19:60" ht="15" customHeight="1" x14ac:dyDescent="0.2">
      <c r="AB50" s="18"/>
      <c r="AC50" s="224" t="s">
        <v>273</v>
      </c>
      <c r="AD50" s="225"/>
      <c r="AE50" s="225"/>
      <c r="AF50" s="226"/>
      <c r="AG50" s="234"/>
      <c r="AH50" s="235"/>
      <c r="AI50" s="234"/>
      <c r="AJ50" s="234"/>
      <c r="AK50" s="234"/>
      <c r="AL50" s="234"/>
      <c r="AM50" s="228" t="e">
        <f t="shared" ref="AM50:AM51" si="116">SUM(AJ50:AL50)/AH50</f>
        <v>#DIV/0!</v>
      </c>
      <c r="AN50" s="226"/>
      <c r="AO50" s="226"/>
      <c r="AP50" s="229" t="e">
        <f t="shared" ref="AP50:AP51" si="117">SUM(AN50:AO50)/AI50</f>
        <v>#DIV/0!</v>
      </c>
      <c r="AQ50" s="226"/>
      <c r="AR50" s="226"/>
      <c r="AS50" s="229" t="e">
        <f t="shared" ref="AS50:AS51" si="118">(AQ50+AR50)/$AG50</f>
        <v>#DIV/0!</v>
      </c>
      <c r="AT50" s="226"/>
      <c r="AU50" s="226"/>
      <c r="AV50" s="229" t="e">
        <f t="shared" ref="AV50:AV51" si="119">(AT50+AU50)/$AG50</f>
        <v>#DIV/0!</v>
      </c>
      <c r="AW50" s="226"/>
      <c r="AX50" s="226"/>
      <c r="AY50" s="229" t="e">
        <f t="shared" ref="AY50:AY51" si="120">(AW50+AX50)/$AG50</f>
        <v>#DIV/0!</v>
      </c>
      <c r="AZ50" s="230">
        <f t="shared" ref="AZ50:BA51" si="121">SUM(AN50,AQ50,AT50,AW50)</f>
        <v>0</v>
      </c>
      <c r="BA50" s="230">
        <f t="shared" si="121"/>
        <v>0</v>
      </c>
      <c r="BB50" s="230">
        <f t="shared" ref="BB50:BB51" si="122">SUM(AZ50:BA50)</f>
        <v>0</v>
      </c>
      <c r="BC50" s="229">
        <f t="shared" ref="BC50:BC51" si="123">(BB50+1)/(AI50+1)</f>
        <v>1</v>
      </c>
      <c r="BD50" s="231"/>
      <c r="BE50" s="231"/>
      <c r="BG50" s="17"/>
    </row>
    <row r="51" spans="19:60" ht="15" customHeight="1" x14ac:dyDescent="0.2">
      <c r="U51" s="18"/>
      <c r="AC51" s="232" t="s">
        <v>275</v>
      </c>
      <c r="AD51" s="233"/>
      <c r="AE51" s="233"/>
      <c r="AF51" s="234"/>
      <c r="AG51" s="234"/>
      <c r="AH51" s="235"/>
      <c r="AI51" s="234"/>
      <c r="AJ51" s="234"/>
      <c r="AK51" s="234"/>
      <c r="AL51" s="234"/>
      <c r="AM51" s="236" t="e">
        <f t="shared" si="116"/>
        <v>#DIV/0!</v>
      </c>
      <c r="AN51" s="234"/>
      <c r="AO51" s="234"/>
      <c r="AP51" s="237" t="e">
        <f t="shared" si="117"/>
        <v>#DIV/0!</v>
      </c>
      <c r="AQ51" s="234"/>
      <c r="AR51" s="234"/>
      <c r="AS51" s="237" t="e">
        <f t="shared" si="118"/>
        <v>#DIV/0!</v>
      </c>
      <c r="AT51" s="234"/>
      <c r="AU51" s="234"/>
      <c r="AV51" s="237" t="e">
        <f t="shared" si="119"/>
        <v>#DIV/0!</v>
      </c>
      <c r="AW51" s="234"/>
      <c r="AX51" s="234"/>
      <c r="AY51" s="237" t="e">
        <f t="shared" si="120"/>
        <v>#DIV/0!</v>
      </c>
      <c r="AZ51" s="238">
        <f t="shared" si="121"/>
        <v>0</v>
      </c>
      <c r="BA51" s="238">
        <f t="shared" si="121"/>
        <v>0</v>
      </c>
      <c r="BB51" s="238">
        <f t="shared" si="122"/>
        <v>0</v>
      </c>
      <c r="BC51" s="237">
        <f t="shared" si="123"/>
        <v>1</v>
      </c>
      <c r="BD51" s="239"/>
      <c r="BE51" s="239"/>
      <c r="BG51" s="17"/>
    </row>
    <row r="52" spans="19:60" ht="15" customHeight="1" x14ac:dyDescent="0.2">
      <c r="AC52" s="7"/>
      <c r="AG52" s="240">
        <f>SUM(AG49:AG51)</f>
        <v>251</v>
      </c>
      <c r="AH52" s="240">
        <f>SUM(AH49:AH51)</f>
        <v>251</v>
      </c>
      <c r="AI52" s="240">
        <f t="shared" ref="AI52:AL52" si="124">SUM(AI49:AI51)</f>
        <v>220</v>
      </c>
      <c r="AJ52" s="240">
        <f t="shared" si="124"/>
        <v>0</v>
      </c>
      <c r="AK52" s="240">
        <f t="shared" si="124"/>
        <v>1</v>
      </c>
      <c r="AL52" s="240">
        <f t="shared" si="124"/>
        <v>0</v>
      </c>
      <c r="AM52" s="135"/>
      <c r="AN52" s="240">
        <f>SUM(AN49:AN51)</f>
        <v>18</v>
      </c>
      <c r="AO52" s="240">
        <f>SUM(AO49:AO51)</f>
        <v>0</v>
      </c>
      <c r="AP52" s="241"/>
      <c r="AQ52" s="240">
        <f>SUM(AQ49:AQ51)</f>
        <v>1</v>
      </c>
      <c r="AR52" s="240">
        <f>SUM(AR49:AR51)</f>
        <v>0</v>
      </c>
      <c r="AS52" s="241"/>
      <c r="AT52" s="240">
        <f>SUM(AT49:AT51)</f>
        <v>0</v>
      </c>
      <c r="AU52" s="240">
        <f>SUM(AU49:AU51)</f>
        <v>0</v>
      </c>
      <c r="AV52" s="241"/>
      <c r="AW52" s="240">
        <f>SUM(AW49:AW51)</f>
        <v>0</v>
      </c>
      <c r="AX52" s="240">
        <f>SUM(AX49:AX51)</f>
        <v>0</v>
      </c>
      <c r="AY52" s="241"/>
      <c r="AZ52" s="240">
        <f>SUM(AZ49:AZ51)</f>
        <v>19</v>
      </c>
      <c r="BA52" s="240">
        <f>SUM(BA49:BA51)</f>
        <v>0</v>
      </c>
      <c r="BB52" s="240">
        <f>SUM(AZ52:BA52)</f>
        <v>19</v>
      </c>
      <c r="BC52" s="242">
        <f>(BB52+1)/(AI52+1)</f>
        <v>9.0497737556561084E-2</v>
      </c>
      <c r="BD52" s="98"/>
      <c r="BE52" s="98"/>
      <c r="BG52" s="17"/>
    </row>
    <row r="53" spans="19:60" ht="15" customHeight="1" thickBot="1" x14ac:dyDescent="0.25">
      <c r="AC53" s="212" t="s">
        <v>286</v>
      </c>
      <c r="AD53" s="15"/>
      <c r="AE53" s="23"/>
      <c r="AF53" s="16"/>
      <c r="AG53" s="15"/>
      <c r="AH53" s="15"/>
      <c r="AI53" s="15"/>
      <c r="AJ53" s="15"/>
      <c r="AK53" s="15"/>
      <c r="AL53" s="22"/>
      <c r="AM53" s="213"/>
      <c r="AN53" s="23"/>
      <c r="AO53" s="23"/>
      <c r="AP53" s="7"/>
      <c r="AQ53" s="15"/>
      <c r="AR53" s="15"/>
      <c r="AS53" s="7"/>
      <c r="AT53" s="15"/>
      <c r="AU53" s="15"/>
      <c r="AV53" s="7"/>
      <c r="AW53" s="15"/>
      <c r="AX53" s="15"/>
      <c r="AY53" s="214"/>
      <c r="AZ53" s="215"/>
      <c r="BA53" s="10"/>
      <c r="BB53" s="7"/>
      <c r="BC53" s="7"/>
      <c r="BD53" s="7"/>
      <c r="BE53" s="7"/>
      <c r="BF53" s="17"/>
    </row>
    <row r="54" spans="19:60" ht="15" customHeight="1" x14ac:dyDescent="0.2">
      <c r="AC54" s="216" t="s">
        <v>271</v>
      </c>
      <c r="AD54" s="217">
        <v>46033</v>
      </c>
      <c r="AE54" s="217">
        <v>46034</v>
      </c>
      <c r="AF54" s="218">
        <v>4</v>
      </c>
      <c r="AG54" s="218">
        <v>491</v>
      </c>
      <c r="AH54" s="219">
        <v>209</v>
      </c>
      <c r="AI54" s="218">
        <v>209</v>
      </c>
      <c r="AJ54" s="218">
        <v>282</v>
      </c>
      <c r="AK54" s="218">
        <v>0</v>
      </c>
      <c r="AL54" s="218">
        <v>0</v>
      </c>
      <c r="AM54" s="220">
        <f>SUM(AJ54:AL54)/AH54</f>
        <v>1.3492822966507176</v>
      </c>
      <c r="AN54" s="218">
        <v>21</v>
      </c>
      <c r="AO54" s="218">
        <v>0</v>
      </c>
      <c r="AP54" s="221">
        <f>SUM(AN54:AO54)/AI54</f>
        <v>0.10047846889952153</v>
      </c>
      <c r="AQ54" s="218">
        <v>0</v>
      </c>
      <c r="AR54" s="218">
        <v>0</v>
      </c>
      <c r="AS54" s="221">
        <f>(AQ54+AR54)/$AG54</f>
        <v>0</v>
      </c>
      <c r="AT54" s="218">
        <v>4</v>
      </c>
      <c r="AU54" s="218">
        <v>0</v>
      </c>
      <c r="AV54" s="221">
        <f>(AT54+AU54)/$AG54</f>
        <v>8.1466395112016286E-3</v>
      </c>
      <c r="AW54" s="218">
        <v>0</v>
      </c>
      <c r="AX54" s="218">
        <v>0</v>
      </c>
      <c r="AY54" s="221">
        <f>(AW54+AX54)/$AG54</f>
        <v>0</v>
      </c>
      <c r="AZ54" s="222">
        <f>SUM(AN54,AQ54,AT54,AW54)</f>
        <v>25</v>
      </c>
      <c r="BA54" s="222">
        <f>SUM(AO54,AR54,AU54,AX54)</f>
        <v>0</v>
      </c>
      <c r="BB54" s="222">
        <f>SUM(AZ54:BA54)</f>
        <v>25</v>
      </c>
      <c r="BC54" s="221">
        <f>(BB54+1)/(AI54+1)</f>
        <v>0.12380952380952381</v>
      </c>
      <c r="BD54" s="223" t="s">
        <v>347</v>
      </c>
      <c r="BE54" s="223"/>
      <c r="BH54" s="17"/>
    </row>
    <row r="55" spans="19:60" ht="15" customHeight="1" x14ac:dyDescent="0.2">
      <c r="AB55" s="18"/>
      <c r="AC55" s="224" t="s">
        <v>273</v>
      </c>
      <c r="AD55" s="225"/>
      <c r="AE55" s="225"/>
      <c r="AF55" s="226"/>
      <c r="AG55" s="226"/>
      <c r="AH55" s="227"/>
      <c r="AI55" s="226"/>
      <c r="AJ55" s="226"/>
      <c r="AK55" s="226"/>
      <c r="AL55" s="226"/>
      <c r="AM55" s="228" t="e">
        <f t="shared" ref="AM55:AM56" si="125">SUM(AJ55:AL55)/AH55</f>
        <v>#DIV/0!</v>
      </c>
      <c r="AN55" s="226"/>
      <c r="AO55" s="226"/>
      <c r="AP55" s="229" t="e">
        <f t="shared" ref="AP55:AP56" si="126">SUM(AN55:AO55)/AI55</f>
        <v>#DIV/0!</v>
      </c>
      <c r="AQ55" s="226"/>
      <c r="AR55" s="226"/>
      <c r="AS55" s="229" t="e">
        <f t="shared" ref="AS55:AS56" si="127">(AQ55+AR55)/$AG55</f>
        <v>#DIV/0!</v>
      </c>
      <c r="AT55" s="226"/>
      <c r="AU55" s="226"/>
      <c r="AV55" s="229" t="e">
        <f t="shared" ref="AV55:AV56" si="128">(AT55+AU55)/$AG55</f>
        <v>#DIV/0!</v>
      </c>
      <c r="AW55" s="226"/>
      <c r="AX55" s="226"/>
      <c r="AY55" s="229" t="e">
        <f t="shared" ref="AY55:AY56" si="129">(AW55+AX55)/$AG55</f>
        <v>#DIV/0!</v>
      </c>
      <c r="AZ55" s="230">
        <f t="shared" ref="AZ55:BA56" si="130">SUM(AN55,AQ55,AT55,AW55)</f>
        <v>0</v>
      </c>
      <c r="BA55" s="230">
        <f t="shared" si="130"/>
        <v>0</v>
      </c>
      <c r="BB55" s="230">
        <f t="shared" ref="BB55:BB56" si="131">SUM(AZ55:BA55)</f>
        <v>0</v>
      </c>
      <c r="BC55" s="229">
        <f t="shared" ref="BC55:BC56" si="132">(BB55+1)/(AI55+1)</f>
        <v>1</v>
      </c>
      <c r="BD55" s="231"/>
      <c r="BE55" s="231"/>
      <c r="BH55" s="17"/>
    </row>
    <row r="56" spans="19:60" ht="15" customHeight="1" thickBot="1" x14ac:dyDescent="0.25">
      <c r="AC56" s="232" t="s">
        <v>275</v>
      </c>
      <c r="AD56" s="233"/>
      <c r="AE56" s="233"/>
      <c r="AF56" s="234"/>
      <c r="AG56" s="234"/>
      <c r="AH56" s="235"/>
      <c r="AI56" s="234"/>
      <c r="AJ56" s="234"/>
      <c r="AK56" s="234"/>
      <c r="AL56" s="234"/>
      <c r="AM56" s="236" t="e">
        <f t="shared" si="125"/>
        <v>#DIV/0!</v>
      </c>
      <c r="AN56" s="234"/>
      <c r="AO56" s="234"/>
      <c r="AP56" s="237" t="e">
        <f t="shared" si="126"/>
        <v>#DIV/0!</v>
      </c>
      <c r="AQ56" s="234"/>
      <c r="AR56" s="234"/>
      <c r="AS56" s="237" t="e">
        <f t="shared" si="127"/>
        <v>#DIV/0!</v>
      </c>
      <c r="AT56" s="234"/>
      <c r="AU56" s="234"/>
      <c r="AV56" s="237" t="e">
        <f t="shared" si="128"/>
        <v>#DIV/0!</v>
      </c>
      <c r="AW56" s="234"/>
      <c r="AX56" s="234"/>
      <c r="AY56" s="237" t="e">
        <f t="shared" si="129"/>
        <v>#DIV/0!</v>
      </c>
      <c r="AZ56" s="238">
        <f t="shared" si="130"/>
        <v>0</v>
      </c>
      <c r="BA56" s="238">
        <f t="shared" si="130"/>
        <v>0</v>
      </c>
      <c r="BB56" s="238">
        <f t="shared" si="131"/>
        <v>0</v>
      </c>
      <c r="BC56" s="237">
        <f t="shared" si="132"/>
        <v>1</v>
      </c>
      <c r="BD56" s="239"/>
      <c r="BE56" s="239"/>
      <c r="BH56" s="17"/>
    </row>
    <row r="57" spans="19:60" ht="15" customHeight="1" x14ac:dyDescent="0.2">
      <c r="AC57" s="7"/>
      <c r="AG57" s="240">
        <f>SUM(AG54:AG56)</f>
        <v>491</v>
      </c>
      <c r="AH57" s="240">
        <f>SUM(AH54:AH56)</f>
        <v>209</v>
      </c>
      <c r="AI57" s="240">
        <f t="shared" ref="AI57:AL57" si="133">SUM(AI54:AI56)</f>
        <v>209</v>
      </c>
      <c r="AJ57" s="240">
        <f t="shared" si="133"/>
        <v>282</v>
      </c>
      <c r="AK57" s="240">
        <f t="shared" si="133"/>
        <v>0</v>
      </c>
      <c r="AL57" s="240">
        <f t="shared" si="133"/>
        <v>0</v>
      </c>
      <c r="AM57" s="135"/>
      <c r="AN57" s="240">
        <f>SUM(AN54:AN56)</f>
        <v>21</v>
      </c>
      <c r="AO57" s="240">
        <f>SUM(AO54:AO56)</f>
        <v>0</v>
      </c>
      <c r="AP57" s="241"/>
      <c r="AQ57" s="240">
        <f>SUM(AQ54:AQ56)</f>
        <v>0</v>
      </c>
      <c r="AR57" s="240">
        <f>SUM(AR54:AR56)</f>
        <v>0</v>
      </c>
      <c r="AS57" s="241"/>
      <c r="AT57" s="240">
        <f>SUM(AT54:AT56)</f>
        <v>4</v>
      </c>
      <c r="AU57" s="240">
        <f>SUM(AU54:AU56)</f>
        <v>0</v>
      </c>
      <c r="AV57" s="241"/>
      <c r="AW57" s="240">
        <f>SUM(AW54:AW56)</f>
        <v>0</v>
      </c>
      <c r="AX57" s="240">
        <f>SUM(AX54:AX56)</f>
        <v>0</v>
      </c>
      <c r="AY57" s="241"/>
      <c r="AZ57" s="240">
        <f>SUM(AZ54:AZ56)</f>
        <v>25</v>
      </c>
      <c r="BA57" s="240">
        <f>SUM(BA54:BA56)</f>
        <v>0</v>
      </c>
      <c r="BB57" s="240">
        <f>SUM(AZ57:BA57)</f>
        <v>25</v>
      </c>
      <c r="BC57" s="242">
        <f>(BB57+1)/(AI57+1)</f>
        <v>0.12380952380952381</v>
      </c>
      <c r="BD57" s="98"/>
      <c r="BE57" s="98"/>
      <c r="BH57" s="17"/>
    </row>
    <row r="58" spans="19:60" ht="15" customHeight="1" thickBot="1" x14ac:dyDescent="0.25">
      <c r="AC58" s="212" t="s">
        <v>287</v>
      </c>
      <c r="AD58" s="15"/>
      <c r="AE58" s="23"/>
      <c r="AF58" s="16"/>
      <c r="AG58" s="15"/>
      <c r="AH58" s="15"/>
      <c r="AI58" s="15"/>
      <c r="AJ58" s="15"/>
      <c r="AK58" s="15"/>
      <c r="AL58" s="22"/>
      <c r="AM58" s="213"/>
      <c r="AN58" s="23"/>
      <c r="AO58" s="23"/>
      <c r="AP58" s="7"/>
      <c r="AQ58" s="15"/>
      <c r="AR58" s="15"/>
      <c r="AS58" s="7"/>
      <c r="AT58" s="15"/>
      <c r="AU58" s="15"/>
      <c r="AV58" s="7"/>
      <c r="AW58" s="15"/>
      <c r="AX58" s="15"/>
      <c r="AY58" s="214"/>
      <c r="AZ58" s="215"/>
      <c r="BA58" s="10"/>
      <c r="BB58" s="7"/>
      <c r="BC58" s="7"/>
      <c r="BD58" s="7"/>
      <c r="BE58" s="7"/>
      <c r="BH58" s="17"/>
    </row>
    <row r="59" spans="19:60" ht="15" customHeight="1" x14ac:dyDescent="0.2">
      <c r="AC59" s="216" t="s">
        <v>271</v>
      </c>
      <c r="AD59" s="217"/>
      <c r="AE59" s="217"/>
      <c r="AF59" s="218"/>
      <c r="AG59" s="218"/>
      <c r="AH59" s="219"/>
      <c r="AI59" s="218"/>
      <c r="AJ59" s="218"/>
      <c r="AK59" s="218"/>
      <c r="AL59" s="218"/>
      <c r="AM59" s="220" t="e">
        <f>SUM(AJ59:AL59)/AH59</f>
        <v>#DIV/0!</v>
      </c>
      <c r="AN59" s="218"/>
      <c r="AO59" s="218"/>
      <c r="AP59" s="221" t="e">
        <f>SUM(AN59:AO59)/AI59</f>
        <v>#DIV/0!</v>
      </c>
      <c r="AQ59" s="218"/>
      <c r="AR59" s="218"/>
      <c r="AS59" s="221" t="e">
        <f>(AQ59+AR59)/$AG59</f>
        <v>#DIV/0!</v>
      </c>
      <c r="AT59" s="218"/>
      <c r="AU59" s="218"/>
      <c r="AV59" s="221" t="e">
        <f>(AT59+AU59)/$AG59</f>
        <v>#DIV/0!</v>
      </c>
      <c r="AW59" s="218"/>
      <c r="AX59" s="218"/>
      <c r="AY59" s="221" t="e">
        <f>(AW59+AX59)/$AG59</f>
        <v>#DIV/0!</v>
      </c>
      <c r="AZ59" s="222">
        <f>SUM(AN59,AQ59,AT59,AW59)</f>
        <v>0</v>
      </c>
      <c r="BA59" s="222">
        <f>SUM(AO59,AR59,AU59,AX59)</f>
        <v>0</v>
      </c>
      <c r="BB59" s="222">
        <f>SUM(AZ59:BA59)</f>
        <v>0</v>
      </c>
      <c r="BC59" s="221">
        <f>(BB59+1)/(AI59+1)</f>
        <v>1</v>
      </c>
      <c r="BD59" s="223"/>
      <c r="BE59" s="223"/>
      <c r="BH59" s="17"/>
    </row>
    <row r="60" spans="19:60" ht="15" customHeight="1" x14ac:dyDescent="0.2">
      <c r="AC60" s="224" t="s">
        <v>273</v>
      </c>
      <c r="AD60" s="225"/>
      <c r="AE60" s="225"/>
      <c r="AF60" s="226"/>
      <c r="AG60" s="226"/>
      <c r="AH60" s="227"/>
      <c r="AI60" s="226"/>
      <c r="AJ60" s="226"/>
      <c r="AK60" s="226"/>
      <c r="AL60" s="226"/>
      <c r="AM60" s="228" t="e">
        <f t="shared" ref="AM60:AM61" si="134">SUM(AJ60:AL60)/AH60</f>
        <v>#DIV/0!</v>
      </c>
      <c r="AN60" s="226"/>
      <c r="AO60" s="226"/>
      <c r="AP60" s="229" t="e">
        <f t="shared" ref="AP60:AP61" si="135">SUM(AN60:AO60)/AI60</f>
        <v>#DIV/0!</v>
      </c>
      <c r="AQ60" s="226"/>
      <c r="AR60" s="226"/>
      <c r="AS60" s="229" t="e">
        <f t="shared" ref="AS60:AS61" si="136">(AQ60+AR60)/$AG60</f>
        <v>#DIV/0!</v>
      </c>
      <c r="AT60" s="226"/>
      <c r="AU60" s="226"/>
      <c r="AV60" s="229" t="e">
        <f t="shared" ref="AV60:AV61" si="137">(AT60+AU60)/$AG60</f>
        <v>#DIV/0!</v>
      </c>
      <c r="AW60" s="226"/>
      <c r="AX60" s="226"/>
      <c r="AY60" s="229" t="e">
        <f t="shared" ref="AY60:AY61" si="138">(AW60+AX60)/$AG60</f>
        <v>#DIV/0!</v>
      </c>
      <c r="AZ60" s="230">
        <f t="shared" ref="AZ60:BA61" si="139">SUM(AN60,AQ60,AT60,AW60)</f>
        <v>0</v>
      </c>
      <c r="BA60" s="230">
        <f t="shared" si="139"/>
        <v>0</v>
      </c>
      <c r="BB60" s="230">
        <f t="shared" ref="BB60:BB61" si="140">SUM(AZ60:BA60)</f>
        <v>0</v>
      </c>
      <c r="BC60" s="229">
        <f t="shared" ref="BC60:BC61" si="141">(BB60+1)/(AI60+1)</f>
        <v>1</v>
      </c>
      <c r="BD60" s="231"/>
      <c r="BE60" s="231"/>
    </row>
    <row r="61" spans="19:60" ht="15" customHeight="1" thickBot="1" x14ac:dyDescent="0.25">
      <c r="AC61" s="232" t="s">
        <v>275</v>
      </c>
      <c r="AD61" s="233"/>
      <c r="AE61" s="233"/>
      <c r="AF61" s="234"/>
      <c r="AG61" s="234"/>
      <c r="AH61" s="235"/>
      <c r="AI61" s="234"/>
      <c r="AJ61" s="234"/>
      <c r="AK61" s="234"/>
      <c r="AL61" s="234"/>
      <c r="AM61" s="236" t="e">
        <f t="shared" si="134"/>
        <v>#DIV/0!</v>
      </c>
      <c r="AN61" s="234"/>
      <c r="AO61" s="234"/>
      <c r="AP61" s="237" t="e">
        <f t="shared" si="135"/>
        <v>#DIV/0!</v>
      </c>
      <c r="AQ61" s="234"/>
      <c r="AR61" s="234"/>
      <c r="AS61" s="237" t="e">
        <f t="shared" si="136"/>
        <v>#DIV/0!</v>
      </c>
      <c r="AT61" s="234"/>
      <c r="AU61" s="234"/>
      <c r="AV61" s="237" t="e">
        <f t="shared" si="137"/>
        <v>#DIV/0!</v>
      </c>
      <c r="AW61" s="234"/>
      <c r="AX61" s="234"/>
      <c r="AY61" s="237" t="e">
        <f t="shared" si="138"/>
        <v>#DIV/0!</v>
      </c>
      <c r="AZ61" s="238">
        <f t="shared" si="139"/>
        <v>0</v>
      </c>
      <c r="BA61" s="238">
        <f t="shared" si="139"/>
        <v>0</v>
      </c>
      <c r="BB61" s="238">
        <f t="shared" si="140"/>
        <v>0</v>
      </c>
      <c r="BC61" s="237">
        <f t="shared" si="141"/>
        <v>1</v>
      </c>
      <c r="BD61" s="239"/>
      <c r="BE61" s="239"/>
    </row>
    <row r="62" spans="19:60" ht="18" customHeight="1" x14ac:dyDescent="0.2">
      <c r="AC62" s="7"/>
      <c r="AG62" s="240">
        <f>SUM(AG59:AG61)</f>
        <v>0</v>
      </c>
      <c r="AH62" s="240">
        <f>SUM(AH59:AH61)</f>
        <v>0</v>
      </c>
      <c r="AI62" s="240">
        <f t="shared" ref="AI62:AL62" si="142">SUM(AI59:AI61)</f>
        <v>0</v>
      </c>
      <c r="AJ62" s="240">
        <f t="shared" si="142"/>
        <v>0</v>
      </c>
      <c r="AK62" s="240">
        <f t="shared" si="142"/>
        <v>0</v>
      </c>
      <c r="AL62" s="240">
        <f t="shared" si="142"/>
        <v>0</v>
      </c>
      <c r="AM62" s="135"/>
      <c r="AN62" s="240">
        <f>SUM(AN59:AN61)</f>
        <v>0</v>
      </c>
      <c r="AO62" s="240">
        <f>SUM(AO59:AO61)</f>
        <v>0</v>
      </c>
      <c r="AP62" s="241"/>
      <c r="AQ62" s="240">
        <f>SUM(AQ59:AQ61)</f>
        <v>0</v>
      </c>
      <c r="AR62" s="240">
        <f>SUM(AR59:AR61)</f>
        <v>0</v>
      </c>
      <c r="AS62" s="241"/>
      <c r="AT62" s="240">
        <f>SUM(AT59:AT61)</f>
        <v>0</v>
      </c>
      <c r="AU62" s="240">
        <f>SUM(AU59:AU61)</f>
        <v>0</v>
      </c>
      <c r="AV62" s="241"/>
      <c r="AW62" s="240">
        <f>SUM(AW59:AW61)</f>
        <v>0</v>
      </c>
      <c r="AX62" s="240">
        <f>SUM(AX59:AX61)</f>
        <v>0</v>
      </c>
      <c r="AY62" s="241"/>
      <c r="AZ62" s="240">
        <f>SUM(AZ59:AZ61)</f>
        <v>0</v>
      </c>
      <c r="BA62" s="240">
        <f>SUM(BA59:BA61)</f>
        <v>0</v>
      </c>
      <c r="BB62" s="240">
        <f>SUM(AZ62:BA62)</f>
        <v>0</v>
      </c>
      <c r="BC62" s="242">
        <f>(BB62+1)/(AI62+1)</f>
        <v>1</v>
      </c>
      <c r="BD62" s="98"/>
      <c r="BE62" s="98"/>
    </row>
    <row r="63" spans="19:60" ht="18" customHeight="1" thickBot="1" x14ac:dyDescent="0.25">
      <c r="AC63" s="212" t="s">
        <v>288</v>
      </c>
      <c r="AD63" s="15"/>
      <c r="AE63" s="23"/>
      <c r="AF63" s="16"/>
      <c r="AG63" s="15"/>
      <c r="AH63" s="15"/>
      <c r="AI63" s="15"/>
      <c r="AJ63" s="15"/>
      <c r="AK63" s="15"/>
      <c r="AL63" s="22"/>
      <c r="AM63" s="213"/>
      <c r="AN63" s="23"/>
      <c r="AO63" s="23"/>
      <c r="AP63" s="7"/>
      <c r="AQ63" s="15"/>
      <c r="AR63" s="15"/>
      <c r="AS63" s="7"/>
      <c r="AT63" s="15"/>
      <c r="AU63" s="15"/>
      <c r="AV63" s="7"/>
      <c r="AW63" s="15"/>
      <c r="AX63" s="15"/>
      <c r="AY63" s="214"/>
      <c r="AZ63" s="215"/>
      <c r="BA63" s="10"/>
      <c r="BB63" s="7"/>
      <c r="BC63" s="7"/>
      <c r="BD63" s="7"/>
      <c r="BE63" s="7"/>
    </row>
    <row r="64" spans="19:60" ht="18" customHeight="1" x14ac:dyDescent="0.2">
      <c r="S64" s="18"/>
      <c r="AC64" s="216" t="s">
        <v>271</v>
      </c>
      <c r="AD64" s="217"/>
      <c r="AE64" s="217"/>
      <c r="AF64" s="218"/>
      <c r="AG64" s="218"/>
      <c r="AH64" s="219"/>
      <c r="AI64" s="218"/>
      <c r="AJ64" s="218"/>
      <c r="AK64" s="218"/>
      <c r="AL64" s="218"/>
      <c r="AM64" s="220" t="e">
        <f>SUM(AJ64:AL64)/AH64</f>
        <v>#DIV/0!</v>
      </c>
      <c r="AN64" s="218"/>
      <c r="AO64" s="218"/>
      <c r="AP64" s="221" t="e">
        <f>SUM(AN64:AO64)/AI64</f>
        <v>#DIV/0!</v>
      </c>
      <c r="AQ64" s="218"/>
      <c r="AR64" s="218"/>
      <c r="AS64" s="221" t="e">
        <f>(AQ64+AR64)/$AG64</f>
        <v>#DIV/0!</v>
      </c>
      <c r="AT64" s="218"/>
      <c r="AU64" s="218"/>
      <c r="AV64" s="221" t="e">
        <f>(AT64+AU64)/$AG64</f>
        <v>#DIV/0!</v>
      </c>
      <c r="AW64" s="218"/>
      <c r="AX64" s="218"/>
      <c r="AY64" s="221" t="e">
        <f>(AW64+AX64)/$AG64</f>
        <v>#DIV/0!</v>
      </c>
      <c r="AZ64" s="222">
        <f>SUM(AN64,AQ64,AT64,AW64)</f>
        <v>0</v>
      </c>
      <c r="BA64" s="222">
        <f>SUM(AO64,AR64,AU64,AX64)</f>
        <v>0</v>
      </c>
      <c r="BB64" s="222">
        <f>SUM(AZ64:BA64)</f>
        <v>0</v>
      </c>
      <c r="BC64" s="221">
        <f>(BB64+1)/(AI64+1)</f>
        <v>1</v>
      </c>
      <c r="BD64" s="223"/>
      <c r="BE64" s="223"/>
    </row>
    <row r="65" spans="6:57" ht="18" customHeight="1" x14ac:dyDescent="0.2">
      <c r="S65" s="18"/>
      <c r="AC65" s="224" t="s">
        <v>273</v>
      </c>
      <c r="AD65" s="225"/>
      <c r="AE65" s="225"/>
      <c r="AF65" s="226"/>
      <c r="AG65" s="226"/>
      <c r="AH65" s="227"/>
      <c r="AI65" s="226"/>
      <c r="AJ65" s="226"/>
      <c r="AK65" s="226"/>
      <c r="AL65" s="226"/>
      <c r="AM65" s="228" t="e">
        <f t="shared" ref="AM65:AM66" si="143">SUM(AJ65:AL65)/AH65</f>
        <v>#DIV/0!</v>
      </c>
      <c r="AN65" s="226"/>
      <c r="AO65" s="226"/>
      <c r="AP65" s="229" t="e">
        <f t="shared" ref="AP65:AP66" si="144">SUM(AN65:AO65)/AI65</f>
        <v>#DIV/0!</v>
      </c>
      <c r="AQ65" s="226"/>
      <c r="AR65" s="226"/>
      <c r="AS65" s="229" t="e">
        <f t="shared" ref="AS65:AS66" si="145">(AQ65+AR65)/$AG65</f>
        <v>#DIV/0!</v>
      </c>
      <c r="AT65" s="226"/>
      <c r="AU65" s="226"/>
      <c r="AV65" s="229" t="e">
        <f t="shared" ref="AV65:AV66" si="146">(AT65+AU65)/$AG65</f>
        <v>#DIV/0!</v>
      </c>
      <c r="AW65" s="226"/>
      <c r="AX65" s="226"/>
      <c r="AY65" s="229" t="e">
        <f t="shared" ref="AY65:AY66" si="147">(AW65+AX65)/$AG65</f>
        <v>#DIV/0!</v>
      </c>
      <c r="AZ65" s="230">
        <f t="shared" ref="AZ65:BA66" si="148">SUM(AN65,AQ65,AT65,AW65)</f>
        <v>0</v>
      </c>
      <c r="BA65" s="230">
        <f t="shared" si="148"/>
        <v>0</v>
      </c>
      <c r="BB65" s="230">
        <f t="shared" ref="BB65:BB66" si="149">SUM(AZ65:BA65)</f>
        <v>0</v>
      </c>
      <c r="BC65" s="229">
        <f t="shared" ref="BC65:BC66" si="150">(BB65+1)/(AI65+1)</f>
        <v>1</v>
      </c>
      <c r="BD65" s="231"/>
      <c r="BE65" s="231"/>
    </row>
    <row r="66" spans="6:57" ht="18" customHeight="1" thickBot="1" x14ac:dyDescent="0.25">
      <c r="S66" s="18"/>
      <c r="AC66" s="232" t="s">
        <v>275</v>
      </c>
      <c r="AD66" s="233"/>
      <c r="AE66" s="233"/>
      <c r="AF66" s="234"/>
      <c r="AG66" s="234"/>
      <c r="AH66" s="235"/>
      <c r="AI66" s="234"/>
      <c r="AJ66" s="234"/>
      <c r="AK66" s="234"/>
      <c r="AL66" s="234"/>
      <c r="AM66" s="236" t="e">
        <f t="shared" si="143"/>
        <v>#DIV/0!</v>
      </c>
      <c r="AN66" s="234"/>
      <c r="AO66" s="234"/>
      <c r="AP66" s="237" t="e">
        <f t="shared" si="144"/>
        <v>#DIV/0!</v>
      </c>
      <c r="AQ66" s="234"/>
      <c r="AR66" s="234"/>
      <c r="AS66" s="237" t="e">
        <f t="shared" si="145"/>
        <v>#DIV/0!</v>
      </c>
      <c r="AT66" s="234"/>
      <c r="AU66" s="234"/>
      <c r="AV66" s="237" t="e">
        <f t="shared" si="146"/>
        <v>#DIV/0!</v>
      </c>
      <c r="AW66" s="234"/>
      <c r="AX66" s="234"/>
      <c r="AY66" s="237" t="e">
        <f t="shared" si="147"/>
        <v>#DIV/0!</v>
      </c>
      <c r="AZ66" s="238">
        <f t="shared" si="148"/>
        <v>0</v>
      </c>
      <c r="BA66" s="238">
        <f t="shared" si="148"/>
        <v>0</v>
      </c>
      <c r="BB66" s="238">
        <f t="shared" si="149"/>
        <v>0</v>
      </c>
      <c r="BC66" s="237">
        <f t="shared" si="150"/>
        <v>1</v>
      </c>
      <c r="BD66" s="239"/>
      <c r="BE66" s="239"/>
    </row>
    <row r="67" spans="6:57" ht="18" customHeight="1" x14ac:dyDescent="0.2">
      <c r="S67" s="18"/>
      <c r="AC67" s="7"/>
      <c r="AG67" s="240">
        <f>SUM(AG64:AG66)</f>
        <v>0</v>
      </c>
      <c r="AH67" s="240">
        <f>SUM(AH64:AH66)</f>
        <v>0</v>
      </c>
      <c r="AI67" s="240">
        <f t="shared" ref="AI67:AL67" si="151">SUM(AI64:AI66)</f>
        <v>0</v>
      </c>
      <c r="AJ67" s="240">
        <f t="shared" si="151"/>
        <v>0</v>
      </c>
      <c r="AK67" s="240">
        <f t="shared" si="151"/>
        <v>0</v>
      </c>
      <c r="AL67" s="240">
        <f t="shared" si="151"/>
        <v>0</v>
      </c>
      <c r="AM67" s="135"/>
      <c r="AN67" s="240">
        <f>SUM(AN64:AN66)</f>
        <v>0</v>
      </c>
      <c r="AO67" s="240">
        <f>SUM(AO64:AO66)</f>
        <v>0</v>
      </c>
      <c r="AP67" s="241"/>
      <c r="AQ67" s="240">
        <f>SUM(AQ64:AQ66)</f>
        <v>0</v>
      </c>
      <c r="AR67" s="240">
        <f>SUM(AR64:AR66)</f>
        <v>0</v>
      </c>
      <c r="AS67" s="241"/>
      <c r="AT67" s="240">
        <f>SUM(AT64:AT66)</f>
        <v>0</v>
      </c>
      <c r="AU67" s="240">
        <f>SUM(AU64:AU66)</f>
        <v>0</v>
      </c>
      <c r="AV67" s="241"/>
      <c r="AW67" s="240">
        <f>SUM(AW64:AW66)</f>
        <v>0</v>
      </c>
      <c r="AX67" s="240">
        <f>SUM(AX64:AX66)</f>
        <v>0</v>
      </c>
      <c r="AY67" s="241"/>
      <c r="AZ67" s="240">
        <f>SUM(AZ64:AZ66)</f>
        <v>0</v>
      </c>
      <c r="BA67" s="240">
        <f>SUM(BA64:BA66)</f>
        <v>0</v>
      </c>
      <c r="BB67" s="240">
        <f>SUM(AZ67:BA67)</f>
        <v>0</v>
      </c>
      <c r="BC67" s="242">
        <f>(BB67+1)/(AI67+1)</f>
        <v>1</v>
      </c>
      <c r="BD67" s="98"/>
      <c r="BE67" s="98"/>
    </row>
    <row r="68" spans="6:57" ht="18" customHeight="1" thickBot="1" x14ac:dyDescent="0.25">
      <c r="S68" s="18"/>
      <c r="AC68" s="212" t="s">
        <v>290</v>
      </c>
      <c r="AD68" s="15"/>
      <c r="AE68" s="23"/>
      <c r="AF68" s="16"/>
      <c r="AG68" s="15"/>
      <c r="AH68" s="15"/>
      <c r="AI68" s="15"/>
      <c r="AJ68" s="15"/>
      <c r="AK68" s="15"/>
      <c r="AL68" s="22"/>
      <c r="AM68" s="213"/>
      <c r="AN68" s="23"/>
      <c r="AO68" s="23"/>
      <c r="AP68" s="7"/>
      <c r="AQ68" s="15"/>
      <c r="AR68" s="15"/>
      <c r="AS68" s="7"/>
      <c r="AT68" s="15"/>
      <c r="AU68" s="15"/>
      <c r="AV68" s="7"/>
      <c r="AW68" s="15"/>
      <c r="AX68" s="15"/>
      <c r="AY68" s="214"/>
      <c r="AZ68" s="215"/>
      <c r="BA68" s="10"/>
      <c r="BB68" s="7"/>
      <c r="BC68" s="7"/>
      <c r="BD68" s="7"/>
      <c r="BE68" s="7"/>
    </row>
    <row r="69" spans="6:57" ht="18" customHeight="1" x14ac:dyDescent="0.2">
      <c r="S69" s="18"/>
      <c r="AC69" s="216" t="s">
        <v>271</v>
      </c>
      <c r="AD69" s="217"/>
      <c r="AE69" s="217"/>
      <c r="AF69" s="218"/>
      <c r="AG69" s="218"/>
      <c r="AH69" s="219"/>
      <c r="AI69" s="218"/>
      <c r="AJ69" s="218"/>
      <c r="AK69" s="218"/>
      <c r="AL69" s="218"/>
      <c r="AM69" s="220" t="e">
        <f>SUM(AJ69:AL69)/AH69</f>
        <v>#DIV/0!</v>
      </c>
      <c r="AN69" s="218"/>
      <c r="AO69" s="218"/>
      <c r="AP69" s="221" t="e">
        <f>SUM(AN69:AO69)/AI69</f>
        <v>#DIV/0!</v>
      </c>
      <c r="AQ69" s="218"/>
      <c r="AR69" s="218"/>
      <c r="AS69" s="221" t="e">
        <f>(AQ69+AR69)/$AG69</f>
        <v>#DIV/0!</v>
      </c>
      <c r="AT69" s="218"/>
      <c r="AU69" s="218"/>
      <c r="AV69" s="221" t="e">
        <f>(AT69+AU69)/$AG69</f>
        <v>#DIV/0!</v>
      </c>
      <c r="AW69" s="218"/>
      <c r="AX69" s="218"/>
      <c r="AY69" s="221" t="e">
        <f>(AW69+AX69)/$AG69</f>
        <v>#DIV/0!</v>
      </c>
      <c r="AZ69" s="222">
        <f>SUM(AN69,AQ69,AT69,AW69)</f>
        <v>0</v>
      </c>
      <c r="BA69" s="222">
        <f>SUM(AO69,AR69,AU69,AX69)</f>
        <v>0</v>
      </c>
      <c r="BB69" s="222">
        <f>SUM(AZ69:BA69)</f>
        <v>0</v>
      </c>
      <c r="BC69" s="221">
        <f>(BB69+1)/(AI69+1)</f>
        <v>1</v>
      </c>
      <c r="BD69" s="223"/>
      <c r="BE69" s="223"/>
    </row>
    <row r="70" spans="6:57" ht="18" customHeight="1" x14ac:dyDescent="0.2">
      <c r="S70" s="18"/>
      <c r="AC70" s="224" t="s">
        <v>273</v>
      </c>
      <c r="AD70" s="225"/>
      <c r="AE70" s="225"/>
      <c r="AF70" s="226"/>
      <c r="AG70" s="226"/>
      <c r="AH70" s="227"/>
      <c r="AI70" s="226"/>
      <c r="AJ70" s="226"/>
      <c r="AK70" s="226"/>
      <c r="AL70" s="226"/>
      <c r="AM70" s="228" t="e">
        <f t="shared" ref="AM70:AM71" si="152">SUM(AJ70:AL70)/AH70</f>
        <v>#DIV/0!</v>
      </c>
      <c r="AN70" s="226"/>
      <c r="AO70" s="226"/>
      <c r="AP70" s="229" t="e">
        <f t="shared" ref="AP70:AP71" si="153">SUM(AN70:AO70)/AI70</f>
        <v>#DIV/0!</v>
      </c>
      <c r="AQ70" s="226"/>
      <c r="AR70" s="226"/>
      <c r="AS70" s="229" t="e">
        <f t="shared" ref="AS70:AS71" si="154">(AQ70+AR70)/$AG70</f>
        <v>#DIV/0!</v>
      </c>
      <c r="AT70" s="226"/>
      <c r="AU70" s="226"/>
      <c r="AV70" s="229" t="e">
        <f t="shared" ref="AV70:AV71" si="155">(AT70+AU70)/$AG70</f>
        <v>#DIV/0!</v>
      </c>
      <c r="AW70" s="226"/>
      <c r="AX70" s="226"/>
      <c r="AY70" s="229" t="e">
        <f t="shared" ref="AY70:AY71" si="156">(AW70+AX70)/$AG70</f>
        <v>#DIV/0!</v>
      </c>
      <c r="AZ70" s="230">
        <f t="shared" ref="AZ70:BA71" si="157">SUM(AN70,AQ70,AT70,AW70)</f>
        <v>0</v>
      </c>
      <c r="BA70" s="230">
        <f t="shared" si="157"/>
        <v>0</v>
      </c>
      <c r="BB70" s="230">
        <f t="shared" ref="BB70:BB71" si="158">SUM(AZ70:BA70)</f>
        <v>0</v>
      </c>
      <c r="BC70" s="229">
        <f t="shared" ref="BC70:BC71" si="159">(BB70+1)/(AI70+1)</f>
        <v>1</v>
      </c>
      <c r="BD70" s="231"/>
      <c r="BE70" s="231"/>
    </row>
    <row r="71" spans="6:57" ht="18" customHeight="1" thickBot="1" x14ac:dyDescent="0.25">
      <c r="S71" s="18"/>
      <c r="AC71" s="232" t="s">
        <v>275</v>
      </c>
      <c r="AD71" s="233"/>
      <c r="AE71" s="233"/>
      <c r="AF71" s="234"/>
      <c r="AG71" s="234"/>
      <c r="AH71" s="235"/>
      <c r="AI71" s="234"/>
      <c r="AJ71" s="234"/>
      <c r="AK71" s="234"/>
      <c r="AL71" s="234"/>
      <c r="AM71" s="236" t="e">
        <f t="shared" si="152"/>
        <v>#DIV/0!</v>
      </c>
      <c r="AN71" s="234"/>
      <c r="AO71" s="234"/>
      <c r="AP71" s="237" t="e">
        <f t="shared" si="153"/>
        <v>#DIV/0!</v>
      </c>
      <c r="AQ71" s="234"/>
      <c r="AR71" s="234"/>
      <c r="AS71" s="237" t="e">
        <f t="shared" si="154"/>
        <v>#DIV/0!</v>
      </c>
      <c r="AT71" s="234"/>
      <c r="AU71" s="234"/>
      <c r="AV71" s="237" t="e">
        <f t="shared" si="155"/>
        <v>#DIV/0!</v>
      </c>
      <c r="AW71" s="234"/>
      <c r="AX71" s="234"/>
      <c r="AY71" s="237" t="e">
        <f t="shared" si="156"/>
        <v>#DIV/0!</v>
      </c>
      <c r="AZ71" s="238">
        <f t="shared" si="157"/>
        <v>0</v>
      </c>
      <c r="BA71" s="238">
        <f t="shared" si="157"/>
        <v>0</v>
      </c>
      <c r="BB71" s="238">
        <f t="shared" si="158"/>
        <v>0</v>
      </c>
      <c r="BC71" s="237">
        <f t="shared" si="159"/>
        <v>1</v>
      </c>
      <c r="BD71" s="239"/>
      <c r="BE71" s="239"/>
    </row>
    <row r="72" spans="6:57" ht="18" customHeight="1" x14ac:dyDescent="0.2">
      <c r="F72" s="129"/>
      <c r="G72" s="130"/>
      <c r="H72" s="130"/>
      <c r="I72" s="130"/>
      <c r="J72" s="129"/>
      <c r="K72" s="129"/>
      <c r="L72" s="129"/>
      <c r="S72" s="18"/>
      <c r="AC72" s="7"/>
      <c r="AG72" s="240">
        <f>SUM(AG69:AG71)</f>
        <v>0</v>
      </c>
      <c r="AH72" s="240">
        <f>SUM(AH69:AH71)</f>
        <v>0</v>
      </c>
      <c r="AI72" s="240">
        <f t="shared" ref="AI72:AL72" si="160">SUM(AI69:AI71)</f>
        <v>0</v>
      </c>
      <c r="AJ72" s="240">
        <f t="shared" si="160"/>
        <v>0</v>
      </c>
      <c r="AK72" s="240">
        <f t="shared" si="160"/>
        <v>0</v>
      </c>
      <c r="AL72" s="240">
        <f t="shared" si="160"/>
        <v>0</v>
      </c>
      <c r="AM72" s="135"/>
      <c r="AN72" s="240">
        <f>SUM(AN69:AN71)</f>
        <v>0</v>
      </c>
      <c r="AO72" s="240">
        <f>SUM(AO69:AO71)</f>
        <v>0</v>
      </c>
      <c r="AP72" s="241"/>
      <c r="AQ72" s="240">
        <f>SUM(AQ69:AQ71)</f>
        <v>0</v>
      </c>
      <c r="AR72" s="240">
        <f>SUM(AR69:AR71)</f>
        <v>0</v>
      </c>
      <c r="AS72" s="241"/>
      <c r="AT72" s="240">
        <f>SUM(AT69:AT71)</f>
        <v>0</v>
      </c>
      <c r="AU72" s="240">
        <f>SUM(AU69:AU71)</f>
        <v>0</v>
      </c>
      <c r="AV72" s="241"/>
      <c r="AW72" s="240">
        <f>SUM(AW69:AW71)</f>
        <v>0</v>
      </c>
      <c r="AX72" s="240">
        <f>SUM(AX69:AX71)</f>
        <v>0</v>
      </c>
      <c r="AY72" s="241"/>
      <c r="AZ72" s="240">
        <f>SUM(AZ69:AZ71)</f>
        <v>0</v>
      </c>
      <c r="BA72" s="240">
        <f>SUM(BA69:BA71)</f>
        <v>0</v>
      </c>
      <c r="BB72" s="240">
        <f>SUM(AZ72:BA72)</f>
        <v>0</v>
      </c>
      <c r="BC72" s="242">
        <f>(BB72+1)/(AI72+1)</f>
        <v>1</v>
      </c>
      <c r="BD72" s="98"/>
      <c r="BE72" s="98"/>
    </row>
    <row r="73" spans="6:57" ht="18" customHeight="1" thickBot="1" x14ac:dyDescent="0.25">
      <c r="F73" s="129"/>
      <c r="G73" s="130"/>
      <c r="H73" s="130"/>
      <c r="I73" s="130"/>
      <c r="J73" s="129"/>
      <c r="K73" s="129"/>
      <c r="L73" s="129"/>
      <c r="S73" s="18"/>
      <c r="AC73" s="212" t="s">
        <v>295</v>
      </c>
      <c r="AD73" s="15"/>
      <c r="AE73" s="23"/>
      <c r="AF73" s="16"/>
      <c r="AG73" s="15"/>
      <c r="AH73" s="15"/>
      <c r="AI73" s="15"/>
      <c r="AJ73" s="15"/>
      <c r="AK73" s="15"/>
      <c r="AL73" s="22"/>
      <c r="AM73" s="213"/>
      <c r="AN73" s="23"/>
      <c r="AO73" s="23"/>
      <c r="AP73" s="7"/>
      <c r="AQ73" s="15"/>
      <c r="AR73" s="15"/>
      <c r="AS73" s="7"/>
      <c r="AT73" s="15"/>
      <c r="AU73" s="15"/>
      <c r="AV73" s="7"/>
      <c r="AW73" s="15"/>
      <c r="AX73" s="15"/>
      <c r="AY73" s="214"/>
      <c r="AZ73" s="215"/>
      <c r="BA73" s="10"/>
      <c r="BB73" s="7"/>
      <c r="BC73" s="7"/>
      <c r="BD73" s="7"/>
      <c r="BE73" s="7"/>
    </row>
    <row r="74" spans="6:57" ht="18" customHeight="1" x14ac:dyDescent="0.2">
      <c r="F74" s="129"/>
      <c r="G74" s="130"/>
      <c r="H74" s="130"/>
      <c r="I74" s="130"/>
      <c r="J74" s="129"/>
      <c r="K74" s="129"/>
      <c r="L74" s="129"/>
      <c r="S74" s="18"/>
      <c r="AC74" s="216" t="s">
        <v>271</v>
      </c>
      <c r="AD74" s="217"/>
      <c r="AE74" s="217"/>
      <c r="AF74" s="218"/>
      <c r="AG74" s="218"/>
      <c r="AH74" s="219"/>
      <c r="AI74" s="218"/>
      <c r="AJ74" s="218"/>
      <c r="AK74" s="218"/>
      <c r="AL74" s="218"/>
      <c r="AM74" s="220" t="e">
        <f>SUM(AJ74:AL74)/AH74</f>
        <v>#DIV/0!</v>
      </c>
      <c r="AN74" s="218"/>
      <c r="AO74" s="218"/>
      <c r="AP74" s="221" t="e">
        <f>SUM(AN74:AO74)/AI74</f>
        <v>#DIV/0!</v>
      </c>
      <c r="AQ74" s="218"/>
      <c r="AR74" s="218"/>
      <c r="AS74" s="221" t="e">
        <f>(AQ74+AR74)/$AG74</f>
        <v>#DIV/0!</v>
      </c>
      <c r="AT74" s="218"/>
      <c r="AU74" s="218"/>
      <c r="AV74" s="221" t="e">
        <f>(AT74+AU74)/$AG74</f>
        <v>#DIV/0!</v>
      </c>
      <c r="AW74" s="218"/>
      <c r="AX74" s="218"/>
      <c r="AY74" s="221" t="e">
        <f>(AW74+AX74)/$AG74</f>
        <v>#DIV/0!</v>
      </c>
      <c r="AZ74" s="222">
        <f>SUM(AN74,AQ74,AT74,AW74)</f>
        <v>0</v>
      </c>
      <c r="BA74" s="222">
        <f>SUM(AO74,AR74,AU74,AX74)</f>
        <v>0</v>
      </c>
      <c r="BB74" s="222">
        <f>SUM(AZ74:BA74)</f>
        <v>0</v>
      </c>
      <c r="BC74" s="221">
        <f>(BB74+1)/(AI74+1)</f>
        <v>1</v>
      </c>
      <c r="BD74" s="223"/>
      <c r="BE74" s="223"/>
    </row>
    <row r="75" spans="6:57" ht="18" customHeight="1" x14ac:dyDescent="0.2">
      <c r="F75" s="129"/>
      <c r="G75" s="130"/>
      <c r="H75" s="130"/>
      <c r="I75" s="130"/>
      <c r="J75" s="129"/>
      <c r="K75" s="129"/>
      <c r="L75" s="129"/>
      <c r="AC75" s="224" t="s">
        <v>273</v>
      </c>
      <c r="AD75" s="225"/>
      <c r="AE75" s="225"/>
      <c r="AF75" s="226"/>
      <c r="AG75" s="226"/>
      <c r="AH75" s="227"/>
      <c r="AI75" s="226"/>
      <c r="AJ75" s="226"/>
      <c r="AK75" s="226"/>
      <c r="AL75" s="226"/>
      <c r="AM75" s="228" t="e">
        <f t="shared" ref="AM75:AM76" si="161">SUM(AJ75:AL75)/AH75</f>
        <v>#DIV/0!</v>
      </c>
      <c r="AN75" s="226"/>
      <c r="AO75" s="226"/>
      <c r="AP75" s="229" t="e">
        <f t="shared" ref="AP75:AP76" si="162">SUM(AN75:AO75)/AI75</f>
        <v>#DIV/0!</v>
      </c>
      <c r="AQ75" s="226"/>
      <c r="AR75" s="226"/>
      <c r="AS75" s="229" t="e">
        <f t="shared" ref="AS75:AS76" si="163">(AQ75+AR75)/$AG75</f>
        <v>#DIV/0!</v>
      </c>
      <c r="AT75" s="226"/>
      <c r="AU75" s="226"/>
      <c r="AV75" s="229" t="e">
        <f t="shared" ref="AV75:AV76" si="164">(AT75+AU75)/$AG75</f>
        <v>#DIV/0!</v>
      </c>
      <c r="AW75" s="226"/>
      <c r="AX75" s="226"/>
      <c r="AY75" s="229" t="e">
        <f t="shared" ref="AY75:AY76" si="165">(AW75+AX75)/$AG75</f>
        <v>#DIV/0!</v>
      </c>
      <c r="AZ75" s="230">
        <f t="shared" ref="AZ75:BA76" si="166">SUM(AN75,AQ75,AT75,AW75)</f>
        <v>0</v>
      </c>
      <c r="BA75" s="230">
        <f t="shared" si="166"/>
        <v>0</v>
      </c>
      <c r="BB75" s="230">
        <f t="shared" ref="BB75:BB76" si="167">SUM(AZ75:BA75)</f>
        <v>0</v>
      </c>
      <c r="BC75" s="229">
        <f t="shared" ref="BC75:BC76" si="168">(BB75+1)/(AI75+1)</f>
        <v>1</v>
      </c>
      <c r="BD75" s="231"/>
      <c r="BE75" s="231"/>
    </row>
    <row r="76" spans="6:57" ht="18" customHeight="1" thickBot="1" x14ac:dyDescent="0.25">
      <c r="F76" s="129"/>
      <c r="G76" s="130"/>
      <c r="H76" s="130"/>
      <c r="I76" s="130"/>
      <c r="J76" s="129"/>
      <c r="K76" s="129"/>
      <c r="L76" s="129"/>
      <c r="AC76" s="232" t="s">
        <v>275</v>
      </c>
      <c r="AD76" s="233"/>
      <c r="AE76" s="233"/>
      <c r="AF76" s="234"/>
      <c r="AG76" s="234"/>
      <c r="AH76" s="235"/>
      <c r="AI76" s="234"/>
      <c r="AJ76" s="234"/>
      <c r="AK76" s="234"/>
      <c r="AL76" s="234"/>
      <c r="AM76" s="236" t="e">
        <f t="shared" si="161"/>
        <v>#DIV/0!</v>
      </c>
      <c r="AN76" s="234"/>
      <c r="AO76" s="234"/>
      <c r="AP76" s="237" t="e">
        <f t="shared" si="162"/>
        <v>#DIV/0!</v>
      </c>
      <c r="AQ76" s="234"/>
      <c r="AR76" s="234"/>
      <c r="AS76" s="237" t="e">
        <f t="shared" si="163"/>
        <v>#DIV/0!</v>
      </c>
      <c r="AT76" s="234"/>
      <c r="AU76" s="234"/>
      <c r="AV76" s="237" t="e">
        <f t="shared" si="164"/>
        <v>#DIV/0!</v>
      </c>
      <c r="AW76" s="234"/>
      <c r="AX76" s="234"/>
      <c r="AY76" s="237" t="e">
        <f t="shared" si="165"/>
        <v>#DIV/0!</v>
      </c>
      <c r="AZ76" s="238">
        <f t="shared" si="166"/>
        <v>0</v>
      </c>
      <c r="BA76" s="238">
        <f t="shared" si="166"/>
        <v>0</v>
      </c>
      <c r="BB76" s="238">
        <f t="shared" si="167"/>
        <v>0</v>
      </c>
      <c r="BC76" s="237">
        <f t="shared" si="168"/>
        <v>1</v>
      </c>
      <c r="BD76" s="239"/>
      <c r="BE76" s="239"/>
    </row>
    <row r="77" spans="6:57" ht="18" customHeight="1" x14ac:dyDescent="0.2">
      <c r="AC77" s="7"/>
      <c r="AG77" s="240">
        <f>SUM(AG74:AG76)</f>
        <v>0</v>
      </c>
      <c r="AH77" s="240">
        <f>SUM(AH74:AH76)</f>
        <v>0</v>
      </c>
      <c r="AI77" s="240">
        <f t="shared" ref="AI77:AL77" si="169">SUM(AI74:AI76)</f>
        <v>0</v>
      </c>
      <c r="AJ77" s="240">
        <f t="shared" si="169"/>
        <v>0</v>
      </c>
      <c r="AK77" s="240">
        <f t="shared" si="169"/>
        <v>0</v>
      </c>
      <c r="AL77" s="240">
        <f t="shared" si="169"/>
        <v>0</v>
      </c>
      <c r="AM77" s="135"/>
      <c r="AN77" s="240">
        <f>SUM(AN74:AN76)</f>
        <v>0</v>
      </c>
      <c r="AO77" s="240">
        <f>SUM(AO74:AO76)</f>
        <v>0</v>
      </c>
      <c r="AP77" s="241"/>
      <c r="AQ77" s="240">
        <f>SUM(AQ74:AQ76)</f>
        <v>0</v>
      </c>
      <c r="AR77" s="240">
        <f>SUM(AR74:AR76)</f>
        <v>0</v>
      </c>
      <c r="AS77" s="241"/>
      <c r="AT77" s="240">
        <f>SUM(AT74:AT76)</f>
        <v>0</v>
      </c>
      <c r="AU77" s="240">
        <f>SUM(AU74:AU76)</f>
        <v>0</v>
      </c>
      <c r="AV77" s="241"/>
      <c r="AW77" s="240">
        <f>SUM(AW74:AW76)</f>
        <v>0</v>
      </c>
      <c r="AX77" s="240">
        <f>SUM(AX74:AX76)</f>
        <v>0</v>
      </c>
      <c r="AY77" s="241"/>
      <c r="AZ77" s="240">
        <f>SUM(AZ74:AZ76)</f>
        <v>0</v>
      </c>
      <c r="BA77" s="240">
        <f>SUM(BA74:BA76)</f>
        <v>0</v>
      </c>
      <c r="BB77" s="240">
        <f>SUM(AZ77:BA77)</f>
        <v>0</v>
      </c>
      <c r="BC77" s="242">
        <f>(BB77+1)/(AI77+1)</f>
        <v>1</v>
      </c>
      <c r="BD77" s="98"/>
      <c r="BE77" s="98"/>
    </row>
    <row r="78" spans="6:57" ht="18" customHeight="1" thickBot="1" x14ac:dyDescent="0.25">
      <c r="AC78" s="212" t="s">
        <v>296</v>
      </c>
      <c r="AD78" s="15"/>
      <c r="AE78" s="23"/>
      <c r="AF78" s="16"/>
      <c r="AG78" s="15"/>
      <c r="AH78" s="15"/>
      <c r="AI78" s="15"/>
      <c r="AJ78" s="15"/>
      <c r="AK78" s="15"/>
      <c r="AL78" s="22"/>
      <c r="AM78" s="213"/>
      <c r="AN78" s="23"/>
      <c r="AO78" s="23"/>
      <c r="AP78" s="7"/>
      <c r="AQ78" s="15"/>
      <c r="AR78" s="15"/>
      <c r="AS78" s="7"/>
      <c r="AT78" s="15"/>
      <c r="AU78" s="15"/>
      <c r="AV78" s="7"/>
      <c r="AW78" s="15"/>
      <c r="AX78" s="15"/>
      <c r="AY78" s="214"/>
      <c r="AZ78" s="215"/>
      <c r="BA78" s="10"/>
      <c r="BB78" s="7"/>
      <c r="BC78" s="7"/>
      <c r="BD78" s="7"/>
      <c r="BE78" s="7"/>
    </row>
    <row r="79" spans="6:57" ht="18" customHeight="1" x14ac:dyDescent="0.2">
      <c r="AC79" s="216" t="s">
        <v>271</v>
      </c>
      <c r="AD79" s="217"/>
      <c r="AE79" s="217"/>
      <c r="AF79" s="218"/>
      <c r="AG79" s="218"/>
      <c r="AH79" s="219"/>
      <c r="AI79" s="218"/>
      <c r="AJ79" s="218"/>
      <c r="AK79" s="218"/>
      <c r="AL79" s="218"/>
      <c r="AM79" s="220" t="e">
        <f>SUM(AJ79:AL79)/AH79</f>
        <v>#DIV/0!</v>
      </c>
      <c r="AN79" s="218"/>
      <c r="AO79" s="218"/>
      <c r="AP79" s="221" t="e">
        <f>SUM(AN79:AO79)/AI79</f>
        <v>#DIV/0!</v>
      </c>
      <c r="AQ79" s="218"/>
      <c r="AR79" s="218"/>
      <c r="AS79" s="221" t="e">
        <f>(AQ79+AR79)/$AG79</f>
        <v>#DIV/0!</v>
      </c>
      <c r="AT79" s="218"/>
      <c r="AU79" s="218"/>
      <c r="AV79" s="221" t="e">
        <f>(AT79+AU79)/$AG79</f>
        <v>#DIV/0!</v>
      </c>
      <c r="AW79" s="218"/>
      <c r="AX79" s="218"/>
      <c r="AY79" s="221" t="e">
        <f>(AW79+AX79)/$AG79</f>
        <v>#DIV/0!</v>
      </c>
      <c r="AZ79" s="222">
        <f>SUM(AN79,AQ79,AT79,AW79)</f>
        <v>0</v>
      </c>
      <c r="BA79" s="222">
        <f>SUM(AO79,AR79,AU79,AX79)</f>
        <v>0</v>
      </c>
      <c r="BB79" s="222">
        <f>SUM(AZ79:BA79)</f>
        <v>0</v>
      </c>
      <c r="BC79" s="221">
        <f>(BB79+1)/(AI79+1)</f>
        <v>1</v>
      </c>
      <c r="BD79" s="223"/>
      <c r="BE79" s="223"/>
    </row>
    <row r="80" spans="6:57" ht="18" customHeight="1" x14ac:dyDescent="0.2">
      <c r="AC80" s="224" t="s">
        <v>273</v>
      </c>
      <c r="AD80" s="225"/>
      <c r="AE80" s="225"/>
      <c r="AF80" s="226"/>
      <c r="AG80" s="226"/>
      <c r="AH80" s="227"/>
      <c r="AI80" s="226"/>
      <c r="AJ80" s="226"/>
      <c r="AK80" s="226"/>
      <c r="AL80" s="226"/>
      <c r="AM80" s="228" t="e">
        <f t="shared" ref="AM80:AM81" si="170">SUM(AJ80:AL80)/AH80</f>
        <v>#DIV/0!</v>
      </c>
      <c r="AN80" s="226"/>
      <c r="AO80" s="226"/>
      <c r="AP80" s="229" t="e">
        <f t="shared" ref="AP80:AP81" si="171">SUM(AN80:AO80)/AI80</f>
        <v>#DIV/0!</v>
      </c>
      <c r="AQ80" s="226"/>
      <c r="AR80" s="226"/>
      <c r="AS80" s="229" t="e">
        <f t="shared" ref="AS80:AS81" si="172">(AQ80+AR80)/$AG80</f>
        <v>#DIV/0!</v>
      </c>
      <c r="AT80" s="226"/>
      <c r="AU80" s="226"/>
      <c r="AV80" s="229" t="e">
        <f t="shared" ref="AV80:AV81" si="173">(AT80+AU80)/$AG80</f>
        <v>#DIV/0!</v>
      </c>
      <c r="AW80" s="226"/>
      <c r="AX80" s="226"/>
      <c r="AY80" s="229" t="e">
        <f t="shared" ref="AY80:AY81" si="174">(AW80+AX80)/$AG80</f>
        <v>#DIV/0!</v>
      </c>
      <c r="AZ80" s="230">
        <f t="shared" ref="AZ80:BA81" si="175">SUM(AN80,AQ80,AT80,AW80)</f>
        <v>0</v>
      </c>
      <c r="BA80" s="230">
        <f t="shared" si="175"/>
        <v>0</v>
      </c>
      <c r="BB80" s="230">
        <f t="shared" ref="BB80:BB81" si="176">SUM(AZ80:BA80)</f>
        <v>0</v>
      </c>
      <c r="BC80" s="229">
        <f t="shared" ref="BC80:BC81" si="177">(BB80+1)/(AI80+1)</f>
        <v>1</v>
      </c>
      <c r="BD80" s="231"/>
      <c r="BE80" s="231"/>
    </row>
    <row r="81" spans="29:57" ht="18" customHeight="1" thickBot="1" x14ac:dyDescent="0.25">
      <c r="AC81" s="232" t="s">
        <v>275</v>
      </c>
      <c r="AD81" s="233"/>
      <c r="AE81" s="233"/>
      <c r="AF81" s="234"/>
      <c r="AG81" s="234"/>
      <c r="AH81" s="235"/>
      <c r="AI81" s="234"/>
      <c r="AJ81" s="234"/>
      <c r="AK81" s="234"/>
      <c r="AL81" s="234"/>
      <c r="AM81" s="236" t="e">
        <f t="shared" si="170"/>
        <v>#DIV/0!</v>
      </c>
      <c r="AN81" s="234"/>
      <c r="AO81" s="234"/>
      <c r="AP81" s="237" t="e">
        <f t="shared" si="171"/>
        <v>#DIV/0!</v>
      </c>
      <c r="AQ81" s="234"/>
      <c r="AR81" s="234"/>
      <c r="AS81" s="237" t="e">
        <f t="shared" si="172"/>
        <v>#DIV/0!</v>
      </c>
      <c r="AT81" s="234"/>
      <c r="AU81" s="234"/>
      <c r="AV81" s="237" t="e">
        <f t="shared" si="173"/>
        <v>#DIV/0!</v>
      </c>
      <c r="AW81" s="234"/>
      <c r="AX81" s="234"/>
      <c r="AY81" s="237" t="e">
        <f t="shared" si="174"/>
        <v>#DIV/0!</v>
      </c>
      <c r="AZ81" s="238">
        <f t="shared" si="175"/>
        <v>0</v>
      </c>
      <c r="BA81" s="238">
        <f t="shared" si="175"/>
        <v>0</v>
      </c>
      <c r="BB81" s="238">
        <f t="shared" si="176"/>
        <v>0</v>
      </c>
      <c r="BC81" s="237">
        <f t="shared" si="177"/>
        <v>1</v>
      </c>
      <c r="BD81" s="239"/>
      <c r="BE81" s="239"/>
    </row>
    <row r="82" spans="29:57" ht="18" customHeight="1" x14ac:dyDescent="0.2">
      <c r="AC82" s="7"/>
      <c r="AG82" s="240">
        <f>SUM(AG79:AG81)</f>
        <v>0</v>
      </c>
      <c r="AH82" s="240">
        <f>SUM(AH79:AH81)</f>
        <v>0</v>
      </c>
      <c r="AI82" s="240">
        <f t="shared" ref="AI82:AL82" si="178">SUM(AI79:AI81)</f>
        <v>0</v>
      </c>
      <c r="AJ82" s="240">
        <f t="shared" si="178"/>
        <v>0</v>
      </c>
      <c r="AK82" s="240">
        <f t="shared" si="178"/>
        <v>0</v>
      </c>
      <c r="AL82" s="240">
        <f t="shared" si="178"/>
        <v>0</v>
      </c>
      <c r="AM82" s="135"/>
      <c r="AN82" s="240">
        <f>SUM(AN79:AN81)</f>
        <v>0</v>
      </c>
      <c r="AO82" s="240">
        <f>SUM(AO79:AO81)</f>
        <v>0</v>
      </c>
      <c r="AP82" s="241"/>
      <c r="AQ82" s="240">
        <f>SUM(AQ79:AQ81)</f>
        <v>0</v>
      </c>
      <c r="AR82" s="240">
        <f>SUM(AR79:AR81)</f>
        <v>0</v>
      </c>
      <c r="AS82" s="241"/>
      <c r="AT82" s="240">
        <f>SUM(AT79:AT81)</f>
        <v>0</v>
      </c>
      <c r="AU82" s="240">
        <f>SUM(AU79:AU81)</f>
        <v>0</v>
      </c>
      <c r="AV82" s="241"/>
      <c r="AW82" s="240">
        <f>SUM(AW79:AW81)</f>
        <v>0</v>
      </c>
      <c r="AX82" s="240">
        <f>SUM(AX79:AX81)</f>
        <v>0</v>
      </c>
      <c r="AY82" s="241"/>
      <c r="AZ82" s="240">
        <f>SUM(AZ79:AZ81)</f>
        <v>0</v>
      </c>
      <c r="BA82" s="240">
        <f>SUM(BA79:BA81)</f>
        <v>0</v>
      </c>
      <c r="BB82" s="240">
        <f>SUM(AZ82:BA82)</f>
        <v>0</v>
      </c>
      <c r="BC82" s="242">
        <f>(BB82+1)/(AI82+1)</f>
        <v>1</v>
      </c>
      <c r="BD82" s="98"/>
      <c r="BE82" s="98"/>
    </row>
    <row r="83" spans="29:57" ht="18" customHeight="1" thickBot="1" x14ac:dyDescent="0.25">
      <c r="AC83" s="212" t="s">
        <v>297</v>
      </c>
      <c r="AD83" s="15"/>
      <c r="AE83" s="23"/>
      <c r="AF83" s="16"/>
      <c r="AG83" s="15"/>
      <c r="AH83" s="15"/>
      <c r="AI83" s="15"/>
      <c r="AJ83" s="15"/>
      <c r="AK83" s="15"/>
      <c r="AL83" s="22"/>
      <c r="AM83" s="213"/>
      <c r="AN83" s="23"/>
      <c r="AO83" s="23"/>
      <c r="AP83" s="7"/>
      <c r="AQ83" s="15"/>
      <c r="AR83" s="15"/>
      <c r="AS83" s="7"/>
      <c r="AT83" s="15"/>
      <c r="AU83" s="15"/>
      <c r="AV83" s="7"/>
      <c r="AW83" s="15"/>
      <c r="AX83" s="15"/>
      <c r="AY83" s="214"/>
      <c r="AZ83" s="215"/>
      <c r="BA83" s="10"/>
      <c r="BB83" s="7"/>
      <c r="BC83" s="7"/>
      <c r="BD83" s="7"/>
      <c r="BE83" s="7"/>
    </row>
    <row r="84" spans="29:57" ht="18" customHeight="1" x14ac:dyDescent="0.2">
      <c r="AC84" s="216" t="s">
        <v>271</v>
      </c>
      <c r="AD84" s="217"/>
      <c r="AE84" s="217"/>
      <c r="AF84" s="218"/>
      <c r="AG84" s="218"/>
      <c r="AH84" s="219"/>
      <c r="AI84" s="218"/>
      <c r="AJ84" s="218"/>
      <c r="AK84" s="218"/>
      <c r="AL84" s="218"/>
      <c r="AM84" s="220" t="e">
        <f>SUM(AJ84:AL84)/AH84</f>
        <v>#DIV/0!</v>
      </c>
      <c r="AN84" s="218"/>
      <c r="AO84" s="218"/>
      <c r="AP84" s="221" t="e">
        <f>SUM(AN84:AO84)/AI84</f>
        <v>#DIV/0!</v>
      </c>
      <c r="AQ84" s="218"/>
      <c r="AR84" s="218"/>
      <c r="AS84" s="221" t="e">
        <f>(AQ84+AR84)/$AG84</f>
        <v>#DIV/0!</v>
      </c>
      <c r="AT84" s="218"/>
      <c r="AU84" s="218"/>
      <c r="AV84" s="221" t="e">
        <f>(AT84+AU84)/$AG84</f>
        <v>#DIV/0!</v>
      </c>
      <c r="AW84" s="218"/>
      <c r="AX84" s="218"/>
      <c r="AY84" s="221" t="e">
        <f>(AW84+AX84)/$AG84</f>
        <v>#DIV/0!</v>
      </c>
      <c r="AZ84" s="222">
        <f>SUM(AN84,AQ84,AT84,AW84)</f>
        <v>0</v>
      </c>
      <c r="BA84" s="222">
        <f>SUM(AO84,AR84,AU84,AX84)</f>
        <v>0</v>
      </c>
      <c r="BB84" s="222">
        <f>SUM(AZ84:BA84)</f>
        <v>0</v>
      </c>
      <c r="BC84" s="221">
        <f>(BB84+1)/(AI84+1)</f>
        <v>1</v>
      </c>
      <c r="BD84" s="223"/>
      <c r="BE84" s="223"/>
    </row>
    <row r="85" spans="29:57" ht="18" customHeight="1" x14ac:dyDescent="0.2">
      <c r="AC85" s="224" t="s">
        <v>273</v>
      </c>
      <c r="AD85" s="225"/>
      <c r="AE85" s="225"/>
      <c r="AF85" s="226"/>
      <c r="AG85" s="226"/>
      <c r="AH85" s="227"/>
      <c r="AI85" s="226"/>
      <c r="AJ85" s="226"/>
      <c r="AK85" s="226"/>
      <c r="AL85" s="226"/>
      <c r="AM85" s="228" t="e">
        <f t="shared" ref="AM85:AM86" si="179">SUM(AJ85:AL85)/AH85</f>
        <v>#DIV/0!</v>
      </c>
      <c r="AN85" s="226"/>
      <c r="AO85" s="226"/>
      <c r="AP85" s="229" t="e">
        <f t="shared" ref="AP85:AP86" si="180">SUM(AN85:AO85)/AI85</f>
        <v>#DIV/0!</v>
      </c>
      <c r="AQ85" s="226"/>
      <c r="AR85" s="226"/>
      <c r="AS85" s="229" t="e">
        <f t="shared" ref="AS85:AS86" si="181">(AQ85+AR85)/$AG85</f>
        <v>#DIV/0!</v>
      </c>
      <c r="AT85" s="226"/>
      <c r="AU85" s="226"/>
      <c r="AV85" s="229" t="e">
        <f t="shared" ref="AV85:AV86" si="182">(AT85+AU85)/$AG85</f>
        <v>#DIV/0!</v>
      </c>
      <c r="AW85" s="226"/>
      <c r="AX85" s="226"/>
      <c r="AY85" s="229" t="e">
        <f t="shared" ref="AY85:AY86" si="183">(AW85+AX85)/$AG85</f>
        <v>#DIV/0!</v>
      </c>
      <c r="AZ85" s="230">
        <f t="shared" ref="AZ85:BA86" si="184">SUM(AN85,AQ85,AT85,AW85)</f>
        <v>0</v>
      </c>
      <c r="BA85" s="230">
        <f t="shared" si="184"/>
        <v>0</v>
      </c>
      <c r="BB85" s="230">
        <f t="shared" ref="BB85:BB86" si="185">SUM(AZ85:BA85)</f>
        <v>0</v>
      </c>
      <c r="BC85" s="229">
        <f t="shared" ref="BC85:BC86" si="186">(BB85+1)/(AI85+1)</f>
        <v>1</v>
      </c>
      <c r="BD85" s="231"/>
      <c r="BE85" s="231"/>
    </row>
    <row r="86" spans="29:57" ht="18" customHeight="1" thickBot="1" x14ac:dyDescent="0.25">
      <c r="AC86" s="232" t="s">
        <v>275</v>
      </c>
      <c r="AD86" s="233"/>
      <c r="AE86" s="233"/>
      <c r="AF86" s="234"/>
      <c r="AG86" s="234"/>
      <c r="AH86" s="235"/>
      <c r="AI86" s="234"/>
      <c r="AJ86" s="234"/>
      <c r="AK86" s="234"/>
      <c r="AL86" s="234"/>
      <c r="AM86" s="236" t="e">
        <f t="shared" si="179"/>
        <v>#DIV/0!</v>
      </c>
      <c r="AN86" s="234"/>
      <c r="AO86" s="234"/>
      <c r="AP86" s="237" t="e">
        <f t="shared" si="180"/>
        <v>#DIV/0!</v>
      </c>
      <c r="AQ86" s="234"/>
      <c r="AR86" s="234"/>
      <c r="AS86" s="237" t="e">
        <f t="shared" si="181"/>
        <v>#DIV/0!</v>
      </c>
      <c r="AT86" s="234"/>
      <c r="AU86" s="234"/>
      <c r="AV86" s="237" t="e">
        <f t="shared" si="182"/>
        <v>#DIV/0!</v>
      </c>
      <c r="AW86" s="234"/>
      <c r="AX86" s="234"/>
      <c r="AY86" s="237" t="e">
        <f t="shared" si="183"/>
        <v>#DIV/0!</v>
      </c>
      <c r="AZ86" s="238">
        <f t="shared" si="184"/>
        <v>0</v>
      </c>
      <c r="BA86" s="238">
        <f t="shared" si="184"/>
        <v>0</v>
      </c>
      <c r="BB86" s="238">
        <f t="shared" si="185"/>
        <v>0</v>
      </c>
      <c r="BC86" s="237">
        <f t="shared" si="186"/>
        <v>1</v>
      </c>
      <c r="BD86" s="239"/>
      <c r="BE86" s="239"/>
    </row>
    <row r="87" spans="29:57" ht="18" customHeight="1" x14ac:dyDescent="0.2">
      <c r="AC87" s="7"/>
      <c r="AG87" s="240">
        <f>SUM(AG84:AG86)</f>
        <v>0</v>
      </c>
      <c r="AH87" s="240">
        <f>SUM(AH84:AH86)</f>
        <v>0</v>
      </c>
      <c r="AI87" s="240">
        <f t="shared" ref="AI87:AL87" si="187">SUM(AI84:AI86)</f>
        <v>0</v>
      </c>
      <c r="AJ87" s="240">
        <f t="shared" si="187"/>
        <v>0</v>
      </c>
      <c r="AK87" s="240">
        <f t="shared" si="187"/>
        <v>0</v>
      </c>
      <c r="AL87" s="240">
        <f t="shared" si="187"/>
        <v>0</v>
      </c>
      <c r="AM87" s="135"/>
      <c r="AN87" s="240">
        <f>SUM(AN84:AN86)</f>
        <v>0</v>
      </c>
      <c r="AO87" s="240">
        <f>SUM(AO84:AO86)</f>
        <v>0</v>
      </c>
      <c r="AP87" s="241"/>
      <c r="AQ87" s="240">
        <f>SUM(AQ84:AQ86)</f>
        <v>0</v>
      </c>
      <c r="AR87" s="240">
        <f>SUM(AR84:AR86)</f>
        <v>0</v>
      </c>
      <c r="AS87" s="241"/>
      <c r="AT87" s="240">
        <f>SUM(AT84:AT86)</f>
        <v>0</v>
      </c>
      <c r="AU87" s="240">
        <f>SUM(AU84:AU86)</f>
        <v>0</v>
      </c>
      <c r="AV87" s="241"/>
      <c r="AW87" s="240">
        <f>SUM(AW84:AW86)</f>
        <v>0</v>
      </c>
      <c r="AX87" s="240">
        <f>SUM(AX84:AX86)</f>
        <v>0</v>
      </c>
      <c r="AY87" s="241"/>
      <c r="AZ87" s="240">
        <f>SUM(AZ84:AZ86)</f>
        <v>0</v>
      </c>
      <c r="BA87" s="240">
        <f>SUM(BA84:BA86)</f>
        <v>0</v>
      </c>
      <c r="BB87" s="240">
        <f>SUM(AZ87:BA87)</f>
        <v>0</v>
      </c>
      <c r="BC87" s="242">
        <f>(BB87+1)/(AI87+1)</f>
        <v>1</v>
      </c>
      <c r="BD87" s="98"/>
      <c r="BE87" s="98"/>
    </row>
    <row r="88" spans="29:57" ht="18" customHeight="1" thickBot="1" x14ac:dyDescent="0.25">
      <c r="AC88" s="212" t="s">
        <v>298</v>
      </c>
      <c r="AD88" s="15"/>
      <c r="AE88" s="23"/>
      <c r="AF88" s="16"/>
      <c r="AG88" s="15"/>
      <c r="AH88" s="15"/>
      <c r="AI88" s="15"/>
      <c r="AJ88" s="15"/>
      <c r="AK88" s="15"/>
      <c r="AL88" s="22"/>
      <c r="AM88" s="213"/>
      <c r="AN88" s="23"/>
      <c r="AO88" s="23"/>
      <c r="AP88" s="7"/>
      <c r="AQ88" s="15"/>
      <c r="AR88" s="15"/>
      <c r="AS88" s="7"/>
      <c r="AT88" s="15"/>
      <c r="AU88" s="15"/>
      <c r="AV88" s="7"/>
      <c r="AW88" s="15"/>
      <c r="AX88" s="15"/>
      <c r="AY88" s="214"/>
      <c r="AZ88" s="215"/>
      <c r="BA88" s="10"/>
      <c r="BB88" s="7"/>
      <c r="BC88" s="7"/>
      <c r="BD88" s="7"/>
      <c r="BE88" s="7"/>
    </row>
    <row r="89" spans="29:57" ht="18" customHeight="1" x14ac:dyDescent="0.2">
      <c r="AC89" s="216" t="s">
        <v>271</v>
      </c>
      <c r="AD89" s="217"/>
      <c r="AE89" s="217"/>
      <c r="AF89" s="218"/>
      <c r="AG89" s="218"/>
      <c r="AH89" s="219"/>
      <c r="AI89" s="218"/>
      <c r="AJ89" s="218"/>
      <c r="AK89" s="218"/>
      <c r="AL89" s="218"/>
      <c r="AM89" s="220" t="e">
        <f>SUM(AJ89:AL89)/AH89</f>
        <v>#DIV/0!</v>
      </c>
      <c r="AN89" s="218"/>
      <c r="AO89" s="218"/>
      <c r="AP89" s="221" t="e">
        <f>SUM(AN89:AO89)/AI89</f>
        <v>#DIV/0!</v>
      </c>
      <c r="AQ89" s="218"/>
      <c r="AR89" s="218"/>
      <c r="AS89" s="221" t="e">
        <f>(AQ89+AR89)/$AG89</f>
        <v>#DIV/0!</v>
      </c>
      <c r="AT89" s="218"/>
      <c r="AU89" s="218"/>
      <c r="AV89" s="221" t="e">
        <f>(AT89+AU89)/$AG89</f>
        <v>#DIV/0!</v>
      </c>
      <c r="AW89" s="218"/>
      <c r="AX89" s="218"/>
      <c r="AY89" s="221" t="e">
        <f>(AW89+AX89)/$AG89</f>
        <v>#DIV/0!</v>
      </c>
      <c r="AZ89" s="222">
        <f>SUM(AN89,AQ89,AT89,AW89)</f>
        <v>0</v>
      </c>
      <c r="BA89" s="222">
        <f>SUM(AO89,AR89,AU89,AX89)</f>
        <v>0</v>
      </c>
      <c r="BB89" s="222">
        <f>SUM(AZ89:BA89)</f>
        <v>0</v>
      </c>
      <c r="BC89" s="221">
        <f>(BB89+1)/(AI89+1)</f>
        <v>1</v>
      </c>
      <c r="BD89" s="223"/>
      <c r="BE89" s="223"/>
    </row>
    <row r="90" spans="29:57" ht="18" customHeight="1" x14ac:dyDescent="0.2">
      <c r="AC90" s="224" t="s">
        <v>273</v>
      </c>
      <c r="AD90" s="225"/>
      <c r="AE90" s="225"/>
      <c r="AF90" s="226"/>
      <c r="AG90" s="226"/>
      <c r="AH90" s="227"/>
      <c r="AI90" s="226"/>
      <c r="AJ90" s="226"/>
      <c r="AK90" s="226"/>
      <c r="AL90" s="226"/>
      <c r="AM90" s="228" t="e">
        <f t="shared" ref="AM90:AM91" si="188">SUM(AJ90:AL90)/AH90</f>
        <v>#DIV/0!</v>
      </c>
      <c r="AN90" s="226"/>
      <c r="AO90" s="226"/>
      <c r="AP90" s="229" t="e">
        <f t="shared" ref="AP90:AP91" si="189">SUM(AN90:AO90)/AI90</f>
        <v>#DIV/0!</v>
      </c>
      <c r="AQ90" s="226"/>
      <c r="AR90" s="226"/>
      <c r="AS90" s="229" t="e">
        <f t="shared" ref="AS90:AS91" si="190">(AQ90+AR90)/$AG90</f>
        <v>#DIV/0!</v>
      </c>
      <c r="AT90" s="226"/>
      <c r="AU90" s="226"/>
      <c r="AV90" s="229" t="e">
        <f t="shared" ref="AV90:AV91" si="191">(AT90+AU90)/$AG90</f>
        <v>#DIV/0!</v>
      </c>
      <c r="AW90" s="226"/>
      <c r="AX90" s="226"/>
      <c r="AY90" s="229" t="e">
        <f t="shared" ref="AY90:AY91" si="192">(AW90+AX90)/$AG90</f>
        <v>#DIV/0!</v>
      </c>
      <c r="AZ90" s="230">
        <f t="shared" ref="AZ90:BA91" si="193">SUM(AN90,AQ90,AT90,AW90)</f>
        <v>0</v>
      </c>
      <c r="BA90" s="230">
        <f t="shared" si="193"/>
        <v>0</v>
      </c>
      <c r="BB90" s="230">
        <f t="shared" ref="BB90:BB91" si="194">SUM(AZ90:BA90)</f>
        <v>0</v>
      </c>
      <c r="BC90" s="229">
        <f t="shared" ref="BC90:BC91" si="195">(BB90+1)/(AI90+1)</f>
        <v>1</v>
      </c>
      <c r="BD90" s="231"/>
      <c r="BE90" s="231"/>
    </row>
    <row r="91" spans="29:57" ht="18" customHeight="1" thickBot="1" x14ac:dyDescent="0.25">
      <c r="AC91" s="232" t="s">
        <v>275</v>
      </c>
      <c r="AD91" s="233"/>
      <c r="AE91" s="233"/>
      <c r="AF91" s="234"/>
      <c r="AG91" s="234"/>
      <c r="AH91" s="235"/>
      <c r="AI91" s="234"/>
      <c r="AJ91" s="234"/>
      <c r="AK91" s="234"/>
      <c r="AL91" s="234"/>
      <c r="AM91" s="236" t="e">
        <f t="shared" si="188"/>
        <v>#DIV/0!</v>
      </c>
      <c r="AN91" s="234"/>
      <c r="AO91" s="234"/>
      <c r="AP91" s="237" t="e">
        <f t="shared" si="189"/>
        <v>#DIV/0!</v>
      </c>
      <c r="AQ91" s="234"/>
      <c r="AR91" s="234"/>
      <c r="AS91" s="237" t="e">
        <f t="shared" si="190"/>
        <v>#DIV/0!</v>
      </c>
      <c r="AT91" s="234"/>
      <c r="AU91" s="234"/>
      <c r="AV91" s="237" t="e">
        <f t="shared" si="191"/>
        <v>#DIV/0!</v>
      </c>
      <c r="AW91" s="234"/>
      <c r="AX91" s="234"/>
      <c r="AY91" s="237" t="e">
        <f t="shared" si="192"/>
        <v>#DIV/0!</v>
      </c>
      <c r="AZ91" s="238">
        <f t="shared" si="193"/>
        <v>0</v>
      </c>
      <c r="BA91" s="238">
        <f t="shared" si="193"/>
        <v>0</v>
      </c>
      <c r="BB91" s="238">
        <f t="shared" si="194"/>
        <v>0</v>
      </c>
      <c r="BC91" s="237">
        <f t="shared" si="195"/>
        <v>1</v>
      </c>
      <c r="BD91" s="239"/>
      <c r="BE91" s="239"/>
    </row>
    <row r="92" spans="29:57" ht="18" customHeight="1" x14ac:dyDescent="0.2">
      <c r="AC92" s="7"/>
      <c r="AG92" s="240">
        <f>SUM(AG89:AG91)</f>
        <v>0</v>
      </c>
      <c r="AH92" s="240">
        <f>SUM(AH89:AH91)</f>
        <v>0</v>
      </c>
      <c r="AI92" s="240">
        <f t="shared" ref="AI92:AL92" si="196">SUM(AI89:AI91)</f>
        <v>0</v>
      </c>
      <c r="AJ92" s="240">
        <f t="shared" si="196"/>
        <v>0</v>
      </c>
      <c r="AK92" s="240">
        <f t="shared" si="196"/>
        <v>0</v>
      </c>
      <c r="AL92" s="240">
        <f t="shared" si="196"/>
        <v>0</v>
      </c>
      <c r="AM92" s="135"/>
      <c r="AN92" s="240">
        <f>SUM(AN89:AN91)</f>
        <v>0</v>
      </c>
      <c r="AO92" s="240">
        <f>SUM(AO89:AO91)</f>
        <v>0</v>
      </c>
      <c r="AP92" s="241"/>
      <c r="AQ92" s="240">
        <f>SUM(AQ89:AQ91)</f>
        <v>0</v>
      </c>
      <c r="AR92" s="240">
        <f>SUM(AR89:AR91)</f>
        <v>0</v>
      </c>
      <c r="AS92" s="241"/>
      <c r="AT92" s="240">
        <f>SUM(AT89:AT91)</f>
        <v>0</v>
      </c>
      <c r="AU92" s="240">
        <f>SUM(AU89:AU91)</f>
        <v>0</v>
      </c>
      <c r="AV92" s="241"/>
      <c r="AW92" s="240">
        <f>SUM(AW89:AW91)</f>
        <v>0</v>
      </c>
      <c r="AX92" s="240">
        <f>SUM(AX89:AX91)</f>
        <v>0</v>
      </c>
      <c r="AY92" s="241"/>
      <c r="AZ92" s="240">
        <f>SUM(AZ89:AZ91)</f>
        <v>0</v>
      </c>
      <c r="BA92" s="240">
        <f>SUM(BA89:BA91)</f>
        <v>0</v>
      </c>
      <c r="BB92" s="240">
        <f>SUM(AZ92:BA92)</f>
        <v>0</v>
      </c>
      <c r="BC92" s="242">
        <f>(BB92+1)/(AI92+1)</f>
        <v>1</v>
      </c>
      <c r="BD92" s="98"/>
      <c r="BE92" s="98"/>
    </row>
    <row r="93" spans="29:57" ht="18" customHeight="1" thickBot="1" x14ac:dyDescent="0.25">
      <c r="AC93" s="212" t="s">
        <v>299</v>
      </c>
      <c r="AD93" s="15"/>
      <c r="AE93" s="23"/>
      <c r="AF93" s="16"/>
      <c r="AG93" s="15"/>
      <c r="AH93" s="15"/>
      <c r="AI93" s="15"/>
      <c r="AJ93" s="15"/>
      <c r="AK93" s="15"/>
      <c r="AL93" s="22"/>
      <c r="AM93" s="213"/>
      <c r="AN93" s="23"/>
      <c r="AO93" s="23"/>
      <c r="AP93" s="7"/>
      <c r="AQ93" s="15"/>
      <c r="AR93" s="15"/>
      <c r="AS93" s="7"/>
      <c r="AT93" s="15"/>
      <c r="AU93" s="15"/>
      <c r="AV93" s="7"/>
      <c r="AW93" s="15"/>
      <c r="AX93" s="15"/>
      <c r="AY93" s="214"/>
      <c r="AZ93" s="215"/>
      <c r="BA93" s="10"/>
      <c r="BB93" s="7"/>
      <c r="BC93" s="7"/>
      <c r="BD93" s="7"/>
      <c r="BE93" s="7"/>
    </row>
    <row r="94" spans="29:57" ht="18" customHeight="1" x14ac:dyDescent="0.2">
      <c r="AC94" s="216" t="s">
        <v>271</v>
      </c>
      <c r="AD94" s="217"/>
      <c r="AE94" s="217"/>
      <c r="AF94" s="218"/>
      <c r="AG94" s="218"/>
      <c r="AH94" s="219"/>
      <c r="AI94" s="218"/>
      <c r="AJ94" s="218"/>
      <c r="AK94" s="218"/>
      <c r="AL94" s="218"/>
      <c r="AM94" s="220" t="e">
        <f>SUM(AJ94:AL94)/AH94</f>
        <v>#DIV/0!</v>
      </c>
      <c r="AN94" s="218"/>
      <c r="AO94" s="218"/>
      <c r="AP94" s="221" t="e">
        <f>SUM(AN94:AO94)/AI94</f>
        <v>#DIV/0!</v>
      </c>
      <c r="AQ94" s="218"/>
      <c r="AR94" s="218"/>
      <c r="AS94" s="221" t="e">
        <f>(AQ94+AR94)/$AG94</f>
        <v>#DIV/0!</v>
      </c>
      <c r="AT94" s="218"/>
      <c r="AU94" s="218"/>
      <c r="AV94" s="221" t="e">
        <f>(AT94+AU94)/$AG94</f>
        <v>#DIV/0!</v>
      </c>
      <c r="AW94" s="218"/>
      <c r="AX94" s="218"/>
      <c r="AY94" s="221" t="e">
        <f>(AW94+AX94)/$AG94</f>
        <v>#DIV/0!</v>
      </c>
      <c r="AZ94" s="222">
        <f>SUM(AN94,AQ94,AT94,AW94)</f>
        <v>0</v>
      </c>
      <c r="BA94" s="222">
        <f>SUM(AO94,AR94,AU94,AX94)</f>
        <v>0</v>
      </c>
      <c r="BB94" s="222">
        <f>SUM(AZ94:BA94)</f>
        <v>0</v>
      </c>
      <c r="BC94" s="221">
        <f>(BB94+1)/(AI94+1)</f>
        <v>1</v>
      </c>
      <c r="BD94" s="223"/>
      <c r="BE94" s="223"/>
    </row>
    <row r="95" spans="29:57" ht="18" customHeight="1" x14ac:dyDescent="0.2">
      <c r="AC95" s="224" t="s">
        <v>273</v>
      </c>
      <c r="AD95" s="225"/>
      <c r="AE95" s="225"/>
      <c r="AF95" s="226"/>
      <c r="AG95" s="226"/>
      <c r="AH95" s="227"/>
      <c r="AI95" s="226"/>
      <c r="AJ95" s="226"/>
      <c r="AK95" s="226"/>
      <c r="AL95" s="226"/>
      <c r="AM95" s="228" t="e">
        <f t="shared" ref="AM95:AM96" si="197">SUM(AJ95:AL95)/AH95</f>
        <v>#DIV/0!</v>
      </c>
      <c r="AN95" s="226"/>
      <c r="AO95" s="226"/>
      <c r="AP95" s="229" t="e">
        <f t="shared" ref="AP95:AP96" si="198">SUM(AN95:AO95)/AI95</f>
        <v>#DIV/0!</v>
      </c>
      <c r="AQ95" s="226"/>
      <c r="AR95" s="226"/>
      <c r="AS95" s="229" t="e">
        <f t="shared" ref="AS95:AS96" si="199">(AQ95+AR95)/$AG95</f>
        <v>#DIV/0!</v>
      </c>
      <c r="AT95" s="226"/>
      <c r="AU95" s="226"/>
      <c r="AV95" s="229" t="e">
        <f t="shared" ref="AV95:AV96" si="200">(AT95+AU95)/$AG95</f>
        <v>#DIV/0!</v>
      </c>
      <c r="AW95" s="226"/>
      <c r="AX95" s="226"/>
      <c r="AY95" s="229" t="e">
        <f t="shared" ref="AY95:AY96" si="201">(AW95+AX95)/$AG95</f>
        <v>#DIV/0!</v>
      </c>
      <c r="AZ95" s="230">
        <f t="shared" ref="AZ95:BA96" si="202">SUM(AN95,AQ95,AT95,AW95)</f>
        <v>0</v>
      </c>
      <c r="BA95" s="230">
        <f t="shared" si="202"/>
        <v>0</v>
      </c>
      <c r="BB95" s="230">
        <f t="shared" ref="BB95:BB96" si="203">SUM(AZ95:BA95)</f>
        <v>0</v>
      </c>
      <c r="BC95" s="229">
        <f t="shared" ref="BC95:BC96" si="204">(BB95+1)/(AI95+1)</f>
        <v>1</v>
      </c>
      <c r="BD95" s="231"/>
      <c r="BE95" s="231"/>
    </row>
    <row r="96" spans="29:57" ht="18" customHeight="1" thickBot="1" x14ac:dyDescent="0.25">
      <c r="AC96" s="232" t="s">
        <v>275</v>
      </c>
      <c r="AD96" s="233"/>
      <c r="AE96" s="233"/>
      <c r="AF96" s="234"/>
      <c r="AG96" s="234"/>
      <c r="AH96" s="235"/>
      <c r="AI96" s="234"/>
      <c r="AJ96" s="234"/>
      <c r="AK96" s="234"/>
      <c r="AL96" s="234"/>
      <c r="AM96" s="236" t="e">
        <f t="shared" si="197"/>
        <v>#DIV/0!</v>
      </c>
      <c r="AN96" s="234"/>
      <c r="AO96" s="234"/>
      <c r="AP96" s="237" t="e">
        <f t="shared" si="198"/>
        <v>#DIV/0!</v>
      </c>
      <c r="AQ96" s="234"/>
      <c r="AR96" s="234"/>
      <c r="AS96" s="237" t="e">
        <f t="shared" si="199"/>
        <v>#DIV/0!</v>
      </c>
      <c r="AT96" s="234"/>
      <c r="AU96" s="234"/>
      <c r="AV96" s="237" t="e">
        <f t="shared" si="200"/>
        <v>#DIV/0!</v>
      </c>
      <c r="AW96" s="234"/>
      <c r="AX96" s="234"/>
      <c r="AY96" s="237" t="e">
        <f t="shared" si="201"/>
        <v>#DIV/0!</v>
      </c>
      <c r="AZ96" s="238">
        <f t="shared" si="202"/>
        <v>0</v>
      </c>
      <c r="BA96" s="238">
        <f t="shared" si="202"/>
        <v>0</v>
      </c>
      <c r="BB96" s="238">
        <f t="shared" si="203"/>
        <v>0</v>
      </c>
      <c r="BC96" s="237">
        <f t="shared" si="204"/>
        <v>1</v>
      </c>
      <c r="BD96" s="239"/>
      <c r="BE96" s="239"/>
    </row>
    <row r="97" spans="29:57" ht="18" customHeight="1" x14ac:dyDescent="0.2">
      <c r="AC97" s="7"/>
      <c r="AG97" s="240">
        <f>SUM(AG94:AG96)</f>
        <v>0</v>
      </c>
      <c r="AH97" s="240">
        <f>SUM(AH94:AH96)</f>
        <v>0</v>
      </c>
      <c r="AI97" s="240">
        <f t="shared" ref="AI97:AL97" si="205">SUM(AI94:AI96)</f>
        <v>0</v>
      </c>
      <c r="AJ97" s="240">
        <f t="shared" si="205"/>
        <v>0</v>
      </c>
      <c r="AK97" s="240">
        <f t="shared" si="205"/>
        <v>0</v>
      </c>
      <c r="AL97" s="240">
        <f t="shared" si="205"/>
        <v>0</v>
      </c>
      <c r="AM97" s="135"/>
      <c r="AN97" s="240">
        <f>SUM(AN94:AN96)</f>
        <v>0</v>
      </c>
      <c r="AO97" s="240">
        <f>SUM(AO94:AO96)</f>
        <v>0</v>
      </c>
      <c r="AP97" s="241"/>
      <c r="AQ97" s="240">
        <f>SUM(AQ94:AQ96)</f>
        <v>0</v>
      </c>
      <c r="AR97" s="240">
        <f>SUM(AR94:AR96)</f>
        <v>0</v>
      </c>
      <c r="AS97" s="241"/>
      <c r="AT97" s="240">
        <f>SUM(AT94:AT96)</f>
        <v>0</v>
      </c>
      <c r="AU97" s="240">
        <f>SUM(AU94:AU96)</f>
        <v>0</v>
      </c>
      <c r="AV97" s="241"/>
      <c r="AW97" s="240">
        <f>SUM(AW94:AW96)</f>
        <v>0</v>
      </c>
      <c r="AX97" s="240">
        <f>SUM(AX94:AX96)</f>
        <v>0</v>
      </c>
      <c r="AY97" s="241"/>
      <c r="AZ97" s="240">
        <f>SUM(AZ94:AZ96)</f>
        <v>0</v>
      </c>
      <c r="BA97" s="240">
        <f>SUM(BA94:BA96)</f>
        <v>0</v>
      </c>
      <c r="BB97" s="240">
        <f>SUM(AZ97:BA97)</f>
        <v>0</v>
      </c>
      <c r="BC97" s="242">
        <f>(BB97+1)/(AI97+1)</f>
        <v>1</v>
      </c>
      <c r="BD97" s="98"/>
      <c r="BE97" s="98"/>
    </row>
    <row r="98" spans="29:57" ht="18" customHeight="1" thickBot="1" x14ac:dyDescent="0.25">
      <c r="AC98" s="212" t="s">
        <v>300</v>
      </c>
      <c r="AD98" s="15"/>
      <c r="AE98" s="23"/>
      <c r="AF98" s="16"/>
      <c r="AG98" s="15"/>
      <c r="AH98" s="15"/>
      <c r="AI98" s="15"/>
      <c r="AJ98" s="15"/>
      <c r="AK98" s="15"/>
      <c r="AL98" s="22"/>
      <c r="AM98" s="213"/>
      <c r="AN98" s="23"/>
      <c r="AO98" s="23"/>
      <c r="AP98" s="7"/>
      <c r="AQ98" s="15"/>
      <c r="AR98" s="15"/>
      <c r="AS98" s="7"/>
      <c r="AT98" s="15"/>
      <c r="AU98" s="15"/>
      <c r="AV98" s="7"/>
      <c r="AW98" s="15"/>
      <c r="AX98" s="15"/>
      <c r="AY98" s="214"/>
      <c r="AZ98" s="215"/>
      <c r="BA98" s="10"/>
      <c r="BB98" s="7"/>
      <c r="BC98" s="7"/>
      <c r="BD98" s="7"/>
      <c r="BE98" s="7"/>
    </row>
    <row r="99" spans="29:57" ht="18" customHeight="1" x14ac:dyDescent="0.2">
      <c r="AC99" s="216" t="s">
        <v>271</v>
      </c>
      <c r="AD99" s="217"/>
      <c r="AE99" s="217"/>
      <c r="AF99" s="218"/>
      <c r="AG99" s="218"/>
      <c r="AH99" s="219"/>
      <c r="AI99" s="218"/>
      <c r="AJ99" s="218"/>
      <c r="AK99" s="218"/>
      <c r="AL99" s="218"/>
      <c r="AM99" s="220" t="e">
        <f>SUM(AJ99:AL99)/AH99</f>
        <v>#DIV/0!</v>
      </c>
      <c r="AN99" s="218"/>
      <c r="AO99" s="218"/>
      <c r="AP99" s="221" t="e">
        <f>SUM(AN99:AO99)/AI99</f>
        <v>#DIV/0!</v>
      </c>
      <c r="AQ99" s="218"/>
      <c r="AR99" s="218"/>
      <c r="AS99" s="221" t="e">
        <f>(AQ99+AR99)/$AG99</f>
        <v>#DIV/0!</v>
      </c>
      <c r="AT99" s="218"/>
      <c r="AU99" s="218"/>
      <c r="AV99" s="221" t="e">
        <f>(AT99+AU99)/$AG99</f>
        <v>#DIV/0!</v>
      </c>
      <c r="AW99" s="218"/>
      <c r="AX99" s="218"/>
      <c r="AY99" s="221" t="e">
        <f>(AW99+AX99)/$AG99</f>
        <v>#DIV/0!</v>
      </c>
      <c r="AZ99" s="222">
        <f>SUM(AN99,AQ99,AT99,AW99)</f>
        <v>0</v>
      </c>
      <c r="BA99" s="222">
        <f>SUM(AO99,AR99,AU99,AX99)</f>
        <v>0</v>
      </c>
      <c r="BB99" s="222">
        <f>SUM(AZ99:BA99)</f>
        <v>0</v>
      </c>
      <c r="BC99" s="221">
        <f>(BB99+1)/(AI99+1)</f>
        <v>1</v>
      </c>
      <c r="BD99" s="223"/>
      <c r="BE99" s="223"/>
    </row>
    <row r="100" spans="29:57" ht="18" customHeight="1" x14ac:dyDescent="0.2">
      <c r="AC100" s="224" t="s">
        <v>273</v>
      </c>
      <c r="AD100" s="225"/>
      <c r="AE100" s="225"/>
      <c r="AF100" s="226"/>
      <c r="AG100" s="226"/>
      <c r="AH100" s="227"/>
      <c r="AI100" s="226"/>
      <c r="AJ100" s="226"/>
      <c r="AK100" s="226"/>
      <c r="AL100" s="226"/>
      <c r="AM100" s="228" t="e">
        <f t="shared" ref="AM100:AM101" si="206">SUM(AJ100:AL100)/AH100</f>
        <v>#DIV/0!</v>
      </c>
      <c r="AN100" s="226"/>
      <c r="AO100" s="226"/>
      <c r="AP100" s="229" t="e">
        <f t="shared" ref="AP100:AP101" si="207">SUM(AN100:AO100)/AI100</f>
        <v>#DIV/0!</v>
      </c>
      <c r="AQ100" s="226"/>
      <c r="AR100" s="226"/>
      <c r="AS100" s="229" t="e">
        <f t="shared" ref="AS100:AS101" si="208">(AQ100+AR100)/$AG100</f>
        <v>#DIV/0!</v>
      </c>
      <c r="AT100" s="226"/>
      <c r="AU100" s="226"/>
      <c r="AV100" s="229" t="e">
        <f t="shared" ref="AV100:AV101" si="209">(AT100+AU100)/$AG100</f>
        <v>#DIV/0!</v>
      </c>
      <c r="AW100" s="226"/>
      <c r="AX100" s="226"/>
      <c r="AY100" s="229" t="e">
        <f t="shared" ref="AY100:AY101" si="210">(AW100+AX100)/$AG100</f>
        <v>#DIV/0!</v>
      </c>
      <c r="AZ100" s="230">
        <f t="shared" ref="AZ100:BA101" si="211">SUM(AN100,AQ100,AT100,AW100)</f>
        <v>0</v>
      </c>
      <c r="BA100" s="230">
        <f t="shared" si="211"/>
        <v>0</v>
      </c>
      <c r="BB100" s="230">
        <f t="shared" ref="BB100:BB101" si="212">SUM(AZ100:BA100)</f>
        <v>0</v>
      </c>
      <c r="BC100" s="229">
        <f t="shared" ref="BC100:BC101" si="213">(BB100+1)/(AI100+1)</f>
        <v>1</v>
      </c>
      <c r="BD100" s="231"/>
      <c r="BE100" s="231"/>
    </row>
    <row r="101" spans="29:57" ht="18" customHeight="1" thickBot="1" x14ac:dyDescent="0.25">
      <c r="AC101" s="232" t="s">
        <v>275</v>
      </c>
      <c r="AD101" s="233"/>
      <c r="AE101" s="233"/>
      <c r="AF101" s="234"/>
      <c r="AG101" s="234"/>
      <c r="AH101" s="235"/>
      <c r="AI101" s="234"/>
      <c r="AJ101" s="234"/>
      <c r="AK101" s="234"/>
      <c r="AL101" s="234"/>
      <c r="AM101" s="236" t="e">
        <f t="shared" si="206"/>
        <v>#DIV/0!</v>
      </c>
      <c r="AN101" s="234"/>
      <c r="AO101" s="234"/>
      <c r="AP101" s="237" t="e">
        <f t="shared" si="207"/>
        <v>#DIV/0!</v>
      </c>
      <c r="AQ101" s="234"/>
      <c r="AR101" s="234"/>
      <c r="AS101" s="237" t="e">
        <f t="shared" si="208"/>
        <v>#DIV/0!</v>
      </c>
      <c r="AT101" s="234"/>
      <c r="AU101" s="234"/>
      <c r="AV101" s="237" t="e">
        <f t="shared" si="209"/>
        <v>#DIV/0!</v>
      </c>
      <c r="AW101" s="234"/>
      <c r="AX101" s="234"/>
      <c r="AY101" s="237" t="e">
        <f t="shared" si="210"/>
        <v>#DIV/0!</v>
      </c>
      <c r="AZ101" s="238">
        <f t="shared" si="211"/>
        <v>0</v>
      </c>
      <c r="BA101" s="238">
        <f t="shared" si="211"/>
        <v>0</v>
      </c>
      <c r="BB101" s="238">
        <f t="shared" si="212"/>
        <v>0</v>
      </c>
      <c r="BC101" s="237">
        <f t="shared" si="213"/>
        <v>1</v>
      </c>
      <c r="BD101" s="239"/>
      <c r="BE101" s="239"/>
    </row>
    <row r="102" spans="29:57" ht="18" customHeight="1" x14ac:dyDescent="0.2">
      <c r="AC102" s="7"/>
      <c r="AG102" s="240">
        <f>SUM(AG99:AG101)</f>
        <v>0</v>
      </c>
      <c r="AH102" s="240">
        <f>SUM(AH99:AH101)</f>
        <v>0</v>
      </c>
      <c r="AI102" s="240">
        <f t="shared" ref="AI102:AL102" si="214">SUM(AI99:AI101)</f>
        <v>0</v>
      </c>
      <c r="AJ102" s="240">
        <f t="shared" si="214"/>
        <v>0</v>
      </c>
      <c r="AK102" s="240">
        <f t="shared" si="214"/>
        <v>0</v>
      </c>
      <c r="AL102" s="240">
        <f t="shared" si="214"/>
        <v>0</v>
      </c>
      <c r="AM102" s="135"/>
      <c r="AN102" s="240">
        <f>SUM(AN99:AN101)</f>
        <v>0</v>
      </c>
      <c r="AO102" s="240">
        <f>SUM(AO99:AO101)</f>
        <v>0</v>
      </c>
      <c r="AP102" s="241"/>
      <c r="AQ102" s="240">
        <f>SUM(AQ99:AQ101)</f>
        <v>0</v>
      </c>
      <c r="AR102" s="240">
        <f>SUM(AR99:AR101)</f>
        <v>0</v>
      </c>
      <c r="AS102" s="241"/>
      <c r="AT102" s="240">
        <f>SUM(AT99:AT101)</f>
        <v>0</v>
      </c>
      <c r="AU102" s="240">
        <f>SUM(AU99:AU101)</f>
        <v>0</v>
      </c>
      <c r="AV102" s="241"/>
      <c r="AW102" s="240">
        <f>SUM(AW99:AW101)</f>
        <v>0</v>
      </c>
      <c r="AX102" s="240">
        <f>SUM(AX99:AX101)</f>
        <v>0</v>
      </c>
      <c r="AY102" s="241"/>
      <c r="AZ102" s="240">
        <f>SUM(AZ99:AZ101)</f>
        <v>0</v>
      </c>
      <c r="BA102" s="240">
        <f>SUM(BA99:BA101)</f>
        <v>0</v>
      </c>
      <c r="BB102" s="240">
        <f>SUM(AZ102:BA102)</f>
        <v>0</v>
      </c>
      <c r="BC102" s="242">
        <f>(BB102+1)/(AI102+1)</f>
        <v>1</v>
      </c>
      <c r="BD102" s="98"/>
      <c r="BE102" s="98"/>
    </row>
  </sheetData>
  <protectedRanges>
    <protectedRange sqref="D3:D6" name="Range1_1_1_2"/>
    <protectedRange sqref="B3:C6" name="Range1_1_2_1"/>
    <protectedRange sqref="D7:D22 AF24 AF31" name="Range1_2_1"/>
    <protectedRange sqref="AD24:AE24 AD31:AE31 B7:C22" name="Range1_1_1_1_1"/>
    <protectedRange sqref="E9:K22" name="Range1_2_3_1"/>
    <protectedRange sqref="E3:K7" name="Range1_4_1"/>
    <protectedRange sqref="AD4:AL6 AD9:AL11 AD14:AL16 AD19:AL21 AD25:AL26 AD29:AL30 AD34:AL36 AD39:AL41 AD54:AL56 AD59:AL61 AD64:AL66 AD69:AL71 AD74:AL76 AD79:AL81 AD84:AL86 AD89:AL91 AD94:AL96 AD99:AL101 AG24:AL24 AG31:AL31 AD44:AL46 AD49:AL51" name="Range2_12_3_1"/>
    <protectedRange sqref="AN4:AO6 AN9:AO11 AN14:AO16 AN19:AO21 AN24:AO26 AN29:AO31 AN34:AO36 AN39:AO41 AN44:AO46 AN49:AO51 AN54:AO56 AN59:AO61 AN64:AO66 AN69:AO71 AN74:AO76 AN79:AO81 AN84:AO86 AN89:AO91 AN94:AO96 AN99:AO101" name="Range3_12_3_1"/>
    <protectedRange sqref="AQ4:AR6 AQ9:AR11 AQ14:AR16 AQ19:AR21 AQ24:AR26 AQ29:AR31 AQ34:AR36 AQ39:AR41 AQ44:AR46 AQ49:AR51 AQ54:AR56 AQ59:AR61 AQ64:AR66 AQ69:AR71 AQ74:AR76 AQ79:AR81 AQ84:AR86 AQ89:AR91 AQ94:AR96 AQ99:AR101" name="Range4_12_3_1"/>
    <protectedRange sqref="AT4:AU6 AT9:AU11 AT14:AU16 AT19:AU21 AT24:AU26 AT29:AU31 AT34:AU36 AT39:AU41 AT44:AU46 AT49:AU51 AT54:AU56 AT59:AU61 AT64:AU66 AT69:AU71 AT74:AU76 AT79:AU81 AT84:AU86 AT89:AU91 AT94:AU96 AT99:AU101" name="Range5_12_3_1"/>
    <protectedRange sqref="AW4:AX6 AW9:AX11 AW14:AX16 AW19:AX21 AW24:AX26 AW29:AX31 AW34:AX36 AW39:AX41 AW44:AX46 AW49:AX51 AW54:AX56 AW59:AX61 AW64:AX66 AW69:AX71 AW74:AX76 AW79:AX81 AW84:AX86 AW89:AX91 AW94:AX96 AW99:AX101" name="Range6_12_3_1"/>
  </protectedRanges>
  <pageMargins left="0.75" right="0.75" top="1" bottom="1" header="0.5" footer="0.5"/>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AE67"/>
  <sheetViews>
    <sheetView zoomScale="60" zoomScaleNormal="60" workbookViewId="0">
      <pane xSplit="2" ySplit="2" topLeftCell="C3" activePane="bottomRight" state="frozen"/>
      <selection pane="topRight" activeCell="C1" sqref="C1"/>
      <selection pane="bottomLeft" activeCell="A3" sqref="A3"/>
      <selection pane="bottomRight" activeCell="N3" sqref="N3"/>
    </sheetView>
  </sheetViews>
  <sheetFormatPr defaultColWidth="5.42578125" defaultRowHeight="18" customHeight="1" x14ac:dyDescent="0.2"/>
  <cols>
    <col min="1" max="1" width="4.85546875" style="24" bestFit="1" customWidth="1"/>
    <col min="2" max="2" width="3.5703125" style="24" bestFit="1" customWidth="1"/>
    <col min="3" max="3" width="8.7109375" style="24" bestFit="1" customWidth="1"/>
    <col min="4" max="4" width="3.5703125" style="15" bestFit="1" customWidth="1"/>
    <col min="5" max="5" width="5.85546875" style="24" bestFit="1" customWidth="1"/>
    <col min="6" max="6" width="3.5703125" style="28" bestFit="1" customWidth="1"/>
    <col min="7" max="7" width="3.5703125" style="15" bestFit="1" customWidth="1"/>
    <col min="8" max="8" width="14.85546875" style="15" customWidth="1"/>
    <col min="9" max="9" width="12.140625" style="26" bestFit="1" customWidth="1"/>
    <col min="10" max="10" width="7.85546875" style="24" bestFit="1" customWidth="1"/>
    <col min="11" max="11" width="7.28515625" style="24" bestFit="1" customWidth="1"/>
    <col min="12" max="12" width="3.5703125" style="15" bestFit="1" customWidth="1"/>
    <col min="13" max="13" width="7.28515625" style="24" bestFit="1" customWidth="1"/>
    <col min="14" max="14" width="3.5703125" style="24" bestFit="1" customWidth="1"/>
    <col min="15" max="15" width="3.5703125" style="15" bestFit="1" customWidth="1"/>
    <col min="16" max="16" width="7.28515625" style="24" bestFit="1" customWidth="1"/>
    <col min="17" max="17" width="3.5703125" style="24" bestFit="1" customWidth="1"/>
    <col min="18" max="18" width="3.5703125" style="15" bestFit="1" customWidth="1"/>
    <col min="19" max="19" width="7.28515625" style="24" bestFit="1" customWidth="1"/>
    <col min="20" max="20" width="3.5703125" style="24" bestFit="1" customWidth="1"/>
    <col min="21" max="21" width="3.5703125" style="15" bestFit="1" customWidth="1"/>
    <col min="22" max="22" width="7.28515625" style="36" bestFit="1" customWidth="1"/>
    <col min="23" max="24" width="3.5703125" style="36" bestFit="1" customWidth="1"/>
    <col min="25" max="25" width="7.28515625" style="15" bestFit="1" customWidth="1"/>
    <col min="26" max="26" width="3.5703125" style="15" bestFit="1" customWidth="1"/>
    <col min="27" max="27" width="7.140625" style="15" bestFit="1" customWidth="1"/>
    <col min="28" max="28" width="10.7109375" style="15" bestFit="1" customWidth="1"/>
    <col min="29" max="29" width="7.28515625" style="15" customWidth="1"/>
    <col min="30" max="30" width="8.140625" style="15" bestFit="1" customWidth="1"/>
    <col min="31" max="34" width="5.42578125" style="15" customWidth="1"/>
    <col min="35" max="16384" width="5.42578125" style="15"/>
  </cols>
  <sheetData>
    <row r="1" spans="1:31" ht="26.25" customHeight="1" thickBot="1" x14ac:dyDescent="0.35">
      <c r="A1" s="49" t="s">
        <v>349</v>
      </c>
      <c r="B1" s="48"/>
      <c r="C1" s="48"/>
      <c r="D1" s="48"/>
      <c r="E1" s="48"/>
      <c r="F1" s="48"/>
      <c r="G1" s="48"/>
      <c r="H1" s="48"/>
      <c r="I1" s="48"/>
      <c r="J1" s="48"/>
      <c r="K1" s="137" t="s">
        <v>228</v>
      </c>
      <c r="L1" s="138"/>
      <c r="M1" s="139"/>
      <c r="N1" s="140"/>
      <c r="O1" s="141"/>
      <c r="P1" s="141"/>
      <c r="Q1" s="141"/>
      <c r="R1" s="142"/>
      <c r="S1" s="139"/>
      <c r="T1" s="143"/>
      <c r="U1" s="139"/>
      <c r="V1" s="48"/>
      <c r="W1" s="48"/>
      <c r="X1" s="48"/>
      <c r="Y1" s="48"/>
      <c r="AE1" s="56" t="s">
        <v>350</v>
      </c>
    </row>
    <row r="2" spans="1:31" s="20" customFormat="1" ht="153.75" customHeight="1" thickBot="1" x14ac:dyDescent="0.25">
      <c r="A2" s="9" t="s">
        <v>58</v>
      </c>
      <c r="B2" s="103" t="s">
        <v>230</v>
      </c>
      <c r="C2" s="104" t="s">
        <v>231</v>
      </c>
      <c r="D2" s="110" t="s">
        <v>232</v>
      </c>
      <c r="E2" s="111" t="s">
        <v>233</v>
      </c>
      <c r="F2" s="111" t="s">
        <v>234</v>
      </c>
      <c r="G2" s="111" t="s">
        <v>235</v>
      </c>
      <c r="H2" s="111" t="s">
        <v>236</v>
      </c>
      <c r="I2" s="111" t="s">
        <v>237</v>
      </c>
      <c r="J2" s="111" t="s">
        <v>238</v>
      </c>
      <c r="K2" s="112" t="s">
        <v>239</v>
      </c>
      <c r="L2" s="150" t="s">
        <v>240</v>
      </c>
      <c r="M2" s="96" t="s">
        <v>241</v>
      </c>
      <c r="N2" s="97" t="s">
        <v>351</v>
      </c>
      <c r="O2" s="97" t="s">
        <v>352</v>
      </c>
      <c r="P2" s="9" t="s">
        <v>353</v>
      </c>
      <c r="Q2" s="97" t="s">
        <v>354</v>
      </c>
      <c r="R2" s="97" t="s">
        <v>355</v>
      </c>
      <c r="S2" s="9" t="s">
        <v>356</v>
      </c>
      <c r="T2" s="97" t="s">
        <v>357</v>
      </c>
      <c r="U2" s="97" t="s">
        <v>358</v>
      </c>
      <c r="V2" s="9" t="s">
        <v>359</v>
      </c>
      <c r="W2" s="97" t="s">
        <v>360</v>
      </c>
      <c r="X2" s="97" t="s">
        <v>361</v>
      </c>
      <c r="Y2" s="9" t="s">
        <v>362</v>
      </c>
      <c r="Z2" s="111" t="s">
        <v>250</v>
      </c>
      <c r="AA2" s="111" t="s">
        <v>266</v>
      </c>
      <c r="AB2" s="111" t="s">
        <v>251</v>
      </c>
      <c r="AC2" s="9" t="s">
        <v>252</v>
      </c>
    </row>
    <row r="3" spans="1:31" s="20" customFormat="1" ht="12.75" x14ac:dyDescent="0.2">
      <c r="A3" s="262">
        <v>1</v>
      </c>
      <c r="B3" s="263"/>
      <c r="C3" s="263"/>
      <c r="D3" s="264"/>
      <c r="E3" s="265"/>
      <c r="F3" s="264"/>
      <c r="G3" s="264"/>
      <c r="H3" s="264"/>
      <c r="I3" s="264"/>
      <c r="J3" s="264"/>
      <c r="K3" s="264"/>
      <c r="L3" s="186">
        <f t="shared" ref="L3:L12" si="0">SUM(H3:K3)</f>
        <v>0</v>
      </c>
      <c r="M3" s="266" t="e">
        <f>SUM(H3:K3)/F3</f>
        <v>#DIV/0!</v>
      </c>
      <c r="N3" s="264"/>
      <c r="O3" s="264"/>
      <c r="P3" s="267" t="e">
        <f>SUM(N3:O3)/$G3</f>
        <v>#DIV/0!</v>
      </c>
      <c r="Q3" s="264"/>
      <c r="R3" s="264"/>
      <c r="S3" s="267" t="e">
        <f>SUM(Q3:R3)/$G3</f>
        <v>#DIV/0!</v>
      </c>
      <c r="T3" s="264"/>
      <c r="U3" s="264"/>
      <c r="V3" s="267" t="e">
        <f>SUM(T3:U3)/$G3</f>
        <v>#DIV/0!</v>
      </c>
      <c r="W3" s="264"/>
      <c r="X3" s="264"/>
      <c r="Y3" s="267" t="e">
        <f>SUM(W3:X3)/$G3</f>
        <v>#DIV/0!</v>
      </c>
      <c r="Z3" s="268">
        <f>SUM(N3,Q3,T3,W3)</f>
        <v>0</v>
      </c>
      <c r="AA3" s="268">
        <f>SUM(O3,R3,U3,X3)</f>
        <v>0</v>
      </c>
      <c r="AB3" s="268">
        <f>SUM(Z3:AA3)</f>
        <v>0</v>
      </c>
      <c r="AC3" s="269">
        <f>(AB3+1)/(G3+1)</f>
        <v>1</v>
      </c>
    </row>
    <row r="4" spans="1:31" s="20" customFormat="1" ht="12.75" x14ac:dyDescent="0.2">
      <c r="A4" s="270">
        <v>2</v>
      </c>
      <c r="B4" s="271"/>
      <c r="C4" s="271"/>
      <c r="D4" s="272"/>
      <c r="E4" s="273"/>
      <c r="F4" s="272"/>
      <c r="G4" s="272"/>
      <c r="H4" s="272"/>
      <c r="I4" s="272"/>
      <c r="J4" s="272"/>
      <c r="K4" s="272"/>
      <c r="L4" s="184">
        <f t="shared" si="0"/>
        <v>0</v>
      </c>
      <c r="M4" s="274" t="e">
        <f t="shared" ref="M4:M13" si="1">SUM(H4:K4)/F4</f>
        <v>#DIV/0!</v>
      </c>
      <c r="N4" s="272"/>
      <c r="O4" s="272"/>
      <c r="P4" s="275" t="e">
        <f t="shared" ref="P4:P11" si="2">SUM(N4:O4)/$G4</f>
        <v>#DIV/0!</v>
      </c>
      <c r="Q4" s="272"/>
      <c r="R4" s="272"/>
      <c r="S4" s="275" t="e">
        <f t="shared" ref="S4:S11" si="3">SUM(Q4:R4)/$G4</f>
        <v>#DIV/0!</v>
      </c>
      <c r="T4" s="272"/>
      <c r="U4" s="272"/>
      <c r="V4" s="275" t="e">
        <f t="shared" ref="V4:V11" si="4">SUM(T4:U4)/$G4</f>
        <v>#DIV/0!</v>
      </c>
      <c r="W4" s="272"/>
      <c r="X4" s="272"/>
      <c r="Y4" s="275" t="e">
        <f t="shared" ref="Y4:Y11" si="5">SUM(W4:X4)/$G4</f>
        <v>#DIV/0!</v>
      </c>
      <c r="Z4" s="276">
        <f t="shared" ref="Z4:AA12" si="6">SUM(N4,Q4,T4,W4)</f>
        <v>0</v>
      </c>
      <c r="AA4" s="276">
        <f t="shared" si="6"/>
        <v>0</v>
      </c>
      <c r="AB4" s="276">
        <f t="shared" ref="AB4:AB12" si="7">SUM(Z4:AA4)</f>
        <v>0</v>
      </c>
      <c r="AC4" s="277">
        <f t="shared" ref="AC4:AC12" si="8">(AB4+1)/(G4+1)</f>
        <v>1</v>
      </c>
    </row>
    <row r="5" spans="1:31" s="20" customFormat="1" ht="12.75" x14ac:dyDescent="0.2">
      <c r="A5" s="270">
        <v>3</v>
      </c>
      <c r="B5" s="271"/>
      <c r="C5" s="271"/>
      <c r="D5" s="272"/>
      <c r="E5" s="273"/>
      <c r="F5" s="272"/>
      <c r="G5" s="272"/>
      <c r="H5" s="272"/>
      <c r="I5" s="272"/>
      <c r="J5" s="272"/>
      <c r="K5" s="272"/>
      <c r="L5" s="184">
        <f t="shared" si="0"/>
        <v>0</v>
      </c>
      <c r="M5" s="274" t="e">
        <f t="shared" si="1"/>
        <v>#DIV/0!</v>
      </c>
      <c r="N5" s="272"/>
      <c r="O5" s="272"/>
      <c r="P5" s="275" t="e">
        <f t="shared" si="2"/>
        <v>#DIV/0!</v>
      </c>
      <c r="Q5" s="272"/>
      <c r="R5" s="272"/>
      <c r="S5" s="275" t="e">
        <f t="shared" si="3"/>
        <v>#DIV/0!</v>
      </c>
      <c r="T5" s="272"/>
      <c r="U5" s="272"/>
      <c r="V5" s="275" t="e">
        <f t="shared" si="4"/>
        <v>#DIV/0!</v>
      </c>
      <c r="W5" s="272"/>
      <c r="X5" s="272"/>
      <c r="Y5" s="275" t="e">
        <f t="shared" si="5"/>
        <v>#DIV/0!</v>
      </c>
      <c r="Z5" s="276">
        <f t="shared" si="6"/>
        <v>0</v>
      </c>
      <c r="AA5" s="276">
        <f t="shared" si="6"/>
        <v>0</v>
      </c>
      <c r="AB5" s="276">
        <f t="shared" si="7"/>
        <v>0</v>
      </c>
      <c r="AC5" s="277">
        <f t="shared" si="8"/>
        <v>1</v>
      </c>
    </row>
    <row r="6" spans="1:31" s="20" customFormat="1" ht="12.75" x14ac:dyDescent="0.2">
      <c r="A6" s="270">
        <v>4</v>
      </c>
      <c r="B6" s="271"/>
      <c r="C6" s="271"/>
      <c r="D6" s="272"/>
      <c r="E6" s="273"/>
      <c r="F6" s="272"/>
      <c r="G6" s="272"/>
      <c r="H6" s="272"/>
      <c r="I6" s="272"/>
      <c r="J6" s="272"/>
      <c r="K6" s="272"/>
      <c r="L6" s="184">
        <f t="shared" si="0"/>
        <v>0</v>
      </c>
      <c r="M6" s="274" t="e">
        <f t="shared" si="1"/>
        <v>#DIV/0!</v>
      </c>
      <c r="N6" s="272"/>
      <c r="O6" s="272"/>
      <c r="P6" s="275" t="e">
        <f t="shared" si="2"/>
        <v>#DIV/0!</v>
      </c>
      <c r="Q6" s="272"/>
      <c r="R6" s="272"/>
      <c r="S6" s="275" t="e">
        <f t="shared" si="3"/>
        <v>#DIV/0!</v>
      </c>
      <c r="T6" s="272"/>
      <c r="U6" s="272"/>
      <c r="V6" s="275" t="e">
        <f t="shared" si="4"/>
        <v>#DIV/0!</v>
      </c>
      <c r="W6" s="272"/>
      <c r="X6" s="272"/>
      <c r="Y6" s="275" t="e">
        <f t="shared" si="5"/>
        <v>#DIV/0!</v>
      </c>
      <c r="Z6" s="276">
        <f t="shared" si="6"/>
        <v>0</v>
      </c>
      <c r="AA6" s="276">
        <f t="shared" si="6"/>
        <v>0</v>
      </c>
      <c r="AB6" s="276">
        <f t="shared" si="7"/>
        <v>0</v>
      </c>
      <c r="AC6" s="277">
        <f t="shared" si="8"/>
        <v>1</v>
      </c>
    </row>
    <row r="7" spans="1:31" s="20" customFormat="1" ht="12.75" x14ac:dyDescent="0.2">
      <c r="A7" s="270">
        <v>5</v>
      </c>
      <c r="B7" s="271"/>
      <c r="C7" s="271"/>
      <c r="D7" s="272"/>
      <c r="E7" s="273"/>
      <c r="F7" s="272"/>
      <c r="G7" s="272"/>
      <c r="H7" s="272"/>
      <c r="I7" s="272"/>
      <c r="J7" s="272"/>
      <c r="K7" s="272"/>
      <c r="L7" s="184">
        <f t="shared" si="0"/>
        <v>0</v>
      </c>
      <c r="M7" s="274" t="e">
        <f t="shared" si="1"/>
        <v>#DIV/0!</v>
      </c>
      <c r="N7" s="272"/>
      <c r="O7" s="272"/>
      <c r="P7" s="275" t="e">
        <f t="shared" si="2"/>
        <v>#DIV/0!</v>
      </c>
      <c r="Q7" s="272"/>
      <c r="R7" s="272"/>
      <c r="S7" s="275" t="e">
        <f t="shared" si="3"/>
        <v>#DIV/0!</v>
      </c>
      <c r="T7" s="272"/>
      <c r="U7" s="272"/>
      <c r="V7" s="275" t="e">
        <f t="shared" si="4"/>
        <v>#DIV/0!</v>
      </c>
      <c r="W7" s="272"/>
      <c r="X7" s="272"/>
      <c r="Y7" s="275" t="e">
        <f t="shared" si="5"/>
        <v>#DIV/0!</v>
      </c>
      <c r="Z7" s="276">
        <f t="shared" si="6"/>
        <v>0</v>
      </c>
      <c r="AA7" s="276">
        <f t="shared" si="6"/>
        <v>0</v>
      </c>
      <c r="AB7" s="276">
        <f t="shared" si="7"/>
        <v>0</v>
      </c>
      <c r="AC7" s="277">
        <f t="shared" si="8"/>
        <v>1</v>
      </c>
    </row>
    <row r="8" spans="1:31" s="20" customFormat="1" ht="12.75" x14ac:dyDescent="0.2">
      <c r="A8" s="270">
        <v>6</v>
      </c>
      <c r="B8" s="271"/>
      <c r="C8" s="271"/>
      <c r="D8" s="272"/>
      <c r="E8" s="278"/>
      <c r="F8" s="272"/>
      <c r="G8" s="272"/>
      <c r="H8" s="272"/>
      <c r="I8" s="272"/>
      <c r="J8" s="272"/>
      <c r="K8" s="272"/>
      <c r="L8" s="184">
        <f t="shared" si="0"/>
        <v>0</v>
      </c>
      <c r="M8" s="274" t="e">
        <f t="shared" si="1"/>
        <v>#DIV/0!</v>
      </c>
      <c r="N8" s="272"/>
      <c r="O8" s="272"/>
      <c r="P8" s="275" t="e">
        <f t="shared" si="2"/>
        <v>#DIV/0!</v>
      </c>
      <c r="Q8" s="272"/>
      <c r="R8" s="272"/>
      <c r="S8" s="275" t="e">
        <f t="shared" si="3"/>
        <v>#DIV/0!</v>
      </c>
      <c r="T8" s="272"/>
      <c r="U8" s="272"/>
      <c r="V8" s="275" t="e">
        <f t="shared" si="4"/>
        <v>#DIV/0!</v>
      </c>
      <c r="W8" s="272"/>
      <c r="X8" s="272"/>
      <c r="Y8" s="275" t="e">
        <f t="shared" si="5"/>
        <v>#DIV/0!</v>
      </c>
      <c r="Z8" s="276">
        <f t="shared" si="6"/>
        <v>0</v>
      </c>
      <c r="AA8" s="276">
        <f t="shared" si="6"/>
        <v>0</v>
      </c>
      <c r="AB8" s="276">
        <f t="shared" si="7"/>
        <v>0</v>
      </c>
      <c r="AC8" s="277">
        <f t="shared" si="8"/>
        <v>1</v>
      </c>
    </row>
    <row r="9" spans="1:31" ht="12.75" x14ac:dyDescent="0.2">
      <c r="A9" s="270">
        <v>7</v>
      </c>
      <c r="B9" s="271"/>
      <c r="C9" s="271"/>
      <c r="D9" s="272"/>
      <c r="E9" s="278"/>
      <c r="F9" s="272"/>
      <c r="G9" s="272"/>
      <c r="H9" s="272"/>
      <c r="I9" s="272"/>
      <c r="J9" s="272"/>
      <c r="K9" s="272"/>
      <c r="L9" s="184">
        <f t="shared" si="0"/>
        <v>0</v>
      </c>
      <c r="M9" s="274" t="e">
        <f t="shared" si="1"/>
        <v>#DIV/0!</v>
      </c>
      <c r="N9" s="272"/>
      <c r="O9" s="272"/>
      <c r="P9" s="275" t="e">
        <f t="shared" si="2"/>
        <v>#DIV/0!</v>
      </c>
      <c r="Q9" s="272"/>
      <c r="R9" s="272"/>
      <c r="S9" s="275" t="e">
        <f t="shared" si="3"/>
        <v>#DIV/0!</v>
      </c>
      <c r="T9" s="272"/>
      <c r="U9" s="272"/>
      <c r="V9" s="275" t="e">
        <f t="shared" si="4"/>
        <v>#DIV/0!</v>
      </c>
      <c r="W9" s="272"/>
      <c r="X9" s="272"/>
      <c r="Y9" s="275" t="e">
        <f t="shared" si="5"/>
        <v>#DIV/0!</v>
      </c>
      <c r="Z9" s="276">
        <f t="shared" si="6"/>
        <v>0</v>
      </c>
      <c r="AA9" s="276">
        <f t="shared" si="6"/>
        <v>0</v>
      </c>
      <c r="AB9" s="276">
        <f t="shared" si="7"/>
        <v>0</v>
      </c>
      <c r="AC9" s="277">
        <f t="shared" si="8"/>
        <v>1</v>
      </c>
      <c r="AD9" s="17"/>
    </row>
    <row r="10" spans="1:31" ht="12.75" x14ac:dyDescent="0.2">
      <c r="A10" s="270">
        <v>8</v>
      </c>
      <c r="B10" s="271"/>
      <c r="C10" s="271"/>
      <c r="D10" s="272"/>
      <c r="E10" s="278"/>
      <c r="F10" s="272"/>
      <c r="G10" s="272"/>
      <c r="H10" s="272"/>
      <c r="I10" s="272"/>
      <c r="J10" s="272"/>
      <c r="K10" s="272"/>
      <c r="L10" s="184">
        <f t="shared" si="0"/>
        <v>0</v>
      </c>
      <c r="M10" s="274" t="e">
        <f t="shared" si="1"/>
        <v>#DIV/0!</v>
      </c>
      <c r="N10" s="272"/>
      <c r="O10" s="272"/>
      <c r="P10" s="275" t="e">
        <f t="shared" si="2"/>
        <v>#DIV/0!</v>
      </c>
      <c r="Q10" s="272"/>
      <c r="R10" s="272"/>
      <c r="S10" s="275" t="e">
        <f t="shared" si="3"/>
        <v>#DIV/0!</v>
      </c>
      <c r="T10" s="272"/>
      <c r="U10" s="272"/>
      <c r="V10" s="275" t="e">
        <f t="shared" si="4"/>
        <v>#DIV/0!</v>
      </c>
      <c r="W10" s="272"/>
      <c r="X10" s="272"/>
      <c r="Y10" s="275" t="e">
        <f t="shared" si="5"/>
        <v>#DIV/0!</v>
      </c>
      <c r="Z10" s="276">
        <f t="shared" si="6"/>
        <v>0</v>
      </c>
      <c r="AA10" s="276">
        <f t="shared" si="6"/>
        <v>0</v>
      </c>
      <c r="AB10" s="276">
        <f t="shared" si="7"/>
        <v>0</v>
      </c>
      <c r="AC10" s="277">
        <f t="shared" si="8"/>
        <v>1</v>
      </c>
      <c r="AD10" s="17"/>
    </row>
    <row r="11" spans="1:31" ht="12.75" x14ac:dyDescent="0.2">
      <c r="A11" s="270">
        <v>9</v>
      </c>
      <c r="B11" s="271"/>
      <c r="C11" s="271"/>
      <c r="D11" s="272"/>
      <c r="E11" s="278"/>
      <c r="F11" s="272"/>
      <c r="G11" s="272"/>
      <c r="H11" s="272"/>
      <c r="I11" s="272"/>
      <c r="J11" s="272"/>
      <c r="K11" s="272"/>
      <c r="L11" s="184">
        <f t="shared" si="0"/>
        <v>0</v>
      </c>
      <c r="M11" s="274" t="e">
        <f t="shared" si="1"/>
        <v>#DIV/0!</v>
      </c>
      <c r="N11" s="272"/>
      <c r="O11" s="272"/>
      <c r="P11" s="275" t="e">
        <f t="shared" si="2"/>
        <v>#DIV/0!</v>
      </c>
      <c r="Q11" s="272"/>
      <c r="R11" s="272"/>
      <c r="S11" s="275" t="e">
        <f t="shared" si="3"/>
        <v>#DIV/0!</v>
      </c>
      <c r="T11" s="272"/>
      <c r="U11" s="272"/>
      <c r="V11" s="275" t="e">
        <f t="shared" si="4"/>
        <v>#DIV/0!</v>
      </c>
      <c r="W11" s="272"/>
      <c r="X11" s="272"/>
      <c r="Y11" s="275" t="e">
        <f t="shared" si="5"/>
        <v>#DIV/0!</v>
      </c>
      <c r="Z11" s="276">
        <f t="shared" si="6"/>
        <v>0</v>
      </c>
      <c r="AA11" s="276">
        <f t="shared" si="6"/>
        <v>0</v>
      </c>
      <c r="AB11" s="276">
        <f t="shared" si="7"/>
        <v>0</v>
      </c>
      <c r="AC11" s="277">
        <f t="shared" si="8"/>
        <v>1</v>
      </c>
      <c r="AD11" s="17"/>
    </row>
    <row r="12" spans="1:31" ht="13.5" thickBot="1" x14ac:dyDescent="0.25">
      <c r="A12" s="279">
        <v>10</v>
      </c>
      <c r="B12" s="280"/>
      <c r="C12" s="280"/>
      <c r="D12" s="281"/>
      <c r="E12" s="282"/>
      <c r="F12" s="281"/>
      <c r="G12" s="281"/>
      <c r="H12" s="281"/>
      <c r="I12" s="281"/>
      <c r="J12" s="281"/>
      <c r="K12" s="281"/>
      <c r="L12" s="184">
        <f t="shared" si="0"/>
        <v>0</v>
      </c>
      <c r="M12" s="283" t="e">
        <f t="shared" si="1"/>
        <v>#DIV/0!</v>
      </c>
      <c r="N12" s="281"/>
      <c r="O12" s="281"/>
      <c r="P12" s="284" t="e">
        <f>SUM(N12:O12)/$G12</f>
        <v>#DIV/0!</v>
      </c>
      <c r="Q12" s="281"/>
      <c r="R12" s="281"/>
      <c r="S12" s="284" t="e">
        <f>SUM(Q12:R12)/$G12</f>
        <v>#DIV/0!</v>
      </c>
      <c r="T12" s="281"/>
      <c r="U12" s="281"/>
      <c r="V12" s="284" t="e">
        <f>SUM(T12:U12)/$G12</f>
        <v>#DIV/0!</v>
      </c>
      <c r="W12" s="281"/>
      <c r="X12" s="281"/>
      <c r="Y12" s="284" t="e">
        <f>SUM(W12:X12)/$G12</f>
        <v>#DIV/0!</v>
      </c>
      <c r="Z12" s="285">
        <f t="shared" si="6"/>
        <v>0</v>
      </c>
      <c r="AA12" s="285">
        <f t="shared" si="6"/>
        <v>0</v>
      </c>
      <c r="AB12" s="285">
        <f t="shared" si="7"/>
        <v>0</v>
      </c>
      <c r="AC12" s="286">
        <f t="shared" si="8"/>
        <v>1</v>
      </c>
      <c r="AD12" s="17"/>
    </row>
    <row r="13" spans="1:31" ht="12.75" x14ac:dyDescent="0.2">
      <c r="A13" s="287"/>
      <c r="B13" s="288"/>
      <c r="C13" s="288"/>
      <c r="D13" s="289"/>
      <c r="E13" s="99">
        <f>SUM(E3:E12)</f>
        <v>0</v>
      </c>
      <c r="F13" s="99">
        <f t="shared" ref="F13:L13" si="9">SUM(F3:F12)</f>
        <v>0</v>
      </c>
      <c r="G13" s="99">
        <f t="shared" si="9"/>
        <v>0</v>
      </c>
      <c r="H13" s="99">
        <f t="shared" si="9"/>
        <v>0</v>
      </c>
      <c r="I13" s="99">
        <f t="shared" si="9"/>
        <v>0</v>
      </c>
      <c r="J13" s="99">
        <f t="shared" si="9"/>
        <v>0</v>
      </c>
      <c r="K13" s="99">
        <f t="shared" si="9"/>
        <v>0</v>
      </c>
      <c r="L13" s="99">
        <f t="shared" si="9"/>
        <v>0</v>
      </c>
      <c r="M13" s="101" t="e">
        <f t="shared" si="1"/>
        <v>#DIV/0!</v>
      </c>
      <c r="N13" s="99">
        <f t="shared" ref="N13" si="10">SUM(N3:N12)</f>
        <v>0</v>
      </c>
      <c r="O13" s="99">
        <f t="shared" ref="O13" si="11">SUM(O3:O12)</f>
        <v>0</v>
      </c>
      <c r="P13" s="100" t="e">
        <f>N13/G13</f>
        <v>#DIV/0!</v>
      </c>
      <c r="Q13" s="99">
        <f t="shared" ref="Q13" si="12">SUM(Q3:Q12)</f>
        <v>0</v>
      </c>
      <c r="R13" s="99">
        <f t="shared" ref="R13" si="13">SUM(R3:R12)</f>
        <v>0</v>
      </c>
      <c r="S13" s="100" t="e">
        <f>Q13/G13</f>
        <v>#DIV/0!</v>
      </c>
      <c r="T13" s="99">
        <f t="shared" ref="T13" si="14">SUM(T3:T12)</f>
        <v>0</v>
      </c>
      <c r="U13" s="99">
        <f t="shared" ref="U13" si="15">SUM(U3:U12)</f>
        <v>0</v>
      </c>
      <c r="V13" s="100" t="e">
        <f>T13/G13</f>
        <v>#DIV/0!</v>
      </c>
      <c r="W13" s="99">
        <f t="shared" ref="W13" si="16">SUM(W3:W12)</f>
        <v>0</v>
      </c>
      <c r="X13" s="99">
        <f t="shared" ref="X13" si="17">SUM(X3:X12)</f>
        <v>0</v>
      </c>
      <c r="Y13" s="100" t="e">
        <f>W13/G13</f>
        <v>#DIV/0!</v>
      </c>
      <c r="Z13" s="99">
        <f t="shared" ref="Z13" si="18">SUM(Z3:Z12)</f>
        <v>0</v>
      </c>
      <c r="AA13" s="99">
        <f t="shared" ref="AA13" si="19">SUM(AA3:AA12)</f>
        <v>0</v>
      </c>
      <c r="AB13" s="99">
        <f t="shared" ref="AB13" si="20">SUM(AB3:AB12)</f>
        <v>0</v>
      </c>
      <c r="AC13" s="100"/>
      <c r="AD13" s="17"/>
    </row>
    <row r="14" spans="1:31" ht="15" customHeight="1" x14ac:dyDescent="0.2">
      <c r="B14" s="25"/>
      <c r="C14" s="25"/>
      <c r="E14" s="15"/>
      <c r="F14" s="24"/>
      <c r="G14" s="28"/>
      <c r="I14" s="15"/>
      <c r="J14" s="26"/>
      <c r="L14" s="24"/>
      <c r="N14" s="18"/>
      <c r="O14" s="24"/>
      <c r="Q14" s="18"/>
      <c r="R14" s="24"/>
      <c r="T14" s="18"/>
      <c r="U14" s="24"/>
      <c r="V14" s="24"/>
      <c r="W14" s="18"/>
      <c r="X14" s="29"/>
      <c r="Y14" s="29"/>
      <c r="Z14" s="29"/>
      <c r="AA14" s="23"/>
      <c r="AB14" s="18"/>
      <c r="AC14" s="21"/>
      <c r="AD14" s="17"/>
    </row>
    <row r="15" spans="1:31" ht="20.25" x14ac:dyDescent="0.3">
      <c r="B15" s="25"/>
      <c r="C15" s="25"/>
      <c r="E15" s="15"/>
      <c r="F15" s="107" t="s">
        <v>289</v>
      </c>
      <c r="G15" s="122"/>
      <c r="H15" s="123"/>
      <c r="I15" s="124"/>
      <c r="J15" s="124"/>
      <c r="K15" s="124"/>
      <c r="L15" s="124"/>
      <c r="M15" s="125"/>
      <c r="N15" s="125"/>
      <c r="O15" s="12"/>
      <c r="P15" s="123"/>
      <c r="Q15" s="13"/>
      <c r="R15" s="123"/>
      <c r="S15" s="13"/>
      <c r="T15" s="123"/>
      <c r="U15" s="146"/>
      <c r="V15" s="24"/>
      <c r="W15" s="18"/>
      <c r="X15" s="29"/>
      <c r="Y15" s="29"/>
      <c r="Z15" s="29"/>
      <c r="AA15" s="23"/>
      <c r="AB15" s="18"/>
      <c r="AC15" s="21"/>
      <c r="AD15" s="17"/>
    </row>
    <row r="16" spans="1:31" ht="20.25" x14ac:dyDescent="0.3">
      <c r="B16" s="25"/>
      <c r="C16" s="25"/>
      <c r="E16" s="15"/>
      <c r="F16" s="137" t="s">
        <v>228</v>
      </c>
      <c r="G16" s="138"/>
      <c r="H16" s="139"/>
      <c r="I16" s="140"/>
      <c r="J16" s="141"/>
      <c r="K16" s="141"/>
      <c r="L16" s="141"/>
      <c r="M16" s="142"/>
      <c r="N16" s="139"/>
      <c r="O16" s="143"/>
      <c r="P16" s="139"/>
      <c r="Q16" s="143"/>
      <c r="R16" s="139"/>
      <c r="S16" s="144"/>
      <c r="T16" s="145"/>
      <c r="U16" s="147"/>
      <c r="V16" s="24"/>
      <c r="W16" s="18"/>
      <c r="X16" s="29"/>
      <c r="Y16" s="29"/>
      <c r="Z16" s="29"/>
      <c r="AA16" s="23"/>
      <c r="AB16" s="18"/>
      <c r="AC16" s="21"/>
      <c r="AD16" s="17"/>
    </row>
    <row r="17" spans="1:30" ht="15" customHeight="1" x14ac:dyDescent="0.2">
      <c r="B17" s="25"/>
      <c r="C17" s="25"/>
      <c r="E17" s="15"/>
      <c r="F17" s="24"/>
      <c r="G17" s="28"/>
      <c r="I17" s="15"/>
      <c r="J17" s="26"/>
      <c r="L17" s="24"/>
      <c r="N17" s="18"/>
      <c r="O17" s="24"/>
      <c r="Q17" s="18"/>
      <c r="R17" s="24"/>
      <c r="T17" s="18"/>
      <c r="U17" s="24"/>
      <c r="V17" s="24"/>
      <c r="W17" s="18"/>
      <c r="X17" s="29"/>
      <c r="Y17" s="29"/>
      <c r="Z17" s="29"/>
      <c r="AA17" s="23"/>
      <c r="AB17" s="18"/>
      <c r="AC17" s="21"/>
      <c r="AD17" s="17"/>
    </row>
    <row r="18" spans="1:30" ht="15" customHeight="1" x14ac:dyDescent="0.2">
      <c r="B18" s="25"/>
      <c r="C18" s="25"/>
      <c r="E18" s="15"/>
      <c r="F18" s="24"/>
      <c r="G18" s="28"/>
      <c r="H18" s="30"/>
      <c r="I18" s="2" t="s">
        <v>291</v>
      </c>
      <c r="J18" s="3" t="s">
        <v>292</v>
      </c>
      <c r="K18" s="4" t="s">
        <v>293</v>
      </c>
      <c r="L18" s="24"/>
      <c r="N18" s="15"/>
      <c r="O18" s="24"/>
      <c r="Q18" s="15"/>
      <c r="R18" s="24"/>
      <c r="T18" s="15"/>
      <c r="U18" s="24"/>
      <c r="V18" s="24"/>
      <c r="W18" s="31"/>
      <c r="X18" s="32"/>
      <c r="Y18" s="32"/>
      <c r="Z18" s="32"/>
      <c r="AB18" s="18"/>
      <c r="AC18" s="21"/>
      <c r="AD18" s="17"/>
    </row>
    <row r="19" spans="1:30" ht="15" customHeight="1" x14ac:dyDescent="0.2">
      <c r="B19" s="25"/>
      <c r="C19" s="25"/>
      <c r="D19" s="33"/>
      <c r="E19" s="33"/>
      <c r="F19" s="34"/>
      <c r="G19" s="28"/>
      <c r="H19" s="35"/>
      <c r="I19" s="5" t="e">
        <f>ROUND(AVERAGE(G3:G12),0)</f>
        <v>#DIV/0!</v>
      </c>
      <c r="J19" s="5">
        <f>ROUND(AVERAGE(AB3:AB12),0)</f>
        <v>0</v>
      </c>
      <c r="K19" s="6" t="e">
        <f>(J19+1)/(I19+1)</f>
        <v>#DIV/0!</v>
      </c>
      <c r="L19" s="24"/>
      <c r="N19" s="15"/>
      <c r="O19" s="24"/>
      <c r="Q19" s="15"/>
      <c r="R19" s="24"/>
      <c r="T19" s="15"/>
      <c r="U19" s="24"/>
      <c r="V19" s="24"/>
      <c r="W19" s="15"/>
      <c r="Y19" s="36"/>
      <c r="Z19" s="36"/>
      <c r="AA19" s="17"/>
      <c r="AB19" s="18"/>
      <c r="AC19" s="21"/>
      <c r="AD19" s="17"/>
    </row>
    <row r="20" spans="1:30" ht="15" customHeight="1" x14ac:dyDescent="0.2">
      <c r="B20" s="25"/>
      <c r="C20" s="25"/>
      <c r="E20" s="15"/>
      <c r="F20" s="24"/>
      <c r="G20" s="28"/>
      <c r="H20" s="30"/>
      <c r="I20" s="149" t="s">
        <v>294</v>
      </c>
      <c r="J20" s="86"/>
      <c r="K20" s="1"/>
      <c r="L20" s="1"/>
      <c r="N20" s="15"/>
      <c r="O20" s="24"/>
      <c r="Q20" s="15"/>
      <c r="R20" s="24"/>
      <c r="T20" s="15"/>
      <c r="U20" s="24"/>
      <c r="V20" s="24"/>
      <c r="W20" s="15"/>
      <c r="Y20" s="36"/>
      <c r="Z20" s="36"/>
      <c r="AA20" s="17"/>
      <c r="AB20" s="18"/>
      <c r="AC20" s="21"/>
      <c r="AD20" s="17"/>
    </row>
    <row r="21" spans="1:30" ht="15" customHeight="1" x14ac:dyDescent="0.2">
      <c r="E21" s="15"/>
      <c r="F21" s="24"/>
      <c r="G21" s="28"/>
      <c r="H21" s="37"/>
      <c r="I21" s="37"/>
      <c r="J21" s="38"/>
      <c r="L21" s="24"/>
      <c r="N21" s="15"/>
      <c r="O21" s="24"/>
      <c r="Q21" s="15"/>
      <c r="R21" s="24"/>
      <c r="T21" s="15"/>
      <c r="U21" s="24"/>
      <c r="V21" s="24"/>
      <c r="W21" s="15"/>
      <c r="Y21" s="36"/>
      <c r="Z21" s="36"/>
      <c r="AA21" s="17"/>
      <c r="AB21" s="18"/>
      <c r="AC21" s="21"/>
      <c r="AD21" s="17"/>
    </row>
    <row r="22" spans="1:30" ht="15" customHeight="1" x14ac:dyDescent="0.2">
      <c r="E22" s="27"/>
      <c r="G22" s="37"/>
      <c r="H22" s="37"/>
      <c r="I22" s="38"/>
      <c r="L22" s="18"/>
      <c r="O22" s="18"/>
      <c r="R22" s="18"/>
      <c r="Y22" s="17"/>
      <c r="AA22" s="21"/>
      <c r="AD22" s="17"/>
    </row>
    <row r="23" spans="1:30" ht="15" customHeight="1" x14ac:dyDescent="0.2">
      <c r="A23" s="18"/>
      <c r="B23" s="18"/>
      <c r="C23" s="18"/>
      <c r="D23" s="18"/>
      <c r="E23" s="18"/>
      <c r="F23" s="18"/>
      <c r="G23" s="18"/>
      <c r="H23" s="18"/>
      <c r="I23" s="18"/>
      <c r="J23" s="18"/>
      <c r="K23" s="18"/>
      <c r="L23" s="18"/>
      <c r="M23" s="18"/>
      <c r="N23" s="18"/>
      <c r="O23" s="18"/>
      <c r="P23" s="18"/>
      <c r="Q23" s="18"/>
      <c r="R23" s="18"/>
      <c r="U23" s="18"/>
      <c r="V23" s="29"/>
      <c r="W23" s="29"/>
      <c r="X23" s="29"/>
      <c r="Y23" s="18"/>
      <c r="AA23" s="21"/>
      <c r="AD23" s="17"/>
    </row>
    <row r="24" spans="1:30" ht="15" customHeight="1" x14ac:dyDescent="0.25">
      <c r="C24" s="39"/>
      <c r="D24" s="40"/>
      <c r="E24" s="41"/>
      <c r="F24" s="42"/>
      <c r="G24" s="37"/>
      <c r="H24" s="37"/>
      <c r="I24" s="38"/>
      <c r="R24" s="18"/>
      <c r="U24" s="43"/>
      <c r="V24" s="44"/>
      <c r="W24" s="44"/>
      <c r="X24" s="44"/>
      <c r="AA24" s="21"/>
    </row>
    <row r="25" spans="1:30" ht="15" customHeight="1" x14ac:dyDescent="0.2">
      <c r="R25" s="18"/>
      <c r="U25" s="43"/>
      <c r="V25" s="44"/>
      <c r="W25" s="44"/>
      <c r="X25" s="44"/>
      <c r="AA25" s="21"/>
    </row>
    <row r="26" spans="1:30" ht="15" customHeight="1" x14ac:dyDescent="0.2">
      <c r="R26" s="18"/>
      <c r="U26" s="43"/>
      <c r="V26" s="44"/>
      <c r="W26" s="44"/>
      <c r="X26" s="44"/>
      <c r="AA26" s="21"/>
    </row>
    <row r="27" spans="1:30" ht="15" customHeight="1" x14ac:dyDescent="0.2">
      <c r="R27" s="18"/>
      <c r="U27" s="43"/>
      <c r="V27" s="44"/>
      <c r="W27" s="44"/>
      <c r="X27" s="44"/>
      <c r="Z27" s="18"/>
      <c r="AA27" s="21"/>
    </row>
    <row r="28" spans="1:30" ht="15" customHeight="1" x14ac:dyDescent="0.2">
      <c r="AA28" s="21"/>
    </row>
    <row r="29" spans="1:30" ht="15" customHeight="1" x14ac:dyDescent="0.2">
      <c r="AA29" s="21"/>
    </row>
    <row r="30" spans="1:30" ht="15" customHeight="1" x14ac:dyDescent="0.2">
      <c r="AA30" s="21"/>
    </row>
    <row r="31" spans="1:30" ht="15" customHeight="1" x14ac:dyDescent="0.2">
      <c r="Z31" s="18"/>
      <c r="AA31" s="21"/>
    </row>
    <row r="32" spans="1:30" ht="15" customHeight="1" x14ac:dyDescent="0.2">
      <c r="AA32" s="21"/>
    </row>
    <row r="33" spans="16:27" ht="12.75" x14ac:dyDescent="0.2">
      <c r="AA33" s="21"/>
    </row>
    <row r="34" spans="16:27" ht="12.75" x14ac:dyDescent="0.2">
      <c r="AA34" s="21"/>
    </row>
    <row r="35" spans="16:27" ht="12.75" x14ac:dyDescent="0.2">
      <c r="AA35" s="21"/>
    </row>
    <row r="36" spans="16:27" ht="15" customHeight="1" x14ac:dyDescent="0.2">
      <c r="AA36" s="21"/>
    </row>
    <row r="37" spans="16:27" ht="15" customHeight="1" x14ac:dyDescent="0.2">
      <c r="AA37" s="21"/>
    </row>
    <row r="38" spans="16:27" ht="15" customHeight="1" x14ac:dyDescent="0.2">
      <c r="AA38" s="21"/>
    </row>
    <row r="39" spans="16:27" ht="15" customHeight="1" x14ac:dyDescent="0.2">
      <c r="AA39" s="21"/>
    </row>
    <row r="40" spans="16:27" ht="15" customHeight="1" x14ac:dyDescent="0.2">
      <c r="AA40" s="21"/>
    </row>
    <row r="41" spans="16:27" ht="15" customHeight="1" x14ac:dyDescent="0.2">
      <c r="P41" s="45"/>
      <c r="Q41" s="45"/>
      <c r="U41" s="18"/>
      <c r="V41" s="29"/>
      <c r="W41" s="29"/>
      <c r="X41" s="29"/>
      <c r="AA41" s="21"/>
    </row>
    <row r="42" spans="16:27" ht="15" customHeight="1" x14ac:dyDescent="0.2">
      <c r="AA42" s="21"/>
    </row>
    <row r="43" spans="16:27" ht="15" customHeight="1" x14ac:dyDescent="0.2">
      <c r="AA43" s="21"/>
    </row>
    <row r="44" spans="16:27" ht="15" customHeight="1" x14ac:dyDescent="0.2">
      <c r="AA44" s="21"/>
    </row>
    <row r="45" spans="16:27" ht="15" customHeight="1" x14ac:dyDescent="0.2">
      <c r="AA45" s="21"/>
    </row>
    <row r="46" spans="16:27" ht="15" customHeight="1" x14ac:dyDescent="0.2">
      <c r="AA46" s="18"/>
    </row>
    <row r="47" spans="16:27" ht="15" customHeight="1" x14ac:dyDescent="0.2">
      <c r="AA47" s="18"/>
    </row>
    <row r="48" spans="16:27" ht="15" customHeight="1" x14ac:dyDescent="0.2">
      <c r="AA48" s="18"/>
    </row>
    <row r="49" spans="5:30" ht="15" customHeight="1" x14ac:dyDescent="0.2">
      <c r="AA49" s="18"/>
    </row>
    <row r="50" spans="5:30" ht="15" customHeight="1" x14ac:dyDescent="0.2">
      <c r="AA50" s="18"/>
    </row>
    <row r="51" spans="5:30" ht="15" customHeight="1" x14ac:dyDescent="0.2">
      <c r="AA51" s="18"/>
    </row>
    <row r="52" spans="5:30" ht="15" customHeight="1" x14ac:dyDescent="0.2">
      <c r="AA52" s="18"/>
    </row>
    <row r="53" spans="5:30" ht="12.75" x14ac:dyDescent="0.2">
      <c r="AA53" s="18"/>
      <c r="AC53" s="17"/>
    </row>
    <row r="54" spans="5:30" ht="15" customHeight="1" x14ac:dyDescent="0.2">
      <c r="J54" s="45"/>
      <c r="K54" s="45"/>
      <c r="M54" s="45"/>
      <c r="N54" s="45"/>
      <c r="R54" s="18"/>
      <c r="AA54" s="18"/>
      <c r="AC54" s="17"/>
    </row>
    <row r="55" spans="5:30" ht="15" customHeight="1" x14ac:dyDescent="0.2">
      <c r="J55" s="45"/>
      <c r="K55" s="45"/>
      <c r="M55" s="45"/>
      <c r="N55" s="45"/>
      <c r="R55" s="18"/>
      <c r="AC55" s="17"/>
    </row>
    <row r="56" spans="5:30" ht="15" customHeight="1" x14ac:dyDescent="0.2">
      <c r="J56" s="45"/>
      <c r="K56" s="45"/>
      <c r="M56" s="45"/>
      <c r="N56" s="45"/>
      <c r="R56" s="18"/>
      <c r="AC56" s="17"/>
    </row>
    <row r="57" spans="5:30" ht="15" customHeight="1" x14ac:dyDescent="0.2">
      <c r="J57" s="45"/>
      <c r="K57" s="45"/>
      <c r="M57" s="45"/>
      <c r="N57" s="45"/>
      <c r="R57" s="18"/>
      <c r="AC57" s="17"/>
    </row>
    <row r="58" spans="5:30" ht="15" customHeight="1" x14ac:dyDescent="0.2">
      <c r="J58" s="45"/>
      <c r="K58" s="45"/>
      <c r="M58" s="45"/>
      <c r="N58" s="45"/>
      <c r="R58" s="18"/>
      <c r="AC58" s="17"/>
    </row>
    <row r="59" spans="5:30" ht="15" customHeight="1" x14ac:dyDescent="0.2">
      <c r="J59" s="45"/>
      <c r="K59" s="45"/>
      <c r="M59" s="45"/>
      <c r="N59" s="45"/>
      <c r="R59" s="18"/>
      <c r="AA59" s="18"/>
      <c r="AB59" s="17"/>
    </row>
    <row r="60" spans="5:30" ht="15" customHeight="1" x14ac:dyDescent="0.2">
      <c r="J60" s="45"/>
      <c r="K60" s="45"/>
      <c r="M60" s="45"/>
      <c r="N60" s="45"/>
      <c r="R60" s="18"/>
      <c r="AD60" s="17"/>
    </row>
    <row r="61" spans="5:30" ht="15" customHeight="1" x14ac:dyDescent="0.2">
      <c r="M61" s="45"/>
      <c r="N61" s="45"/>
      <c r="R61" s="18"/>
      <c r="AD61" s="17"/>
    </row>
    <row r="62" spans="5:30" ht="15" customHeight="1" x14ac:dyDescent="0.2">
      <c r="E62" s="20"/>
      <c r="F62" s="46"/>
      <c r="G62" s="47"/>
      <c r="H62" s="47"/>
      <c r="M62" s="45"/>
      <c r="N62" s="45"/>
      <c r="R62" s="18"/>
      <c r="AD62" s="17"/>
    </row>
    <row r="63" spans="5:30" ht="15" customHeight="1" x14ac:dyDescent="0.2">
      <c r="E63" s="20"/>
      <c r="F63" s="46"/>
      <c r="G63" s="47"/>
      <c r="H63" s="47"/>
      <c r="M63" s="45"/>
      <c r="N63" s="45"/>
      <c r="R63" s="18"/>
      <c r="AD63" s="17"/>
    </row>
    <row r="64" spans="5:30" ht="15" customHeight="1" x14ac:dyDescent="0.2">
      <c r="E64" s="20"/>
      <c r="F64" s="46"/>
      <c r="G64" s="47"/>
      <c r="H64" s="47"/>
      <c r="M64" s="45"/>
      <c r="N64" s="45"/>
      <c r="R64" s="18"/>
      <c r="AA64" s="18"/>
      <c r="AD64" s="17"/>
    </row>
    <row r="65" spans="5:30" ht="15" customHeight="1" x14ac:dyDescent="0.2">
      <c r="E65" s="20"/>
      <c r="F65" s="46"/>
      <c r="G65" s="47"/>
      <c r="H65" s="47"/>
      <c r="AD65" s="17"/>
    </row>
    <row r="66" spans="5:30" ht="15" customHeight="1" x14ac:dyDescent="0.2">
      <c r="E66" s="20"/>
      <c r="F66" s="46"/>
      <c r="G66" s="47"/>
      <c r="H66" s="47"/>
    </row>
    <row r="67" spans="5:30" ht="15" customHeight="1" x14ac:dyDescent="0.2"/>
  </sheetData>
  <protectedRanges>
    <protectedRange sqref="B3:D12" name="Range1_3"/>
    <protectedRange sqref="E8:E12" name="Range1_2_1"/>
    <protectedRange sqref="E3:E7" name="Range1_1_2"/>
  </protectedRanges>
  <pageMargins left="0.75" right="0.75" top="1" bottom="1" header="0.5" footer="0.5"/>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249977111117893"/>
  </sheetPr>
  <dimension ref="A1:AF189"/>
  <sheetViews>
    <sheetView tabSelected="1" topLeftCell="J12" workbookViewId="0">
      <selection activeCell="V17" sqref="V17"/>
    </sheetView>
  </sheetViews>
  <sheetFormatPr defaultColWidth="9.140625" defaultRowHeight="15.75" x14ac:dyDescent="0.25"/>
  <cols>
    <col min="1" max="1" width="9.140625" style="59"/>
    <col min="2" max="2" width="23.28515625" style="59" bestFit="1" customWidth="1"/>
    <col min="3" max="3" width="11.140625" style="59" bestFit="1" customWidth="1"/>
    <col min="4" max="4" width="12.140625" style="59" bestFit="1" customWidth="1"/>
    <col min="5" max="5" width="10.85546875" style="59" bestFit="1" customWidth="1"/>
    <col min="6" max="6" width="16.42578125" style="59" bestFit="1" customWidth="1"/>
    <col min="7" max="7" width="20.7109375" style="59" bestFit="1" customWidth="1"/>
    <col min="8" max="8" width="20.5703125" style="59" bestFit="1" customWidth="1"/>
    <col min="9" max="9" width="16.42578125" style="59" bestFit="1" customWidth="1"/>
    <col min="10" max="10" width="12.5703125" style="59" bestFit="1" customWidth="1"/>
    <col min="11" max="11" width="10.85546875" style="59" bestFit="1" customWidth="1"/>
    <col min="12" max="12" width="10.28515625" style="59" bestFit="1" customWidth="1"/>
    <col min="13" max="13" width="11" style="59" bestFit="1" customWidth="1"/>
    <col min="14" max="14" width="12.5703125" style="59" bestFit="1" customWidth="1"/>
    <col min="15" max="15" width="11" style="59" bestFit="1" customWidth="1"/>
    <col min="16" max="16" width="12.7109375" style="59" bestFit="1" customWidth="1"/>
    <col min="17" max="17" width="11" style="59" bestFit="1" customWidth="1"/>
    <col min="18" max="18" width="12.5703125" style="59" bestFit="1" customWidth="1"/>
    <col min="19" max="19" width="9" style="59" bestFit="1" customWidth="1"/>
    <col min="20" max="20" width="14.7109375" style="59" bestFit="1" customWidth="1"/>
    <col min="21" max="21" width="16" style="59" bestFit="1" customWidth="1"/>
    <col min="22" max="22" width="15" style="60" bestFit="1" customWidth="1"/>
    <col min="23" max="23" width="9" style="59" bestFit="1" customWidth="1"/>
    <col min="24" max="24" width="14.7109375" style="59" bestFit="1" customWidth="1"/>
    <col min="25" max="25" width="16" style="59" bestFit="1" customWidth="1"/>
    <col min="26" max="26" width="15" style="59" bestFit="1" customWidth="1"/>
    <col min="27" max="27" width="2.85546875" style="59" customWidth="1"/>
    <col min="28" max="28" width="9" style="59" bestFit="1" customWidth="1"/>
    <col min="29" max="29" width="10.85546875" style="59" bestFit="1" customWidth="1"/>
    <col min="30" max="30" width="10.28515625" style="59" bestFit="1" customWidth="1"/>
    <col min="31" max="31" width="7.42578125" style="61" bestFit="1" customWidth="1"/>
    <col min="32" max="32" width="13.5703125" style="59" bestFit="1" customWidth="1"/>
    <col min="33" max="16384" width="9.140625" style="59"/>
  </cols>
  <sheetData>
    <row r="1" spans="1:32" ht="16.5" thickBot="1" x14ac:dyDescent="0.3">
      <c r="A1" s="57" t="s">
        <v>227</v>
      </c>
      <c r="B1" s="58"/>
      <c r="C1" s="58"/>
      <c r="D1" s="58"/>
      <c r="W1" s="59" t="s">
        <v>363</v>
      </c>
      <c r="X1" s="59" t="s">
        <v>364</v>
      </c>
      <c r="Y1" s="59" t="s">
        <v>235</v>
      </c>
      <c r="Z1" s="60" t="s">
        <v>365</v>
      </c>
      <c r="AA1" s="60"/>
      <c r="AB1" s="60" t="s">
        <v>363</v>
      </c>
      <c r="AC1" s="59" t="s">
        <v>275</v>
      </c>
      <c r="AD1" s="59" t="s">
        <v>273</v>
      </c>
      <c r="AE1" s="61" t="s">
        <v>271</v>
      </c>
      <c r="AF1" s="59" t="s">
        <v>366</v>
      </c>
    </row>
    <row r="2" spans="1:32" x14ac:dyDescent="0.25">
      <c r="W2" s="357">
        <v>45980</v>
      </c>
      <c r="X2" s="91">
        <f>$I$61</f>
        <v>8.8044503765443524E-2</v>
      </c>
      <c r="Y2" s="93">
        <v>280</v>
      </c>
      <c r="Z2" s="85"/>
      <c r="AA2" s="85"/>
      <c r="AB2" s="357">
        <v>45980</v>
      </c>
      <c r="AC2" s="87"/>
      <c r="AD2" s="87"/>
      <c r="AE2" s="91"/>
      <c r="AF2" s="436">
        <v>2.8469750889679714E-2</v>
      </c>
    </row>
    <row r="3" spans="1:32" ht="16.5" thickBot="1" x14ac:dyDescent="0.3">
      <c r="W3" s="358">
        <v>45995</v>
      </c>
      <c r="X3" s="91">
        <f t="shared" ref="X3:X53" si="0">$I$61</f>
        <v>8.8044503765443524E-2</v>
      </c>
      <c r="Y3" s="93">
        <v>256</v>
      </c>
      <c r="Z3" s="85"/>
      <c r="AA3" s="85"/>
      <c r="AB3" s="358">
        <v>45995</v>
      </c>
      <c r="AC3" s="87"/>
      <c r="AD3" s="87"/>
      <c r="AE3" s="91"/>
      <c r="AF3" s="436">
        <v>7.7821011673151752E-3</v>
      </c>
    </row>
    <row r="4" spans="1:32" ht="32.25" thickBot="1" x14ac:dyDescent="0.3">
      <c r="B4" s="152" t="s">
        <v>58</v>
      </c>
      <c r="C4" s="153" t="s">
        <v>231</v>
      </c>
      <c r="D4" s="154" t="s">
        <v>233</v>
      </c>
      <c r="E4" s="152" t="s">
        <v>367</v>
      </c>
      <c r="F4" s="155" t="s">
        <v>241</v>
      </c>
      <c r="G4" s="154" t="s">
        <v>235</v>
      </c>
      <c r="H4" s="154" t="s">
        <v>368</v>
      </c>
      <c r="I4" s="152" t="s">
        <v>252</v>
      </c>
      <c r="J4" s="152" t="s">
        <v>369</v>
      </c>
      <c r="L4" s="60"/>
      <c r="W4" s="358">
        <v>46001</v>
      </c>
      <c r="X4" s="91">
        <f t="shared" si="0"/>
        <v>8.8044503765443524E-2</v>
      </c>
      <c r="Y4" s="93">
        <v>254</v>
      </c>
      <c r="Z4" s="85"/>
      <c r="AA4" s="85"/>
      <c r="AB4" s="358">
        <v>46001</v>
      </c>
      <c r="AC4" s="87"/>
      <c r="AD4" s="87"/>
      <c r="AE4" s="91"/>
      <c r="AF4" s="436">
        <v>1.9607843137254902E-2</v>
      </c>
    </row>
    <row r="5" spans="1:32" x14ac:dyDescent="0.25">
      <c r="B5" s="63">
        <v>1</v>
      </c>
      <c r="C5" s="357">
        <v>45980</v>
      </c>
      <c r="D5" s="93">
        <v>281</v>
      </c>
      <c r="E5" s="93">
        <v>1</v>
      </c>
      <c r="F5" s="90">
        <f>E5/D5</f>
        <v>3.5587188612099642E-3</v>
      </c>
      <c r="G5" s="93">
        <v>280</v>
      </c>
      <c r="H5" s="93">
        <v>7</v>
      </c>
      <c r="I5" s="436">
        <v>2.8469750889679714E-2</v>
      </c>
      <c r="J5" s="374" t="s">
        <v>267</v>
      </c>
      <c r="W5" s="358">
        <v>46037</v>
      </c>
      <c r="X5" s="91">
        <f t="shared" si="0"/>
        <v>8.8044503765443524E-2</v>
      </c>
      <c r="Y5" s="85">
        <v>263</v>
      </c>
      <c r="Z5" s="85"/>
      <c r="AA5" s="85"/>
      <c r="AB5" s="358">
        <v>46037</v>
      </c>
      <c r="AC5" s="87"/>
      <c r="AD5" s="87"/>
      <c r="AE5" s="91"/>
      <c r="AF5" s="436">
        <v>4.1666666666666664E-2</v>
      </c>
    </row>
    <row r="6" spans="1:32" x14ac:dyDescent="0.25">
      <c r="B6" s="63">
        <v>2</v>
      </c>
      <c r="C6" s="358">
        <v>45995</v>
      </c>
      <c r="D6" s="93">
        <v>252</v>
      </c>
      <c r="E6" s="93">
        <v>0</v>
      </c>
      <c r="F6" s="90">
        <f t="shared" ref="F6:F60" si="1">E6/D6</f>
        <v>0</v>
      </c>
      <c r="G6" s="93">
        <v>256</v>
      </c>
      <c r="H6" s="93">
        <v>1</v>
      </c>
      <c r="I6" s="436">
        <v>7.7821011673151752E-3</v>
      </c>
      <c r="J6" s="375" t="s">
        <v>267</v>
      </c>
      <c r="W6" s="358">
        <v>46037</v>
      </c>
      <c r="X6" s="91">
        <f t="shared" si="0"/>
        <v>8.8044503765443524E-2</v>
      </c>
      <c r="Y6" s="93">
        <v>254</v>
      </c>
      <c r="Z6" s="60"/>
      <c r="AA6" s="60"/>
      <c r="AB6" s="358">
        <v>46037</v>
      </c>
      <c r="AF6" s="436">
        <v>4.3137254901960784E-2</v>
      </c>
    </row>
    <row r="7" spans="1:32" x14ac:dyDescent="0.25">
      <c r="B7" s="63">
        <v>3</v>
      </c>
      <c r="C7" s="358">
        <v>46001</v>
      </c>
      <c r="D7" s="93">
        <v>254</v>
      </c>
      <c r="E7" s="93">
        <v>0</v>
      </c>
      <c r="F7" s="90">
        <f t="shared" si="1"/>
        <v>0</v>
      </c>
      <c r="G7" s="93">
        <v>254</v>
      </c>
      <c r="H7" s="93">
        <v>4</v>
      </c>
      <c r="I7" s="436">
        <v>1.9607843137254902E-2</v>
      </c>
      <c r="J7" s="375" t="s">
        <v>267</v>
      </c>
      <c r="W7" s="358">
        <v>46041</v>
      </c>
      <c r="X7" s="91">
        <f t="shared" si="0"/>
        <v>8.8044503765443524E-2</v>
      </c>
      <c r="Y7" s="93">
        <v>251</v>
      </c>
      <c r="Z7" s="60"/>
      <c r="AA7" s="60"/>
      <c r="AB7" s="358">
        <v>46041</v>
      </c>
      <c r="AF7" s="436">
        <v>5.5555555555555552E-2</v>
      </c>
    </row>
    <row r="8" spans="1:32" x14ac:dyDescent="0.25">
      <c r="B8" s="63">
        <v>4</v>
      </c>
      <c r="C8" s="358">
        <v>46037</v>
      </c>
      <c r="D8" s="85">
        <v>263</v>
      </c>
      <c r="E8" s="85">
        <v>0</v>
      </c>
      <c r="F8" s="90">
        <f t="shared" si="1"/>
        <v>0</v>
      </c>
      <c r="G8" s="85">
        <v>263</v>
      </c>
      <c r="H8" s="85">
        <v>10</v>
      </c>
      <c r="I8" s="436">
        <v>4.1666666666666664E-2</v>
      </c>
      <c r="J8" s="375" t="s">
        <v>274</v>
      </c>
      <c r="W8" s="358">
        <v>46041</v>
      </c>
      <c r="X8" s="91">
        <f t="shared" si="0"/>
        <v>8.8044503765443524E-2</v>
      </c>
      <c r="Y8" s="93">
        <v>257</v>
      </c>
      <c r="Z8" s="60"/>
      <c r="AA8" s="60"/>
      <c r="AB8" s="358">
        <v>46041</v>
      </c>
      <c r="AF8" s="436">
        <v>7.3643410852713184E-2</v>
      </c>
    </row>
    <row r="9" spans="1:32" x14ac:dyDescent="0.25">
      <c r="B9" s="63">
        <v>5</v>
      </c>
      <c r="C9" s="358">
        <v>46037</v>
      </c>
      <c r="D9" s="93">
        <v>254</v>
      </c>
      <c r="E9" s="93">
        <v>0</v>
      </c>
      <c r="F9" s="90">
        <f t="shared" si="1"/>
        <v>0</v>
      </c>
      <c r="G9" s="93">
        <v>254</v>
      </c>
      <c r="H9" s="93">
        <v>10</v>
      </c>
      <c r="I9" s="436">
        <v>4.3137254901960784E-2</v>
      </c>
      <c r="J9" s="375" t="s">
        <v>274</v>
      </c>
      <c r="W9" s="358">
        <v>46044</v>
      </c>
      <c r="X9" s="91">
        <f t="shared" si="0"/>
        <v>8.8044503765443524E-2</v>
      </c>
      <c r="Y9" s="85">
        <v>266</v>
      </c>
      <c r="Z9" s="85"/>
      <c r="AA9" s="85"/>
      <c r="AB9" s="358">
        <v>46044</v>
      </c>
      <c r="AC9" s="87"/>
      <c r="AD9" s="87"/>
      <c r="AE9" s="91"/>
      <c r="AF9" s="436">
        <v>9.7378277153558054E-2</v>
      </c>
    </row>
    <row r="10" spans="1:32" x14ac:dyDescent="0.25">
      <c r="B10" s="63">
        <v>6</v>
      </c>
      <c r="C10" s="358">
        <v>46041</v>
      </c>
      <c r="D10" s="93">
        <v>253</v>
      </c>
      <c r="E10" s="93">
        <v>1</v>
      </c>
      <c r="F10" s="90">
        <f t="shared" si="1"/>
        <v>3.952569169960474E-3</v>
      </c>
      <c r="G10" s="93">
        <v>251</v>
      </c>
      <c r="H10" s="93">
        <v>13</v>
      </c>
      <c r="I10" s="436">
        <v>5.5555555555555552E-2</v>
      </c>
      <c r="J10" s="375" t="s">
        <v>274</v>
      </c>
      <c r="W10" s="358">
        <v>46044</v>
      </c>
      <c r="X10" s="91">
        <f t="shared" si="0"/>
        <v>8.8044503765443524E-2</v>
      </c>
      <c r="Y10" s="93">
        <v>238</v>
      </c>
      <c r="Z10" s="60"/>
      <c r="AA10" s="60"/>
      <c r="AB10" s="358">
        <v>46044</v>
      </c>
      <c r="AF10" s="436">
        <v>0.10460251046025104</v>
      </c>
    </row>
    <row r="11" spans="1:32" x14ac:dyDescent="0.25">
      <c r="B11" s="63">
        <v>7</v>
      </c>
      <c r="C11" s="358">
        <v>46041</v>
      </c>
      <c r="D11" s="93">
        <v>257</v>
      </c>
      <c r="E11" s="93">
        <v>0</v>
      </c>
      <c r="F11" s="90">
        <f t="shared" si="1"/>
        <v>0</v>
      </c>
      <c r="G11" s="93">
        <v>257</v>
      </c>
      <c r="H11" s="93">
        <v>18</v>
      </c>
      <c r="I11" s="436">
        <v>7.3643410852713184E-2</v>
      </c>
      <c r="J11" s="375" t="s">
        <v>274</v>
      </c>
      <c r="W11" s="358">
        <v>46048</v>
      </c>
      <c r="X11" s="91">
        <f t="shared" si="0"/>
        <v>8.8044503765443524E-2</v>
      </c>
      <c r="Y11" s="93">
        <v>259</v>
      </c>
      <c r="Z11" s="60"/>
      <c r="AA11" s="60"/>
      <c r="AB11" s="358">
        <v>46048</v>
      </c>
      <c r="AF11" s="436">
        <v>8.461538461538462E-2</v>
      </c>
    </row>
    <row r="12" spans="1:32" x14ac:dyDescent="0.25">
      <c r="B12" s="63">
        <v>8</v>
      </c>
      <c r="C12" s="358">
        <v>46044</v>
      </c>
      <c r="D12" s="85">
        <v>269</v>
      </c>
      <c r="E12" s="85">
        <v>2</v>
      </c>
      <c r="F12" s="90">
        <f t="shared" si="1"/>
        <v>7.4349442379182153E-3</v>
      </c>
      <c r="G12" s="85">
        <v>266</v>
      </c>
      <c r="H12" s="85">
        <v>25</v>
      </c>
      <c r="I12" s="436">
        <v>9.7378277153558054E-2</v>
      </c>
      <c r="J12" s="375" t="s">
        <v>274</v>
      </c>
      <c r="W12" s="358">
        <v>46048</v>
      </c>
      <c r="X12" s="91">
        <f t="shared" si="0"/>
        <v>8.8044503765443524E-2</v>
      </c>
      <c r="Y12" s="93">
        <v>238</v>
      </c>
      <c r="Z12" s="60"/>
      <c r="AA12" s="60"/>
      <c r="AB12" s="358">
        <v>46048</v>
      </c>
      <c r="AF12" s="436">
        <v>7.9497907949790794E-2</v>
      </c>
    </row>
    <row r="13" spans="1:32" x14ac:dyDescent="0.25">
      <c r="B13" s="63">
        <v>9</v>
      </c>
      <c r="C13" s="358">
        <v>46044</v>
      </c>
      <c r="D13" s="93">
        <v>244</v>
      </c>
      <c r="E13" s="93">
        <v>1</v>
      </c>
      <c r="F13" s="90">
        <f t="shared" si="1"/>
        <v>4.0983606557377051E-3</v>
      </c>
      <c r="G13" s="93">
        <v>238</v>
      </c>
      <c r="H13" s="93">
        <v>24</v>
      </c>
      <c r="I13" s="436">
        <v>0.10460251046025104</v>
      </c>
      <c r="J13" s="375" t="s">
        <v>274</v>
      </c>
      <c r="W13" s="358">
        <v>46051</v>
      </c>
      <c r="X13" s="91">
        <f t="shared" si="0"/>
        <v>8.8044503765443524E-2</v>
      </c>
      <c r="Y13" s="85">
        <v>270</v>
      </c>
      <c r="Z13" s="85"/>
      <c r="AA13" s="85"/>
      <c r="AB13" s="358">
        <v>46051</v>
      </c>
      <c r="AC13" s="87"/>
      <c r="AD13" s="87"/>
      <c r="AE13" s="91"/>
      <c r="AF13" s="436">
        <v>8.4870848708487087E-2</v>
      </c>
    </row>
    <row r="14" spans="1:32" x14ac:dyDescent="0.25">
      <c r="B14" s="63">
        <v>10</v>
      </c>
      <c r="C14" s="358">
        <v>46048</v>
      </c>
      <c r="D14" s="93">
        <v>259</v>
      </c>
      <c r="E14" s="93">
        <v>0</v>
      </c>
      <c r="F14" s="90">
        <f t="shared" si="1"/>
        <v>0</v>
      </c>
      <c r="G14" s="93">
        <v>259</v>
      </c>
      <c r="H14" s="93">
        <v>21</v>
      </c>
      <c r="I14" s="436">
        <v>8.461538461538462E-2</v>
      </c>
      <c r="J14" s="375" t="s">
        <v>274</v>
      </c>
      <c r="W14" s="358">
        <v>46051</v>
      </c>
      <c r="X14" s="91">
        <f t="shared" si="0"/>
        <v>8.8044503765443524E-2</v>
      </c>
      <c r="Y14" s="93">
        <v>293</v>
      </c>
      <c r="Z14" s="60"/>
      <c r="AA14" s="60"/>
      <c r="AB14" s="358">
        <v>46051</v>
      </c>
      <c r="AF14" s="436">
        <v>6.4625850340136057E-2</v>
      </c>
    </row>
    <row r="15" spans="1:32" x14ac:dyDescent="0.25">
      <c r="B15" s="63">
        <v>11</v>
      </c>
      <c r="C15" s="358">
        <v>46048</v>
      </c>
      <c r="D15" s="93">
        <v>243</v>
      </c>
      <c r="E15" s="93">
        <v>1</v>
      </c>
      <c r="F15" s="90">
        <f t="shared" si="1"/>
        <v>4.11522633744856E-3</v>
      </c>
      <c r="G15" s="93">
        <v>238</v>
      </c>
      <c r="H15" s="93">
        <v>18</v>
      </c>
      <c r="I15" s="436">
        <v>7.9497907949790794E-2</v>
      </c>
      <c r="J15" s="375" t="s">
        <v>274</v>
      </c>
      <c r="W15" s="358">
        <v>46055</v>
      </c>
      <c r="X15" s="91">
        <f t="shared" si="0"/>
        <v>8.8044503765443524E-2</v>
      </c>
      <c r="Y15" s="93">
        <v>244</v>
      </c>
      <c r="Z15" s="60"/>
      <c r="AA15" s="60"/>
      <c r="AB15" s="358">
        <v>46055</v>
      </c>
      <c r="AF15" s="436">
        <v>0.10612244897959183</v>
      </c>
    </row>
    <row r="16" spans="1:32" x14ac:dyDescent="0.25">
      <c r="B16" s="63">
        <v>12</v>
      </c>
      <c r="C16" s="358">
        <v>46051</v>
      </c>
      <c r="D16" s="85">
        <v>274</v>
      </c>
      <c r="E16" s="85">
        <v>3</v>
      </c>
      <c r="F16" s="90">
        <f t="shared" si="1"/>
        <v>1.0948905109489052E-2</v>
      </c>
      <c r="G16" s="85">
        <v>270</v>
      </c>
      <c r="H16" s="85">
        <v>22</v>
      </c>
      <c r="I16" s="436">
        <v>8.4870848708487087E-2</v>
      </c>
      <c r="J16" s="375" t="s">
        <v>274</v>
      </c>
      <c r="W16" s="358">
        <v>46055</v>
      </c>
      <c r="X16" s="91">
        <f t="shared" si="0"/>
        <v>8.8044503765443524E-2</v>
      </c>
      <c r="Y16" s="93">
        <v>254</v>
      </c>
      <c r="Z16" s="60"/>
      <c r="AA16" s="60"/>
      <c r="AB16" s="358">
        <v>46055</v>
      </c>
      <c r="AF16" s="436">
        <v>9.4117647058823528E-2</v>
      </c>
    </row>
    <row r="17" spans="2:32" x14ac:dyDescent="0.25">
      <c r="B17" s="63">
        <v>13</v>
      </c>
      <c r="C17" s="358">
        <v>46051</v>
      </c>
      <c r="D17" s="93">
        <v>292</v>
      </c>
      <c r="E17" s="93">
        <v>0</v>
      </c>
      <c r="F17" s="90">
        <f t="shared" si="1"/>
        <v>0</v>
      </c>
      <c r="G17" s="93">
        <v>293</v>
      </c>
      <c r="H17" s="93">
        <v>18</v>
      </c>
      <c r="I17" s="436">
        <v>6.4625850340136057E-2</v>
      </c>
      <c r="J17" s="375" t="s">
        <v>274</v>
      </c>
      <c r="W17" s="358">
        <v>46058</v>
      </c>
      <c r="X17" s="91">
        <f t="shared" si="0"/>
        <v>8.8044503765443524E-2</v>
      </c>
      <c r="Y17" s="85">
        <v>278</v>
      </c>
      <c r="Z17" s="85"/>
      <c r="AA17" s="85"/>
      <c r="AB17" s="358">
        <v>46058</v>
      </c>
      <c r="AC17" s="87"/>
      <c r="AD17" s="87"/>
      <c r="AE17" s="91"/>
      <c r="AF17" s="436">
        <v>3.2258064516129031E-2</v>
      </c>
    </row>
    <row r="18" spans="2:32" x14ac:dyDescent="0.25">
      <c r="B18" s="63">
        <v>14</v>
      </c>
      <c r="C18" s="358">
        <v>46055</v>
      </c>
      <c r="D18" s="93">
        <v>245</v>
      </c>
      <c r="E18" s="93">
        <v>1</v>
      </c>
      <c r="F18" s="90">
        <f t="shared" si="1"/>
        <v>4.0816326530612249E-3</v>
      </c>
      <c r="G18" s="93">
        <v>244</v>
      </c>
      <c r="H18" s="93">
        <v>25</v>
      </c>
      <c r="I18" s="436">
        <v>0.10612244897959183</v>
      </c>
      <c r="J18" s="375" t="s">
        <v>274</v>
      </c>
      <c r="W18" s="358">
        <v>46058</v>
      </c>
      <c r="X18" s="91">
        <f t="shared" si="0"/>
        <v>8.8044503765443524E-2</v>
      </c>
      <c r="Y18" s="93">
        <v>267</v>
      </c>
      <c r="Z18" s="60"/>
      <c r="AA18" s="60"/>
      <c r="AB18" s="358">
        <v>46058</v>
      </c>
      <c r="AF18" s="436">
        <v>2.9850746268656716E-2</v>
      </c>
    </row>
    <row r="19" spans="2:32" x14ac:dyDescent="0.25">
      <c r="B19" s="63">
        <v>15</v>
      </c>
      <c r="C19" s="358">
        <v>46055</v>
      </c>
      <c r="D19" s="93">
        <v>256</v>
      </c>
      <c r="E19" s="93">
        <v>2</v>
      </c>
      <c r="F19" s="90">
        <f t="shared" si="1"/>
        <v>7.8125E-3</v>
      </c>
      <c r="G19" s="93">
        <v>254</v>
      </c>
      <c r="H19" s="93">
        <v>23</v>
      </c>
      <c r="I19" s="436">
        <v>9.4117647058823528E-2</v>
      </c>
      <c r="J19" s="375" t="s">
        <v>274</v>
      </c>
      <c r="W19" s="358">
        <v>46062</v>
      </c>
      <c r="X19" s="91">
        <f t="shared" si="0"/>
        <v>8.8044503765443524E-2</v>
      </c>
      <c r="Y19" s="93">
        <v>252</v>
      </c>
      <c r="Z19" s="60"/>
      <c r="AA19" s="60"/>
      <c r="AB19" s="358">
        <v>46062</v>
      </c>
      <c r="AF19" s="436">
        <v>6.3241106719367585E-2</v>
      </c>
    </row>
    <row r="20" spans="2:32" x14ac:dyDescent="0.25">
      <c r="B20" s="63">
        <v>16</v>
      </c>
      <c r="C20" s="358">
        <v>46058</v>
      </c>
      <c r="D20" s="85">
        <v>269</v>
      </c>
      <c r="E20" s="85">
        <v>1</v>
      </c>
      <c r="F20" s="90">
        <f t="shared" si="1"/>
        <v>3.7174721189591076E-3</v>
      </c>
      <c r="G20" s="85">
        <v>278</v>
      </c>
      <c r="H20" s="85">
        <v>8</v>
      </c>
      <c r="I20" s="436">
        <v>3.2258064516129031E-2</v>
      </c>
      <c r="J20" s="375" t="s">
        <v>274</v>
      </c>
      <c r="W20" s="358">
        <v>46062</v>
      </c>
      <c r="X20" s="91">
        <f t="shared" si="0"/>
        <v>8.8044503765443524E-2</v>
      </c>
      <c r="Y20" s="93">
        <v>250</v>
      </c>
      <c r="Z20" s="60"/>
      <c r="AA20" s="60"/>
      <c r="AB20" s="358">
        <v>46062</v>
      </c>
      <c r="AF20" s="436">
        <v>5.5776892430278883E-2</v>
      </c>
    </row>
    <row r="21" spans="2:32" x14ac:dyDescent="0.25">
      <c r="B21" s="63">
        <v>17</v>
      </c>
      <c r="C21" s="358">
        <v>46058</v>
      </c>
      <c r="D21" s="93">
        <v>266</v>
      </c>
      <c r="E21" s="93">
        <v>1</v>
      </c>
      <c r="F21" s="90">
        <f t="shared" si="1"/>
        <v>3.7593984962406013E-3</v>
      </c>
      <c r="G21" s="93">
        <v>267</v>
      </c>
      <c r="H21" s="93">
        <v>7</v>
      </c>
      <c r="I21" s="436">
        <v>2.9850746268656716E-2</v>
      </c>
      <c r="J21" s="375" t="s">
        <v>274</v>
      </c>
      <c r="W21" s="358">
        <v>46065</v>
      </c>
      <c r="X21" s="91">
        <f t="shared" si="0"/>
        <v>8.8044503765443524E-2</v>
      </c>
      <c r="Y21" s="85">
        <v>495</v>
      </c>
      <c r="Z21" s="85"/>
      <c r="AA21" s="85"/>
      <c r="AB21" s="358">
        <v>46065</v>
      </c>
      <c r="AC21" s="87"/>
      <c r="AD21" s="87"/>
      <c r="AE21" s="91"/>
      <c r="AF21" s="436">
        <v>4.2338709677419352E-2</v>
      </c>
    </row>
    <row r="22" spans="2:32" x14ac:dyDescent="0.25">
      <c r="B22" s="63">
        <v>18</v>
      </c>
      <c r="C22" s="358">
        <v>46062</v>
      </c>
      <c r="D22" s="93">
        <v>253</v>
      </c>
      <c r="E22" s="93">
        <v>0</v>
      </c>
      <c r="F22" s="90">
        <f t="shared" si="1"/>
        <v>0</v>
      </c>
      <c r="G22" s="93">
        <v>252</v>
      </c>
      <c r="H22" s="93">
        <v>15</v>
      </c>
      <c r="I22" s="436">
        <v>6.3241106719367585E-2</v>
      </c>
      <c r="J22" s="375" t="s">
        <v>274</v>
      </c>
      <c r="W22" s="358">
        <v>46065</v>
      </c>
      <c r="X22" s="91">
        <f t="shared" si="0"/>
        <v>8.8044503765443524E-2</v>
      </c>
      <c r="Y22" s="93">
        <v>279</v>
      </c>
      <c r="Z22" s="60"/>
      <c r="AA22" s="60"/>
      <c r="AB22" s="358">
        <v>46065</v>
      </c>
      <c r="AF22" s="436">
        <v>3.5714285714285712E-2</v>
      </c>
    </row>
    <row r="23" spans="2:32" x14ac:dyDescent="0.25">
      <c r="B23" s="63">
        <v>19</v>
      </c>
      <c r="C23" s="358">
        <v>46062</v>
      </c>
      <c r="D23" s="93">
        <v>253</v>
      </c>
      <c r="E23" s="93">
        <v>1</v>
      </c>
      <c r="F23" s="90">
        <f t="shared" si="1"/>
        <v>3.952569169960474E-3</v>
      </c>
      <c r="G23" s="93">
        <v>250</v>
      </c>
      <c r="H23" s="93">
        <v>13</v>
      </c>
      <c r="I23" s="436">
        <v>5.5776892430278883E-2</v>
      </c>
      <c r="J23" s="375" t="s">
        <v>274</v>
      </c>
      <c r="W23" s="358">
        <v>46086</v>
      </c>
      <c r="X23" s="91">
        <f t="shared" si="0"/>
        <v>8.8044503765443524E-2</v>
      </c>
      <c r="Y23" s="93">
        <v>251</v>
      </c>
      <c r="Z23" s="60"/>
      <c r="AA23" s="60"/>
      <c r="AB23" s="358">
        <v>46086</v>
      </c>
      <c r="AF23" s="436">
        <v>0.10714285714285714</v>
      </c>
    </row>
    <row r="24" spans="2:32" x14ac:dyDescent="0.25">
      <c r="B24" s="63">
        <v>20</v>
      </c>
      <c r="C24" s="358">
        <v>46065</v>
      </c>
      <c r="D24" s="85">
        <v>502</v>
      </c>
      <c r="E24" s="85">
        <v>7</v>
      </c>
      <c r="F24" s="90">
        <f t="shared" si="1"/>
        <v>1.3944223107569721E-2</v>
      </c>
      <c r="G24" s="85">
        <v>495</v>
      </c>
      <c r="H24" s="85">
        <v>20</v>
      </c>
      <c r="I24" s="436">
        <v>4.2338709677419352E-2</v>
      </c>
      <c r="J24" s="375" t="s">
        <v>274</v>
      </c>
      <c r="W24" s="358">
        <v>46086</v>
      </c>
      <c r="X24" s="91">
        <f t="shared" si="0"/>
        <v>8.8044503765443524E-2</v>
      </c>
      <c r="Y24" s="93">
        <v>253</v>
      </c>
      <c r="Z24" s="60"/>
      <c r="AA24" s="60"/>
      <c r="AB24" s="358">
        <v>46086</v>
      </c>
      <c r="AF24" s="436">
        <v>7.874015748031496E-2</v>
      </c>
    </row>
    <row r="25" spans="2:32" x14ac:dyDescent="0.25">
      <c r="B25" s="63">
        <v>21</v>
      </c>
      <c r="C25" s="358">
        <v>46065</v>
      </c>
      <c r="D25" s="93">
        <v>509</v>
      </c>
      <c r="E25" s="93">
        <v>230</v>
      </c>
      <c r="F25" s="90">
        <f t="shared" si="1"/>
        <v>0.45186640471512768</v>
      </c>
      <c r="G25" s="93">
        <v>279</v>
      </c>
      <c r="H25" s="93">
        <v>9</v>
      </c>
      <c r="I25" s="436">
        <v>3.5714285714285712E-2</v>
      </c>
      <c r="J25" s="375" t="s">
        <v>274</v>
      </c>
      <c r="W25" s="358">
        <v>46091</v>
      </c>
      <c r="X25" s="91">
        <f t="shared" si="0"/>
        <v>8.8044503765443524E-2</v>
      </c>
      <c r="Y25" s="85">
        <v>264</v>
      </c>
      <c r="Z25" s="85"/>
      <c r="AA25" s="85"/>
      <c r="AB25" s="358">
        <v>46091</v>
      </c>
      <c r="AC25" s="87"/>
      <c r="AD25" s="87"/>
      <c r="AE25" s="91"/>
      <c r="AF25" s="436">
        <v>0.10566037735849057</v>
      </c>
    </row>
    <row r="26" spans="2:32" x14ac:dyDescent="0.25">
      <c r="B26" s="63">
        <v>22</v>
      </c>
      <c r="C26" s="358">
        <v>46086</v>
      </c>
      <c r="D26" s="93">
        <v>252</v>
      </c>
      <c r="E26" s="93">
        <v>2</v>
      </c>
      <c r="F26" s="90">
        <f t="shared" si="1"/>
        <v>7.9365079365079361E-3</v>
      </c>
      <c r="G26" s="93">
        <v>251</v>
      </c>
      <c r="H26" s="93">
        <v>26</v>
      </c>
      <c r="I26" s="436">
        <v>0.10714285714285714</v>
      </c>
      <c r="J26" s="375" t="s">
        <v>274</v>
      </c>
      <c r="W26" s="358">
        <v>46091</v>
      </c>
      <c r="X26" s="91">
        <f t="shared" si="0"/>
        <v>8.8044503765443524E-2</v>
      </c>
      <c r="Y26" s="93">
        <v>251</v>
      </c>
      <c r="Z26" s="60"/>
      <c r="AA26" s="60"/>
      <c r="AB26" s="358">
        <v>46091</v>
      </c>
      <c r="AF26" s="436">
        <v>0.10714285714285714</v>
      </c>
    </row>
    <row r="27" spans="2:32" x14ac:dyDescent="0.25">
      <c r="B27" s="63">
        <v>23</v>
      </c>
      <c r="C27" s="358">
        <v>46086</v>
      </c>
      <c r="D27" s="93">
        <v>253</v>
      </c>
      <c r="E27" s="93">
        <v>0</v>
      </c>
      <c r="F27" s="90">
        <f t="shared" si="1"/>
        <v>0</v>
      </c>
      <c r="G27" s="93">
        <v>253</v>
      </c>
      <c r="H27" s="93">
        <v>19</v>
      </c>
      <c r="I27" s="436">
        <v>7.874015748031496E-2</v>
      </c>
      <c r="J27" s="375" t="s">
        <v>274</v>
      </c>
      <c r="W27" s="358">
        <v>46094</v>
      </c>
      <c r="X27" s="91">
        <f t="shared" si="0"/>
        <v>8.8044503765443524E-2</v>
      </c>
      <c r="Y27" s="93">
        <v>260</v>
      </c>
      <c r="Z27" s="60"/>
      <c r="AA27" s="60"/>
      <c r="AB27" s="358">
        <v>46094</v>
      </c>
      <c r="AF27" s="436">
        <v>6.8965517241379309E-2</v>
      </c>
    </row>
    <row r="28" spans="2:32" x14ac:dyDescent="0.25">
      <c r="B28" s="63">
        <v>24</v>
      </c>
      <c r="C28" s="358">
        <v>46091</v>
      </c>
      <c r="D28" s="85">
        <v>266</v>
      </c>
      <c r="E28" s="85">
        <v>0</v>
      </c>
      <c r="F28" s="90">
        <f t="shared" si="1"/>
        <v>0</v>
      </c>
      <c r="G28" s="85">
        <v>264</v>
      </c>
      <c r="H28" s="85">
        <v>27</v>
      </c>
      <c r="I28" s="436">
        <v>0.10566037735849057</v>
      </c>
      <c r="J28" s="375" t="s">
        <v>274</v>
      </c>
      <c r="W28" s="358">
        <v>46094</v>
      </c>
      <c r="X28" s="91">
        <f t="shared" si="0"/>
        <v>8.8044503765443524E-2</v>
      </c>
      <c r="Y28" s="93">
        <v>237</v>
      </c>
      <c r="Z28" s="60"/>
      <c r="AA28" s="60"/>
      <c r="AB28" s="358">
        <v>46094</v>
      </c>
      <c r="AF28" s="436">
        <v>0.15126050420168066</v>
      </c>
    </row>
    <row r="29" spans="2:32" x14ac:dyDescent="0.25">
      <c r="B29" s="63">
        <v>25</v>
      </c>
      <c r="C29" s="358">
        <v>46091</v>
      </c>
      <c r="D29" s="93">
        <v>252</v>
      </c>
      <c r="E29" s="93">
        <v>1</v>
      </c>
      <c r="F29" s="90">
        <f t="shared" si="1"/>
        <v>3.968253968253968E-3</v>
      </c>
      <c r="G29" s="93">
        <v>251</v>
      </c>
      <c r="H29" s="93">
        <v>26</v>
      </c>
      <c r="I29" s="436">
        <v>0.10714285714285714</v>
      </c>
      <c r="J29" s="375" t="s">
        <v>274</v>
      </c>
      <c r="W29" s="358">
        <v>46098</v>
      </c>
      <c r="X29" s="91">
        <f t="shared" si="0"/>
        <v>8.8044503765443524E-2</v>
      </c>
      <c r="Y29" s="85">
        <v>260</v>
      </c>
      <c r="Z29" s="85"/>
      <c r="AA29" s="85"/>
      <c r="AB29" s="358">
        <v>46098</v>
      </c>
      <c r="AC29" s="87"/>
      <c r="AD29" s="87"/>
      <c r="AE29" s="91"/>
      <c r="AF29" s="436">
        <v>0.21455938697318008</v>
      </c>
    </row>
    <row r="30" spans="2:32" x14ac:dyDescent="0.25">
      <c r="B30" s="63">
        <v>26</v>
      </c>
      <c r="C30" s="358">
        <v>46094</v>
      </c>
      <c r="D30" s="93">
        <v>261</v>
      </c>
      <c r="E30" s="93">
        <v>1</v>
      </c>
      <c r="F30" s="90">
        <f t="shared" si="1"/>
        <v>3.8314176245210726E-3</v>
      </c>
      <c r="G30" s="93">
        <v>260</v>
      </c>
      <c r="H30" s="93">
        <v>17</v>
      </c>
      <c r="I30" s="436">
        <v>6.8965517241379309E-2</v>
      </c>
      <c r="J30" s="375" t="s">
        <v>274</v>
      </c>
      <c r="W30" s="358">
        <v>46098</v>
      </c>
      <c r="X30" s="91">
        <f t="shared" si="0"/>
        <v>8.8044503765443524E-2</v>
      </c>
      <c r="Y30" s="93">
        <v>248</v>
      </c>
      <c r="Z30" s="60"/>
      <c r="AA30" s="60"/>
      <c r="AB30" s="358">
        <v>46098</v>
      </c>
      <c r="AF30" s="436">
        <v>0.12449799196787148</v>
      </c>
    </row>
    <row r="31" spans="2:32" x14ac:dyDescent="0.25">
      <c r="B31" s="63">
        <v>27</v>
      </c>
      <c r="C31" s="358">
        <v>46094</v>
      </c>
      <c r="D31" s="93">
        <v>237</v>
      </c>
      <c r="E31" s="93">
        <v>0</v>
      </c>
      <c r="F31" s="90">
        <f t="shared" si="1"/>
        <v>0</v>
      </c>
      <c r="G31" s="93">
        <v>237</v>
      </c>
      <c r="H31" s="93">
        <v>35</v>
      </c>
      <c r="I31" s="436">
        <v>0.15126050420168066</v>
      </c>
      <c r="J31" s="375" t="s">
        <v>274</v>
      </c>
      <c r="W31" s="358">
        <v>46101</v>
      </c>
      <c r="X31" s="91">
        <f t="shared" si="0"/>
        <v>8.8044503765443524E-2</v>
      </c>
      <c r="Y31" s="93">
        <v>249</v>
      </c>
      <c r="Z31" s="60"/>
      <c r="AA31" s="60"/>
      <c r="AB31" s="358">
        <v>46101</v>
      </c>
      <c r="AF31" s="436">
        <v>0.124</v>
      </c>
    </row>
    <row r="32" spans="2:32" x14ac:dyDescent="0.25">
      <c r="B32" s="63">
        <v>28</v>
      </c>
      <c r="C32" s="358">
        <v>46098</v>
      </c>
      <c r="D32" s="85">
        <v>261</v>
      </c>
      <c r="E32" s="85">
        <v>1</v>
      </c>
      <c r="F32" s="90">
        <f t="shared" si="1"/>
        <v>3.8314176245210726E-3</v>
      </c>
      <c r="G32" s="85">
        <v>260</v>
      </c>
      <c r="H32" s="85">
        <v>55</v>
      </c>
      <c r="I32" s="436">
        <v>0.21455938697318008</v>
      </c>
      <c r="J32" s="375" t="s">
        <v>274</v>
      </c>
      <c r="W32" s="358">
        <v>46101</v>
      </c>
      <c r="X32" s="91">
        <f t="shared" si="0"/>
        <v>8.8044503765443524E-2</v>
      </c>
      <c r="Y32" s="93">
        <v>239</v>
      </c>
      <c r="Z32" s="60"/>
      <c r="AA32" s="60"/>
      <c r="AB32" s="358">
        <v>46101</v>
      </c>
      <c r="AF32" s="436">
        <v>0.11666666666666667</v>
      </c>
    </row>
    <row r="33" spans="2:32" x14ac:dyDescent="0.25">
      <c r="B33" s="63">
        <v>29</v>
      </c>
      <c r="C33" s="358">
        <v>46098</v>
      </c>
      <c r="D33" s="93">
        <v>251</v>
      </c>
      <c r="E33" s="93">
        <v>0</v>
      </c>
      <c r="F33" s="90">
        <f t="shared" si="1"/>
        <v>0</v>
      </c>
      <c r="G33" s="93">
        <v>248</v>
      </c>
      <c r="H33" s="93">
        <v>30</v>
      </c>
      <c r="I33" s="436">
        <v>0.12449799196787148</v>
      </c>
      <c r="J33" s="375" t="s">
        <v>274</v>
      </c>
      <c r="W33" s="358">
        <v>46108</v>
      </c>
      <c r="X33" s="91">
        <f t="shared" si="0"/>
        <v>8.8044503765443524E-2</v>
      </c>
      <c r="Y33" s="85">
        <v>252</v>
      </c>
      <c r="Z33" s="85"/>
      <c r="AA33" s="85"/>
      <c r="AB33" s="358">
        <v>46108</v>
      </c>
      <c r="AC33" s="87"/>
      <c r="AD33" s="87"/>
      <c r="AE33" s="91"/>
      <c r="AF33" s="436">
        <v>0.11462450592885376</v>
      </c>
    </row>
    <row r="34" spans="2:32" x14ac:dyDescent="0.25">
      <c r="B34" s="63">
        <v>30</v>
      </c>
      <c r="C34" s="358">
        <v>46101</v>
      </c>
      <c r="D34" s="93">
        <v>250</v>
      </c>
      <c r="E34" s="93">
        <v>1</v>
      </c>
      <c r="F34" s="90">
        <f t="shared" si="1"/>
        <v>4.0000000000000001E-3</v>
      </c>
      <c r="G34" s="93">
        <v>249</v>
      </c>
      <c r="H34" s="93">
        <v>30</v>
      </c>
      <c r="I34" s="436">
        <v>0.124</v>
      </c>
      <c r="J34" s="375" t="s">
        <v>274</v>
      </c>
      <c r="W34" s="358">
        <v>46108</v>
      </c>
      <c r="X34" s="91">
        <f t="shared" si="0"/>
        <v>8.8044503765443524E-2</v>
      </c>
      <c r="Y34" s="93">
        <v>250</v>
      </c>
      <c r="Z34" s="60"/>
      <c r="AA34" s="60"/>
      <c r="AB34" s="358">
        <v>46108</v>
      </c>
      <c r="AF34" s="436">
        <v>0.10358565737051793</v>
      </c>
    </row>
    <row r="35" spans="2:32" x14ac:dyDescent="0.25">
      <c r="B35" s="63">
        <v>31</v>
      </c>
      <c r="C35" s="358">
        <v>46101</v>
      </c>
      <c r="D35" s="93">
        <v>247</v>
      </c>
      <c r="E35" s="93">
        <v>6</v>
      </c>
      <c r="F35" s="90">
        <f t="shared" si="1"/>
        <v>2.4291497975708502E-2</v>
      </c>
      <c r="G35" s="93">
        <v>239</v>
      </c>
      <c r="H35" s="93">
        <v>27</v>
      </c>
      <c r="I35" s="436">
        <v>0.11666666666666667</v>
      </c>
      <c r="J35" s="375" t="s">
        <v>274</v>
      </c>
      <c r="W35" s="358">
        <v>46112</v>
      </c>
      <c r="X35" s="91">
        <f t="shared" si="0"/>
        <v>8.8044503765443524E-2</v>
      </c>
      <c r="Y35" s="93">
        <v>245</v>
      </c>
      <c r="Z35" s="60"/>
      <c r="AA35" s="60"/>
      <c r="AB35" s="358">
        <v>46112</v>
      </c>
      <c r="AF35" s="436">
        <v>0.13821138211382114</v>
      </c>
    </row>
    <row r="36" spans="2:32" x14ac:dyDescent="0.25">
      <c r="B36" s="63">
        <v>32</v>
      </c>
      <c r="C36" s="358">
        <v>46108</v>
      </c>
      <c r="D36" s="85">
        <v>256</v>
      </c>
      <c r="E36" s="85">
        <v>0</v>
      </c>
      <c r="F36" s="90">
        <f t="shared" si="1"/>
        <v>0</v>
      </c>
      <c r="G36" s="85">
        <v>252</v>
      </c>
      <c r="H36" s="85">
        <v>28</v>
      </c>
      <c r="I36" s="436">
        <v>0.11462450592885376</v>
      </c>
      <c r="J36" s="375" t="s">
        <v>274</v>
      </c>
      <c r="W36" s="358">
        <v>46112</v>
      </c>
      <c r="X36" s="91">
        <f t="shared" si="0"/>
        <v>8.8044503765443524E-2</v>
      </c>
      <c r="Y36" s="93">
        <v>257</v>
      </c>
      <c r="Z36" s="60"/>
      <c r="AA36" s="60"/>
      <c r="AB36" s="358">
        <v>46112</v>
      </c>
      <c r="AF36" s="436">
        <v>0.11627906976744186</v>
      </c>
    </row>
    <row r="37" spans="2:32" x14ac:dyDescent="0.25">
      <c r="B37" s="63">
        <v>33</v>
      </c>
      <c r="C37" s="358">
        <v>46108</v>
      </c>
      <c r="D37" s="93">
        <v>250</v>
      </c>
      <c r="E37" s="93">
        <v>0</v>
      </c>
      <c r="F37" s="90">
        <f t="shared" si="1"/>
        <v>0</v>
      </c>
      <c r="G37" s="93">
        <v>250</v>
      </c>
      <c r="H37" s="93">
        <v>25</v>
      </c>
      <c r="I37" s="436">
        <v>0.10358565737051793</v>
      </c>
      <c r="J37" s="375" t="s">
        <v>274</v>
      </c>
      <c r="W37" s="358">
        <v>46115</v>
      </c>
      <c r="X37" s="91">
        <f t="shared" si="0"/>
        <v>8.8044503765443524E-2</v>
      </c>
      <c r="Y37" s="85">
        <v>249</v>
      </c>
      <c r="Z37" s="85"/>
      <c r="AA37" s="85"/>
      <c r="AB37" s="358">
        <v>46115</v>
      </c>
      <c r="AC37" s="87"/>
      <c r="AD37" s="87"/>
      <c r="AE37" s="91"/>
      <c r="AF37" s="436">
        <v>0.108</v>
      </c>
    </row>
    <row r="38" spans="2:32" x14ac:dyDescent="0.25">
      <c r="B38" s="63">
        <v>34</v>
      </c>
      <c r="C38" s="358">
        <v>46112</v>
      </c>
      <c r="D38" s="93">
        <v>244</v>
      </c>
      <c r="E38" s="93">
        <v>1</v>
      </c>
      <c r="F38" s="90">
        <f t="shared" si="1"/>
        <v>4.0983606557377051E-3</v>
      </c>
      <c r="G38" s="93">
        <v>245</v>
      </c>
      <c r="H38" s="93">
        <v>33</v>
      </c>
      <c r="I38" s="436">
        <v>0.13821138211382114</v>
      </c>
      <c r="J38" s="375" t="s">
        <v>274</v>
      </c>
      <c r="W38" s="358">
        <v>46115</v>
      </c>
      <c r="X38" s="91">
        <f t="shared" si="0"/>
        <v>8.8044503765443524E-2</v>
      </c>
      <c r="Y38" s="93">
        <v>251</v>
      </c>
      <c r="Z38" s="60"/>
      <c r="AA38" s="60"/>
      <c r="AB38" s="358">
        <v>46115</v>
      </c>
      <c r="AF38" s="436">
        <v>0.12698412698412698</v>
      </c>
    </row>
    <row r="39" spans="2:32" x14ac:dyDescent="0.25">
      <c r="B39" s="63">
        <v>35</v>
      </c>
      <c r="C39" s="358">
        <v>46112</v>
      </c>
      <c r="D39" s="93">
        <v>257</v>
      </c>
      <c r="E39" s="93">
        <v>0</v>
      </c>
      <c r="F39" s="90">
        <f t="shared" si="1"/>
        <v>0</v>
      </c>
      <c r="G39" s="93">
        <v>257</v>
      </c>
      <c r="H39" s="93">
        <v>29</v>
      </c>
      <c r="I39" s="436">
        <v>0.11627906976744186</v>
      </c>
      <c r="J39" s="375" t="s">
        <v>274</v>
      </c>
      <c r="W39" s="358">
        <v>46119</v>
      </c>
      <c r="X39" s="91">
        <f t="shared" si="0"/>
        <v>8.8044503765443524E-2</v>
      </c>
      <c r="Y39" s="93">
        <v>478</v>
      </c>
      <c r="Z39" s="60"/>
      <c r="AA39" s="60"/>
      <c r="AB39" s="358">
        <v>46119</v>
      </c>
      <c r="AF39" s="436">
        <v>0.12943632567849686</v>
      </c>
    </row>
    <row r="40" spans="2:32" x14ac:dyDescent="0.25">
      <c r="B40" s="63">
        <v>36</v>
      </c>
      <c r="C40" s="358">
        <v>46115</v>
      </c>
      <c r="D40" s="85">
        <v>250</v>
      </c>
      <c r="E40" s="85">
        <v>1</v>
      </c>
      <c r="F40" s="90">
        <f t="shared" si="1"/>
        <v>4.0000000000000001E-3</v>
      </c>
      <c r="G40" s="85">
        <v>249</v>
      </c>
      <c r="H40" s="85">
        <v>26</v>
      </c>
      <c r="I40" s="436">
        <v>0.108</v>
      </c>
      <c r="J40" s="375" t="s">
        <v>274</v>
      </c>
      <c r="W40" s="358">
        <v>46133</v>
      </c>
      <c r="X40" s="91">
        <f t="shared" si="0"/>
        <v>8.8044503765443524E-2</v>
      </c>
      <c r="Y40" s="93">
        <v>487</v>
      </c>
      <c r="Z40" s="60"/>
      <c r="AA40" s="60"/>
      <c r="AB40" s="358">
        <v>46133</v>
      </c>
      <c r="AF40" s="436">
        <v>3.0737704918032786E-2</v>
      </c>
    </row>
    <row r="41" spans="2:32" x14ac:dyDescent="0.25">
      <c r="B41" s="63">
        <v>37</v>
      </c>
      <c r="C41" s="358">
        <v>46115</v>
      </c>
      <c r="D41" s="93">
        <v>252</v>
      </c>
      <c r="E41" s="93">
        <v>1</v>
      </c>
      <c r="F41" s="90">
        <f t="shared" si="1"/>
        <v>3.968253968253968E-3</v>
      </c>
      <c r="G41" s="93">
        <v>251</v>
      </c>
      <c r="H41" s="93">
        <v>31</v>
      </c>
      <c r="I41" s="436">
        <v>0.12698412698412698</v>
      </c>
      <c r="J41" s="375" t="s">
        <v>274</v>
      </c>
      <c r="W41" s="358">
        <v>46169</v>
      </c>
      <c r="X41" s="91">
        <f t="shared" si="0"/>
        <v>8.8044503765443524E-2</v>
      </c>
      <c r="Y41" s="85">
        <v>328</v>
      </c>
      <c r="Z41" s="85"/>
      <c r="AA41" s="85"/>
      <c r="AB41" s="358">
        <v>46169</v>
      </c>
      <c r="AC41" s="87"/>
      <c r="AD41" s="87"/>
      <c r="AE41" s="91"/>
      <c r="AF41" s="436">
        <v>0.18844984802431611</v>
      </c>
    </row>
    <row r="42" spans="2:32" x14ac:dyDescent="0.25">
      <c r="B42" s="63">
        <v>38</v>
      </c>
      <c r="C42" s="358">
        <v>46119</v>
      </c>
      <c r="D42" s="93">
        <v>504</v>
      </c>
      <c r="E42" s="93">
        <v>30</v>
      </c>
      <c r="F42" s="90">
        <f t="shared" si="1"/>
        <v>5.9523809523809521E-2</v>
      </c>
      <c r="G42" s="93">
        <v>478</v>
      </c>
      <c r="H42" s="93">
        <v>61</v>
      </c>
      <c r="I42" s="436">
        <v>0.12943632567849686</v>
      </c>
      <c r="J42" s="375" t="s">
        <v>274</v>
      </c>
      <c r="W42" s="358">
        <v>46169</v>
      </c>
      <c r="X42" s="91">
        <f t="shared" si="0"/>
        <v>8.8044503765443524E-2</v>
      </c>
      <c r="Y42" s="93">
        <v>244</v>
      </c>
      <c r="Z42" s="60"/>
      <c r="AA42" s="60"/>
      <c r="AB42" s="358">
        <v>46169</v>
      </c>
      <c r="AF42" s="436">
        <v>0.15102040816326531</v>
      </c>
    </row>
    <row r="43" spans="2:32" x14ac:dyDescent="0.25">
      <c r="B43" s="63">
        <v>39</v>
      </c>
      <c r="C43" s="358">
        <v>46133</v>
      </c>
      <c r="D43" s="93">
        <v>495</v>
      </c>
      <c r="E43" s="93">
        <v>19</v>
      </c>
      <c r="F43" s="90">
        <f t="shared" si="1"/>
        <v>3.8383838383838381E-2</v>
      </c>
      <c r="G43" s="93">
        <v>487</v>
      </c>
      <c r="H43" s="93">
        <v>14</v>
      </c>
      <c r="I43" s="436">
        <v>3.0737704918032786E-2</v>
      </c>
      <c r="J43" s="375" t="s">
        <v>283</v>
      </c>
      <c r="W43" s="358">
        <v>46177</v>
      </c>
      <c r="X43" s="91">
        <f t="shared" si="0"/>
        <v>8.8044503765443524E-2</v>
      </c>
      <c r="Y43" s="93">
        <v>215</v>
      </c>
      <c r="Z43" s="60"/>
      <c r="AA43" s="60"/>
      <c r="AB43" s="358">
        <v>46177</v>
      </c>
      <c r="AF43" s="436">
        <v>6.0185185185185182E-2</v>
      </c>
    </row>
    <row r="44" spans="2:32" x14ac:dyDescent="0.25">
      <c r="B44" s="63">
        <v>40</v>
      </c>
      <c r="C44" s="358">
        <v>46169</v>
      </c>
      <c r="D44" s="85">
        <v>328</v>
      </c>
      <c r="E44" s="85">
        <v>5</v>
      </c>
      <c r="F44" s="90">
        <f t="shared" si="1"/>
        <v>1.524390243902439E-2</v>
      </c>
      <c r="G44" s="85">
        <v>328</v>
      </c>
      <c r="H44" s="85">
        <v>61</v>
      </c>
      <c r="I44" s="436">
        <v>0.18844984802431611</v>
      </c>
      <c r="J44" s="375" t="s">
        <v>283</v>
      </c>
      <c r="W44" s="358">
        <v>46177</v>
      </c>
      <c r="X44" s="91">
        <f t="shared" si="0"/>
        <v>8.8044503765443524E-2</v>
      </c>
      <c r="Y44" s="93">
        <v>226</v>
      </c>
      <c r="Z44" s="60"/>
      <c r="AA44" s="60"/>
      <c r="AB44" s="358">
        <v>46177</v>
      </c>
      <c r="AF44" s="436">
        <v>7.4889867841409691E-2</v>
      </c>
    </row>
    <row r="45" spans="2:32" x14ac:dyDescent="0.25">
      <c r="B45" s="63">
        <v>41</v>
      </c>
      <c r="C45" s="358">
        <v>46169</v>
      </c>
      <c r="D45" s="93">
        <v>278</v>
      </c>
      <c r="E45" s="93">
        <v>9</v>
      </c>
      <c r="F45" s="90">
        <f t="shared" si="1"/>
        <v>3.237410071942446E-2</v>
      </c>
      <c r="G45" s="93">
        <v>244</v>
      </c>
      <c r="H45" s="93">
        <v>36</v>
      </c>
      <c r="I45" s="436">
        <v>0.15102040816326531</v>
      </c>
      <c r="J45" s="375" t="s">
        <v>283</v>
      </c>
      <c r="W45" s="92"/>
      <c r="X45" s="91">
        <f t="shared" si="0"/>
        <v>8.8044503765443524E-2</v>
      </c>
      <c r="Y45" s="87"/>
      <c r="Z45" s="85"/>
      <c r="AA45" s="85"/>
      <c r="AB45" s="92"/>
      <c r="AC45" s="87"/>
      <c r="AD45" s="87"/>
      <c r="AE45" s="91"/>
      <c r="AF45" s="91"/>
    </row>
    <row r="46" spans="2:32" x14ac:dyDescent="0.25">
      <c r="B46" s="63">
        <v>42</v>
      </c>
      <c r="C46" s="358">
        <v>46177</v>
      </c>
      <c r="D46" s="93">
        <v>255</v>
      </c>
      <c r="E46" s="93">
        <v>40</v>
      </c>
      <c r="F46" s="90">
        <f t="shared" si="1"/>
        <v>0.15686274509803921</v>
      </c>
      <c r="G46" s="93">
        <v>215</v>
      </c>
      <c r="H46" s="93">
        <v>12</v>
      </c>
      <c r="I46" s="436">
        <v>6.0185185185185182E-2</v>
      </c>
      <c r="J46" s="375" t="s">
        <v>283</v>
      </c>
      <c r="W46" s="62"/>
      <c r="X46" s="91">
        <f t="shared" si="0"/>
        <v>8.8044503765443524E-2</v>
      </c>
      <c r="Z46" s="60"/>
      <c r="AA46" s="60"/>
      <c r="AB46" s="62"/>
    </row>
    <row r="47" spans="2:32" x14ac:dyDescent="0.25">
      <c r="B47" s="63">
        <v>43</v>
      </c>
      <c r="C47" s="358">
        <v>46177</v>
      </c>
      <c r="D47" s="93">
        <v>248</v>
      </c>
      <c r="E47" s="93">
        <v>19</v>
      </c>
      <c r="F47" s="90">
        <f t="shared" si="1"/>
        <v>7.6612903225806453E-2</v>
      </c>
      <c r="G47" s="93">
        <v>226</v>
      </c>
      <c r="H47" s="93">
        <v>16</v>
      </c>
      <c r="I47" s="436">
        <v>7.4889867841409691E-2</v>
      </c>
      <c r="J47" s="375" t="s">
        <v>283</v>
      </c>
      <c r="W47" s="62"/>
      <c r="X47" s="91">
        <f t="shared" si="0"/>
        <v>8.8044503765443524E-2</v>
      </c>
      <c r="Z47" s="60"/>
      <c r="AA47" s="60"/>
      <c r="AB47" s="60"/>
    </row>
    <row r="48" spans="2:32" x14ac:dyDescent="0.25">
      <c r="B48" s="63">
        <v>44</v>
      </c>
      <c r="C48" s="95"/>
      <c r="D48" s="95"/>
      <c r="E48" s="85"/>
      <c r="F48" s="90" t="e">
        <f t="shared" si="1"/>
        <v>#DIV/0!</v>
      </c>
      <c r="G48" s="89"/>
      <c r="H48" s="87"/>
      <c r="I48" s="90"/>
      <c r="W48" s="62"/>
      <c r="X48" s="91">
        <f t="shared" si="0"/>
        <v>8.8044503765443524E-2</v>
      </c>
      <c r="Z48" s="60"/>
      <c r="AA48" s="60"/>
      <c r="AB48" s="60"/>
    </row>
    <row r="49" spans="2:32" x14ac:dyDescent="0.25">
      <c r="B49" s="63">
        <v>45</v>
      </c>
      <c r="C49" s="88"/>
      <c r="D49" s="88"/>
      <c r="E49" s="93"/>
      <c r="F49" s="90" t="e">
        <f t="shared" si="1"/>
        <v>#DIV/0!</v>
      </c>
      <c r="G49" s="94"/>
      <c r="H49" s="93"/>
      <c r="I49" s="90"/>
      <c r="W49" s="92"/>
      <c r="X49" s="91">
        <f t="shared" si="0"/>
        <v>8.8044503765443524E-2</v>
      </c>
      <c r="Y49" s="87"/>
      <c r="Z49" s="85"/>
      <c r="AA49" s="85"/>
      <c r="AB49" s="92"/>
      <c r="AC49" s="87"/>
      <c r="AD49" s="87"/>
      <c r="AE49" s="91"/>
      <c r="AF49" s="91"/>
    </row>
    <row r="50" spans="2:32" x14ac:dyDescent="0.25">
      <c r="B50" s="63">
        <v>46</v>
      </c>
      <c r="C50" s="88"/>
      <c r="D50" s="88"/>
      <c r="E50" s="93"/>
      <c r="F50" s="90" t="e">
        <f t="shared" si="1"/>
        <v>#DIV/0!</v>
      </c>
      <c r="G50" s="94"/>
      <c r="H50" s="93"/>
      <c r="I50" s="90"/>
      <c r="W50" s="62"/>
      <c r="X50" s="91">
        <f t="shared" si="0"/>
        <v>8.8044503765443524E-2</v>
      </c>
      <c r="Z50" s="60"/>
      <c r="AA50" s="60"/>
      <c r="AB50" s="62"/>
    </row>
    <row r="51" spans="2:32" x14ac:dyDescent="0.25">
      <c r="B51" s="63">
        <v>47</v>
      </c>
      <c r="C51" s="88"/>
      <c r="D51" s="88"/>
      <c r="E51" s="93"/>
      <c r="F51" s="90" t="e">
        <f t="shared" si="1"/>
        <v>#DIV/0!</v>
      </c>
      <c r="G51" s="94"/>
      <c r="H51" s="93"/>
      <c r="I51" s="90"/>
      <c r="W51" s="62"/>
      <c r="X51" s="91">
        <f t="shared" si="0"/>
        <v>8.8044503765443524E-2</v>
      </c>
      <c r="Z51" s="60"/>
      <c r="AA51" s="60"/>
      <c r="AB51" s="60"/>
    </row>
    <row r="52" spans="2:32" x14ac:dyDescent="0.25">
      <c r="B52" s="63">
        <v>48</v>
      </c>
      <c r="C52" s="95"/>
      <c r="D52" s="95"/>
      <c r="E52" s="85"/>
      <c r="F52" s="90" t="e">
        <f t="shared" si="1"/>
        <v>#DIV/0!</v>
      </c>
      <c r="G52" s="89"/>
      <c r="H52" s="87"/>
      <c r="I52" s="90"/>
      <c r="W52" s="62"/>
      <c r="X52" s="91">
        <f t="shared" si="0"/>
        <v>8.8044503765443524E-2</v>
      </c>
      <c r="Z52" s="60"/>
      <c r="AA52" s="60"/>
      <c r="AB52" s="60"/>
    </row>
    <row r="53" spans="2:32" x14ac:dyDescent="0.25">
      <c r="B53" s="63">
        <v>49</v>
      </c>
      <c r="C53" s="88"/>
      <c r="D53" s="88"/>
      <c r="E53" s="93"/>
      <c r="F53" s="90" t="e">
        <f t="shared" si="1"/>
        <v>#DIV/0!</v>
      </c>
      <c r="G53" s="94"/>
      <c r="H53" s="93"/>
      <c r="I53" s="90"/>
      <c r="W53" s="92"/>
      <c r="X53" s="91">
        <f t="shared" si="0"/>
        <v>8.8044503765443524E-2</v>
      </c>
      <c r="Y53" s="87"/>
      <c r="Z53" s="85"/>
      <c r="AA53" s="85"/>
      <c r="AB53" s="92"/>
      <c r="AC53" s="87"/>
      <c r="AD53" s="87"/>
      <c r="AE53" s="91"/>
      <c r="AF53" s="91"/>
    </row>
    <row r="54" spans="2:32" x14ac:dyDescent="0.25">
      <c r="B54" s="63">
        <v>50</v>
      </c>
      <c r="C54" s="88"/>
      <c r="D54" s="88"/>
      <c r="E54" s="93"/>
      <c r="F54" s="90" t="e">
        <f t="shared" si="1"/>
        <v>#DIV/0!</v>
      </c>
      <c r="G54" s="94"/>
      <c r="H54" s="93"/>
      <c r="I54" s="90"/>
      <c r="W54" s="62"/>
      <c r="X54" s="61"/>
      <c r="Z54" s="60"/>
      <c r="AA54" s="60"/>
      <c r="AB54" s="62"/>
    </row>
    <row r="55" spans="2:32" x14ac:dyDescent="0.25">
      <c r="B55" s="63">
        <v>51</v>
      </c>
      <c r="C55" s="88"/>
      <c r="D55" s="88"/>
      <c r="E55" s="93"/>
      <c r="F55" s="90" t="e">
        <f t="shared" si="1"/>
        <v>#DIV/0!</v>
      </c>
      <c r="G55" s="94"/>
      <c r="H55" s="93"/>
      <c r="I55" s="90"/>
      <c r="W55" s="62"/>
      <c r="X55" s="61"/>
      <c r="Z55" s="60"/>
      <c r="AA55" s="60"/>
      <c r="AB55" s="60"/>
    </row>
    <row r="56" spans="2:32" x14ac:dyDescent="0.25">
      <c r="B56" s="63">
        <v>52</v>
      </c>
      <c r="C56" s="95"/>
      <c r="D56" s="95"/>
      <c r="E56" s="85"/>
      <c r="F56" s="90" t="e">
        <f t="shared" si="1"/>
        <v>#DIV/0!</v>
      </c>
      <c r="G56" s="89"/>
      <c r="H56" s="87"/>
      <c r="I56" s="90"/>
      <c r="W56" s="62"/>
      <c r="X56" s="61"/>
      <c r="Z56" s="60"/>
      <c r="AA56" s="60"/>
      <c r="AB56" s="60"/>
    </row>
    <row r="57" spans="2:32" x14ac:dyDescent="0.25">
      <c r="B57" s="63">
        <v>53</v>
      </c>
      <c r="C57" s="88"/>
      <c r="D57" s="88"/>
      <c r="E57" s="93"/>
      <c r="F57" s="90" t="e">
        <f t="shared" si="1"/>
        <v>#DIV/0!</v>
      </c>
      <c r="G57" s="94"/>
      <c r="H57" s="93"/>
      <c r="I57" s="90"/>
      <c r="W57" s="92"/>
      <c r="X57" s="91"/>
      <c r="Y57" s="87"/>
      <c r="Z57" s="85"/>
      <c r="AA57" s="85"/>
      <c r="AB57" s="92"/>
      <c r="AC57" s="87"/>
      <c r="AD57" s="87"/>
      <c r="AE57" s="91"/>
      <c r="AF57" s="91"/>
    </row>
    <row r="58" spans="2:32" x14ac:dyDescent="0.25">
      <c r="B58" s="63">
        <v>54</v>
      </c>
      <c r="C58" s="88"/>
      <c r="D58" s="88"/>
      <c r="E58" s="93"/>
      <c r="F58" s="90" t="e">
        <f t="shared" si="1"/>
        <v>#DIV/0!</v>
      </c>
      <c r="G58" s="94"/>
      <c r="H58" s="93"/>
      <c r="I58" s="90"/>
      <c r="W58" s="62"/>
      <c r="X58" s="61"/>
      <c r="Z58" s="60"/>
      <c r="AA58" s="60"/>
      <c r="AB58" s="62"/>
    </row>
    <row r="59" spans="2:32" x14ac:dyDescent="0.25">
      <c r="B59" s="63">
        <v>55</v>
      </c>
      <c r="C59" s="88"/>
      <c r="D59" s="88"/>
      <c r="E59" s="93"/>
      <c r="F59" s="90" t="e">
        <f t="shared" si="1"/>
        <v>#DIV/0!</v>
      </c>
      <c r="G59" s="94"/>
      <c r="H59" s="93"/>
      <c r="I59" s="90"/>
      <c r="W59" s="62"/>
      <c r="X59" s="61"/>
      <c r="Z59" s="60"/>
      <c r="AA59" s="60"/>
      <c r="AB59" s="60"/>
    </row>
    <row r="60" spans="2:32" x14ac:dyDescent="0.25">
      <c r="B60" s="63">
        <v>56</v>
      </c>
      <c r="C60" s="95"/>
      <c r="D60" s="95"/>
      <c r="E60" s="85"/>
      <c r="F60" s="90" t="e">
        <f t="shared" si="1"/>
        <v>#DIV/0!</v>
      </c>
      <c r="G60" s="89"/>
      <c r="H60" s="87"/>
      <c r="I60" s="90"/>
      <c r="W60" s="62"/>
      <c r="X60" s="61"/>
      <c r="Z60" s="60"/>
      <c r="AA60" s="60"/>
      <c r="AB60" s="60"/>
    </row>
    <row r="61" spans="2:32" ht="16.5" thickBot="1" x14ac:dyDescent="0.3">
      <c r="B61" s="64"/>
      <c r="C61" s="65"/>
      <c r="D61" s="65" t="s">
        <v>370</v>
      </c>
      <c r="E61" s="66">
        <f>SUM(E5:E8)</f>
        <v>1</v>
      </c>
      <c r="F61" s="66">
        <f t="shared" ref="F61:H61" si="2">SUM(F5:F8)</f>
        <v>3.5587188612099642E-3</v>
      </c>
      <c r="G61" s="67">
        <f>F61/E61</f>
        <v>3.5587188612099642E-3</v>
      </c>
      <c r="H61" s="66">
        <f t="shared" si="2"/>
        <v>22</v>
      </c>
      <c r="I61" s="437">
        <f>AVERAGE(I5:I60)</f>
        <v>8.8044503765443524E-2</v>
      </c>
      <c r="W61" s="62"/>
      <c r="X61" s="61"/>
      <c r="Z61" s="60"/>
      <c r="AA61" s="60"/>
      <c r="AB61" s="60"/>
    </row>
    <row r="62" spans="2:32" x14ac:dyDescent="0.25">
      <c r="W62" s="62"/>
      <c r="X62" s="61"/>
      <c r="Z62" s="60"/>
      <c r="AA62" s="60"/>
      <c r="AB62" s="60"/>
    </row>
    <row r="63" spans="2:32" x14ac:dyDescent="0.25">
      <c r="W63" s="62"/>
      <c r="X63" s="61"/>
      <c r="Z63" s="60"/>
      <c r="AA63" s="60"/>
      <c r="AB63" s="60"/>
    </row>
    <row r="64" spans="2:32" x14ac:dyDescent="0.25">
      <c r="W64" s="62"/>
      <c r="X64" s="61"/>
      <c r="Z64" s="60"/>
      <c r="AA64" s="60"/>
      <c r="AB64" s="60"/>
    </row>
    <row r="65" spans="2:28" x14ac:dyDescent="0.25">
      <c r="W65" s="62"/>
      <c r="X65" s="61"/>
      <c r="Z65" s="60"/>
      <c r="AA65" s="60"/>
      <c r="AB65" s="60"/>
    </row>
    <row r="66" spans="2:28" ht="16.5" thickBot="1" x14ac:dyDescent="0.3">
      <c r="W66" s="62"/>
      <c r="X66" s="61"/>
      <c r="Z66" s="60"/>
      <c r="AA66" s="60"/>
      <c r="AB66" s="60"/>
    </row>
    <row r="67" spans="2:28" ht="16.5" thickBot="1" x14ac:dyDescent="0.3">
      <c r="B67" s="152" t="s">
        <v>371</v>
      </c>
      <c r="C67" s="156" t="s">
        <v>372</v>
      </c>
      <c r="D67" s="152" t="s">
        <v>373</v>
      </c>
      <c r="E67" s="152" t="s">
        <v>374</v>
      </c>
      <c r="F67" s="152" t="s">
        <v>252</v>
      </c>
      <c r="G67" s="151" t="s">
        <v>369</v>
      </c>
      <c r="H67" s="157" t="s">
        <v>375</v>
      </c>
      <c r="W67" s="62"/>
      <c r="X67" s="61"/>
      <c r="Z67" s="60"/>
      <c r="AA67" s="60"/>
      <c r="AB67" s="60"/>
    </row>
    <row r="68" spans="2:28" x14ac:dyDescent="0.25">
      <c r="B68" s="80" t="s">
        <v>376</v>
      </c>
      <c r="C68" s="81" t="s">
        <v>377</v>
      </c>
      <c r="D68" s="82">
        <v>170</v>
      </c>
      <c r="E68" s="82">
        <v>17</v>
      </c>
      <c r="F68" s="83">
        <v>0.10526315789473684</v>
      </c>
      <c r="G68" s="158"/>
      <c r="H68" s="69" t="s">
        <v>378</v>
      </c>
      <c r="W68" s="62"/>
      <c r="X68" s="61"/>
      <c r="Z68" s="60"/>
      <c r="AA68" s="60"/>
      <c r="AB68" s="60"/>
    </row>
    <row r="69" spans="2:28" x14ac:dyDescent="0.25">
      <c r="B69" s="84"/>
      <c r="C69" s="84"/>
      <c r="D69" s="84"/>
      <c r="E69" s="84"/>
      <c r="F69" s="159"/>
      <c r="G69" s="69"/>
      <c r="H69" s="69"/>
      <c r="W69" s="62"/>
      <c r="X69" s="61"/>
      <c r="Z69" s="60"/>
      <c r="AA69" s="60"/>
      <c r="AB69" s="60"/>
    </row>
    <row r="70" spans="2:28" x14ac:dyDescent="0.25">
      <c r="B70" s="84"/>
      <c r="C70" s="84"/>
      <c r="D70" s="84"/>
      <c r="E70" s="84"/>
      <c r="F70" s="159"/>
      <c r="G70" s="69"/>
      <c r="H70" s="69"/>
      <c r="W70" s="62"/>
      <c r="X70" s="61"/>
      <c r="Z70" s="60"/>
      <c r="AA70" s="60"/>
      <c r="AB70" s="60"/>
    </row>
    <row r="71" spans="2:28" x14ac:dyDescent="0.25">
      <c r="B71" s="84"/>
      <c r="G71" s="69"/>
      <c r="H71" s="69"/>
      <c r="W71" s="62"/>
      <c r="X71" s="61"/>
      <c r="Z71" s="60"/>
      <c r="AA71" s="60"/>
      <c r="AB71" s="60"/>
    </row>
    <row r="72" spans="2:28" x14ac:dyDescent="0.25">
      <c r="B72" s="84"/>
      <c r="C72" s="84"/>
      <c r="D72" s="84"/>
      <c r="E72" s="84"/>
      <c r="F72" s="159"/>
      <c r="G72" s="69"/>
      <c r="H72" s="69"/>
      <c r="W72" s="62"/>
      <c r="X72" s="61"/>
      <c r="Z72" s="60"/>
      <c r="AA72" s="60"/>
      <c r="AB72" s="60"/>
    </row>
    <row r="73" spans="2:28" x14ac:dyDescent="0.25">
      <c r="B73" s="84"/>
      <c r="F73" s="159"/>
      <c r="G73" s="69"/>
      <c r="H73" s="69"/>
      <c r="W73" s="62"/>
      <c r="X73" s="61"/>
      <c r="Z73" s="60"/>
      <c r="AA73" s="60"/>
      <c r="AB73" s="60"/>
    </row>
    <row r="74" spans="2:28" ht="16.5" thickBot="1" x14ac:dyDescent="0.3">
      <c r="B74" s="160"/>
      <c r="C74" s="65"/>
      <c r="D74" s="65"/>
      <c r="E74" s="65"/>
      <c r="F74" s="161"/>
      <c r="G74" s="64"/>
      <c r="H74" s="64"/>
      <c r="W74" s="62"/>
      <c r="X74" s="61"/>
      <c r="Z74" s="60"/>
      <c r="AA74" s="60"/>
      <c r="AB74" s="60"/>
    </row>
    <row r="75" spans="2:28" x14ac:dyDescent="0.25">
      <c r="B75" s="68" t="s">
        <v>379</v>
      </c>
      <c r="W75" s="62"/>
      <c r="X75" s="61"/>
      <c r="Z75" s="60"/>
      <c r="AA75" s="60"/>
      <c r="AB75" s="60"/>
    </row>
    <row r="76" spans="2:28" x14ac:dyDescent="0.25">
      <c r="B76" s="69"/>
      <c r="W76" s="62"/>
      <c r="X76" s="61"/>
      <c r="Z76" s="60"/>
      <c r="AA76" s="60"/>
      <c r="AB76" s="60"/>
    </row>
    <row r="77" spans="2:28" x14ac:dyDescent="0.25">
      <c r="W77" s="62"/>
      <c r="X77" s="61"/>
      <c r="Z77" s="60"/>
      <c r="AA77" s="60"/>
      <c r="AB77" s="60"/>
    </row>
    <row r="78" spans="2:28" x14ac:dyDescent="0.25">
      <c r="W78" s="62"/>
      <c r="X78" s="61"/>
      <c r="Z78" s="60"/>
      <c r="AA78" s="60"/>
      <c r="AB78" s="60"/>
    </row>
    <row r="79" spans="2:28" x14ac:dyDescent="0.25">
      <c r="G79" s="70"/>
      <c r="W79" s="62"/>
      <c r="X79" s="61"/>
      <c r="Z79" s="60"/>
      <c r="AA79" s="60"/>
      <c r="AB79" s="60"/>
    </row>
    <row r="80" spans="2:28" x14ac:dyDescent="0.25">
      <c r="G80" s="70"/>
      <c r="W80" s="62"/>
      <c r="X80" s="61"/>
      <c r="Z80" s="60"/>
      <c r="AA80" s="60"/>
      <c r="AB80" s="60"/>
    </row>
    <row r="81" spans="7:28" x14ac:dyDescent="0.25">
      <c r="G81" s="70"/>
      <c r="W81" s="62"/>
      <c r="X81" s="61"/>
      <c r="Z81" s="60"/>
      <c r="AA81" s="60"/>
      <c r="AB81" s="60"/>
    </row>
    <row r="82" spans="7:28" x14ac:dyDescent="0.25">
      <c r="G82" s="70"/>
      <c r="W82" s="62"/>
      <c r="X82" s="61"/>
      <c r="Z82" s="60"/>
      <c r="AA82" s="60"/>
      <c r="AB82" s="60"/>
    </row>
    <row r="83" spans="7:28" x14ac:dyDescent="0.25">
      <c r="G83" s="70"/>
      <c r="W83" s="62"/>
      <c r="X83" s="61"/>
      <c r="Z83" s="60"/>
      <c r="AA83" s="60"/>
      <c r="AB83" s="60"/>
    </row>
    <row r="84" spans="7:28" x14ac:dyDescent="0.25">
      <c r="G84" s="70"/>
      <c r="H84" s="70"/>
      <c r="W84" s="62"/>
      <c r="X84" s="61"/>
      <c r="Z84" s="60"/>
      <c r="AA84" s="60"/>
      <c r="AB84" s="60"/>
    </row>
    <row r="85" spans="7:28" x14ac:dyDescent="0.25">
      <c r="G85" s="70"/>
      <c r="H85" s="70"/>
      <c r="W85" s="62"/>
      <c r="X85" s="61"/>
      <c r="Z85" s="60"/>
      <c r="AA85" s="60"/>
      <c r="AB85" s="60"/>
    </row>
    <row r="86" spans="7:28" x14ac:dyDescent="0.25">
      <c r="G86" s="70"/>
      <c r="H86" s="70"/>
      <c r="W86" s="62"/>
      <c r="X86" s="61"/>
      <c r="Z86" s="60"/>
      <c r="AA86" s="60"/>
      <c r="AB86" s="60"/>
    </row>
    <row r="87" spans="7:28" x14ac:dyDescent="0.25">
      <c r="G87" s="70"/>
      <c r="H87" s="70"/>
      <c r="W87" s="62"/>
      <c r="X87" s="61"/>
      <c r="Z87" s="60"/>
      <c r="AA87" s="60"/>
      <c r="AB87" s="60"/>
    </row>
    <row r="88" spans="7:28" x14ac:dyDescent="0.25">
      <c r="G88" s="70"/>
      <c r="H88" s="70"/>
      <c r="W88" s="62"/>
      <c r="X88" s="61"/>
      <c r="Z88" s="60"/>
      <c r="AA88" s="60"/>
      <c r="AB88" s="60"/>
    </row>
    <row r="89" spans="7:28" x14ac:dyDescent="0.25">
      <c r="G89" s="70"/>
      <c r="H89" s="70"/>
      <c r="W89" s="62"/>
      <c r="X89" s="61"/>
      <c r="Z89" s="60"/>
      <c r="AA89" s="60"/>
      <c r="AB89" s="60"/>
    </row>
    <row r="90" spans="7:28" x14ac:dyDescent="0.25">
      <c r="G90" s="70"/>
      <c r="H90" s="70"/>
      <c r="I90" s="61"/>
      <c r="W90" s="62"/>
      <c r="X90" s="61"/>
      <c r="Z90" s="60"/>
      <c r="AA90" s="60"/>
      <c r="AB90" s="60"/>
    </row>
    <row r="91" spans="7:28" x14ac:dyDescent="0.25">
      <c r="G91" s="70"/>
      <c r="H91" s="70"/>
      <c r="I91" s="61"/>
      <c r="W91" s="62"/>
      <c r="X91" s="61"/>
      <c r="Z91" s="60"/>
      <c r="AA91" s="60"/>
      <c r="AB91" s="60"/>
    </row>
    <row r="92" spans="7:28" x14ac:dyDescent="0.25">
      <c r="G92" s="70"/>
      <c r="H92" s="70"/>
      <c r="I92" s="61"/>
      <c r="W92" s="62"/>
      <c r="X92" s="61"/>
      <c r="Z92" s="60"/>
      <c r="AA92" s="60"/>
      <c r="AB92" s="60"/>
    </row>
    <row r="93" spans="7:28" x14ac:dyDescent="0.25">
      <c r="G93" s="70"/>
      <c r="H93" s="70"/>
      <c r="I93" s="61"/>
      <c r="W93" s="62"/>
      <c r="X93" s="61"/>
      <c r="Z93" s="60"/>
      <c r="AA93" s="60"/>
      <c r="AB93" s="60"/>
    </row>
    <row r="94" spans="7:28" x14ac:dyDescent="0.25">
      <c r="G94" s="70"/>
      <c r="H94" s="70"/>
      <c r="I94" s="61"/>
      <c r="W94" s="62"/>
      <c r="X94" s="61"/>
      <c r="Z94" s="60"/>
      <c r="AA94" s="60"/>
      <c r="AB94" s="60"/>
    </row>
    <row r="95" spans="7:28" x14ac:dyDescent="0.25">
      <c r="G95" s="70"/>
      <c r="H95" s="70"/>
      <c r="I95" s="61"/>
      <c r="X95" s="62"/>
    </row>
    <row r="96" spans="7:28" x14ac:dyDescent="0.25">
      <c r="G96" s="70"/>
      <c r="H96" s="70"/>
      <c r="I96" s="61"/>
      <c r="X96" s="62"/>
    </row>
    <row r="97" spans="7:24" x14ac:dyDescent="0.25">
      <c r="G97" s="70"/>
      <c r="H97" s="70"/>
      <c r="I97" s="61"/>
      <c r="X97" s="62"/>
    </row>
    <row r="98" spans="7:24" x14ac:dyDescent="0.25">
      <c r="G98" s="70"/>
      <c r="H98" s="70"/>
      <c r="I98" s="61"/>
      <c r="X98" s="62"/>
    </row>
    <row r="99" spans="7:24" x14ac:dyDescent="0.25">
      <c r="G99" s="70"/>
      <c r="H99" s="70"/>
      <c r="I99" s="61"/>
    </row>
    <row r="100" spans="7:24" x14ac:dyDescent="0.25">
      <c r="G100" s="70"/>
      <c r="H100" s="70"/>
      <c r="I100" s="61"/>
    </row>
    <row r="101" spans="7:24" x14ac:dyDescent="0.25">
      <c r="G101" s="70"/>
      <c r="H101" s="70"/>
      <c r="I101" s="61"/>
    </row>
    <row r="102" spans="7:24" x14ac:dyDescent="0.25">
      <c r="G102" s="70"/>
      <c r="H102" s="70"/>
      <c r="I102" s="61"/>
    </row>
    <row r="103" spans="7:24" x14ac:dyDescent="0.25">
      <c r="G103" s="70"/>
      <c r="H103" s="70"/>
      <c r="I103" s="61"/>
    </row>
    <row r="104" spans="7:24" x14ac:dyDescent="0.25">
      <c r="G104" s="70"/>
      <c r="H104" s="70"/>
      <c r="I104" s="61"/>
    </row>
    <row r="105" spans="7:24" x14ac:dyDescent="0.25">
      <c r="G105" s="70"/>
      <c r="H105" s="70"/>
      <c r="I105" s="61"/>
    </row>
    <row r="106" spans="7:24" x14ac:dyDescent="0.25">
      <c r="G106" s="70"/>
      <c r="H106" s="70"/>
      <c r="I106" s="61"/>
    </row>
    <row r="107" spans="7:24" x14ac:dyDescent="0.25">
      <c r="G107" s="70"/>
      <c r="H107" s="70"/>
      <c r="I107" s="61"/>
    </row>
    <row r="108" spans="7:24" x14ac:dyDescent="0.25">
      <c r="G108" s="70"/>
      <c r="H108" s="70"/>
      <c r="I108" s="61"/>
    </row>
    <row r="109" spans="7:24" x14ac:dyDescent="0.25">
      <c r="G109" s="70"/>
      <c r="H109" s="70"/>
      <c r="I109" s="61"/>
    </row>
    <row r="110" spans="7:24" x14ac:dyDescent="0.25">
      <c r="G110" s="70"/>
      <c r="H110" s="70"/>
      <c r="I110" s="61"/>
    </row>
    <row r="111" spans="7:24" x14ac:dyDescent="0.25">
      <c r="G111" s="70"/>
      <c r="H111" s="70"/>
      <c r="I111" s="61"/>
    </row>
    <row r="112" spans="7:24" x14ac:dyDescent="0.25">
      <c r="G112" s="70"/>
      <c r="H112" s="70"/>
      <c r="I112" s="61"/>
    </row>
    <row r="113" spans="7:9" x14ac:dyDescent="0.25">
      <c r="G113" s="70"/>
      <c r="H113" s="70"/>
      <c r="I113" s="61"/>
    </row>
    <row r="114" spans="7:9" x14ac:dyDescent="0.25">
      <c r="G114" s="70"/>
      <c r="H114" s="70"/>
      <c r="I114" s="61"/>
    </row>
    <row r="115" spans="7:9" x14ac:dyDescent="0.25">
      <c r="G115" s="70"/>
      <c r="H115" s="70"/>
      <c r="I115" s="61"/>
    </row>
    <row r="116" spans="7:9" x14ac:dyDescent="0.25">
      <c r="G116" s="70"/>
      <c r="H116" s="70"/>
      <c r="I116" s="61"/>
    </row>
    <row r="117" spans="7:9" x14ac:dyDescent="0.25">
      <c r="G117" s="70"/>
      <c r="H117" s="70"/>
      <c r="I117" s="61"/>
    </row>
    <row r="118" spans="7:9" x14ac:dyDescent="0.25">
      <c r="G118" s="70"/>
      <c r="H118" s="70"/>
      <c r="I118" s="61"/>
    </row>
    <row r="119" spans="7:9" x14ac:dyDescent="0.25">
      <c r="G119" s="70"/>
      <c r="H119" s="70"/>
      <c r="I119" s="61"/>
    </row>
    <row r="120" spans="7:9" x14ac:dyDescent="0.25">
      <c r="G120" s="70"/>
      <c r="H120" s="70"/>
      <c r="I120" s="61"/>
    </row>
    <row r="121" spans="7:9" x14ac:dyDescent="0.25">
      <c r="G121" s="70"/>
      <c r="H121" s="70"/>
      <c r="I121" s="61"/>
    </row>
    <row r="122" spans="7:9" x14ac:dyDescent="0.25">
      <c r="G122" s="70"/>
      <c r="H122" s="70"/>
      <c r="I122" s="61"/>
    </row>
    <row r="123" spans="7:9" x14ac:dyDescent="0.25">
      <c r="G123" s="70"/>
      <c r="H123" s="70"/>
      <c r="I123" s="61"/>
    </row>
    <row r="124" spans="7:9" x14ac:dyDescent="0.25">
      <c r="G124" s="70"/>
      <c r="H124" s="70"/>
      <c r="I124" s="61"/>
    </row>
    <row r="125" spans="7:9" x14ac:dyDescent="0.25">
      <c r="G125" s="70"/>
      <c r="H125" s="70"/>
      <c r="I125" s="61"/>
    </row>
    <row r="126" spans="7:9" x14ac:dyDescent="0.25">
      <c r="G126" s="70"/>
      <c r="H126" s="70"/>
      <c r="I126" s="61"/>
    </row>
    <row r="127" spans="7:9" x14ac:dyDescent="0.25">
      <c r="G127" s="70"/>
      <c r="H127" s="70"/>
      <c r="I127" s="61"/>
    </row>
    <row r="128" spans="7:9" x14ac:dyDescent="0.25">
      <c r="G128" s="70"/>
      <c r="H128" s="70"/>
      <c r="I128" s="61"/>
    </row>
    <row r="129" spans="7:9" x14ac:dyDescent="0.25">
      <c r="G129" s="70"/>
      <c r="H129" s="70"/>
      <c r="I129" s="61"/>
    </row>
    <row r="130" spans="7:9" x14ac:dyDescent="0.25">
      <c r="G130" s="70"/>
      <c r="H130" s="70"/>
      <c r="I130" s="61"/>
    </row>
    <row r="131" spans="7:9" x14ac:dyDescent="0.25">
      <c r="G131" s="70"/>
      <c r="H131" s="70"/>
      <c r="I131" s="61"/>
    </row>
    <row r="132" spans="7:9" x14ac:dyDescent="0.25">
      <c r="G132" s="70"/>
      <c r="H132" s="70"/>
      <c r="I132" s="61"/>
    </row>
    <row r="133" spans="7:9" x14ac:dyDescent="0.25">
      <c r="G133" s="70"/>
      <c r="H133" s="70"/>
      <c r="I133" s="61"/>
    </row>
    <row r="134" spans="7:9" x14ac:dyDescent="0.25">
      <c r="G134" s="70"/>
      <c r="H134" s="70"/>
      <c r="I134" s="61"/>
    </row>
    <row r="135" spans="7:9" x14ac:dyDescent="0.25">
      <c r="G135" s="70"/>
      <c r="H135" s="70"/>
      <c r="I135" s="61"/>
    </row>
    <row r="136" spans="7:9" x14ac:dyDescent="0.25">
      <c r="G136" s="70"/>
      <c r="H136" s="70"/>
      <c r="I136" s="61"/>
    </row>
    <row r="137" spans="7:9" x14ac:dyDescent="0.25">
      <c r="G137" s="70"/>
      <c r="H137" s="70"/>
      <c r="I137" s="61"/>
    </row>
    <row r="138" spans="7:9" x14ac:dyDescent="0.25">
      <c r="G138" s="70"/>
      <c r="H138" s="70"/>
      <c r="I138" s="61"/>
    </row>
    <row r="139" spans="7:9" x14ac:dyDescent="0.25">
      <c r="G139" s="70"/>
      <c r="H139" s="70"/>
      <c r="I139" s="61"/>
    </row>
    <row r="140" spans="7:9" x14ac:dyDescent="0.25">
      <c r="G140" s="70"/>
      <c r="H140" s="70"/>
      <c r="I140" s="61"/>
    </row>
    <row r="141" spans="7:9" x14ac:dyDescent="0.25">
      <c r="G141" s="70"/>
      <c r="H141" s="70"/>
      <c r="I141" s="61"/>
    </row>
    <row r="142" spans="7:9" x14ac:dyDescent="0.25">
      <c r="G142" s="70"/>
      <c r="H142" s="70"/>
      <c r="I142" s="61"/>
    </row>
    <row r="143" spans="7:9" x14ac:dyDescent="0.25">
      <c r="G143" s="70"/>
      <c r="H143" s="70"/>
      <c r="I143" s="61"/>
    </row>
    <row r="144" spans="7:9" x14ac:dyDescent="0.25">
      <c r="G144" s="70"/>
      <c r="H144" s="70"/>
      <c r="I144" s="61"/>
    </row>
    <row r="145" spans="7:9" x14ac:dyDescent="0.25">
      <c r="G145" s="70"/>
      <c r="H145" s="70"/>
      <c r="I145" s="61"/>
    </row>
    <row r="146" spans="7:9" x14ac:dyDescent="0.25">
      <c r="G146" s="70"/>
      <c r="H146" s="70"/>
      <c r="I146" s="61"/>
    </row>
    <row r="147" spans="7:9" x14ac:dyDescent="0.25">
      <c r="G147" s="70"/>
      <c r="H147" s="70"/>
      <c r="I147" s="61"/>
    </row>
    <row r="148" spans="7:9" x14ac:dyDescent="0.25">
      <c r="G148" s="70"/>
      <c r="H148" s="70"/>
      <c r="I148" s="61"/>
    </row>
    <row r="149" spans="7:9" x14ac:dyDescent="0.25">
      <c r="G149" s="70"/>
      <c r="H149" s="70"/>
      <c r="I149" s="61"/>
    </row>
    <row r="150" spans="7:9" x14ac:dyDescent="0.25">
      <c r="H150" s="70"/>
      <c r="I150" s="61"/>
    </row>
    <row r="151" spans="7:9" x14ac:dyDescent="0.25">
      <c r="H151" s="70"/>
      <c r="I151" s="61"/>
    </row>
    <row r="152" spans="7:9" x14ac:dyDescent="0.25">
      <c r="H152" s="70"/>
      <c r="I152" s="61"/>
    </row>
    <row r="153" spans="7:9" x14ac:dyDescent="0.25">
      <c r="H153" s="70"/>
      <c r="I153" s="61"/>
    </row>
    <row r="154" spans="7:9" x14ac:dyDescent="0.25">
      <c r="H154" s="70"/>
      <c r="I154" s="61"/>
    </row>
    <row r="155" spans="7:9" x14ac:dyDescent="0.25">
      <c r="H155" s="70"/>
    </row>
    <row r="156" spans="7:9" x14ac:dyDescent="0.25">
      <c r="H156" s="70"/>
    </row>
    <row r="174" spans="19:20" x14ac:dyDescent="0.25">
      <c r="S174" s="71"/>
      <c r="T174" s="61"/>
    </row>
    <row r="175" spans="19:20" x14ac:dyDescent="0.25">
      <c r="S175" s="71"/>
      <c r="T175" s="61"/>
    </row>
    <row r="176" spans="19:20" x14ac:dyDescent="0.25">
      <c r="S176" s="71"/>
      <c r="T176" s="61"/>
    </row>
    <row r="177" spans="19:20" x14ac:dyDescent="0.25">
      <c r="S177" s="71"/>
      <c r="T177" s="61"/>
    </row>
    <row r="178" spans="19:20" x14ac:dyDescent="0.25">
      <c r="S178" s="71"/>
      <c r="T178" s="61"/>
    </row>
    <row r="179" spans="19:20" x14ac:dyDescent="0.25">
      <c r="S179" s="71"/>
      <c r="T179" s="61"/>
    </row>
    <row r="180" spans="19:20" x14ac:dyDescent="0.25">
      <c r="S180" s="71"/>
      <c r="T180" s="61"/>
    </row>
    <row r="181" spans="19:20" x14ac:dyDescent="0.25">
      <c r="S181" s="71"/>
      <c r="T181" s="61"/>
    </row>
    <row r="182" spans="19:20" x14ac:dyDescent="0.25">
      <c r="S182" s="71"/>
      <c r="T182" s="61"/>
    </row>
    <row r="183" spans="19:20" x14ac:dyDescent="0.25">
      <c r="S183" s="71"/>
      <c r="T183" s="61"/>
    </row>
    <row r="184" spans="19:20" x14ac:dyDescent="0.25">
      <c r="S184" s="71"/>
      <c r="T184" s="61"/>
    </row>
    <row r="185" spans="19:20" x14ac:dyDescent="0.25">
      <c r="S185" s="71"/>
      <c r="T185" s="61"/>
    </row>
    <row r="186" spans="19:20" x14ac:dyDescent="0.25">
      <c r="S186" s="71"/>
      <c r="T186" s="61"/>
    </row>
    <row r="187" spans="19:20" x14ac:dyDescent="0.25">
      <c r="S187" s="71"/>
      <c r="T187" s="61"/>
    </row>
    <row r="188" spans="19:20" x14ac:dyDescent="0.25">
      <c r="S188" s="71"/>
      <c r="T188" s="61"/>
    </row>
    <row r="189" spans="19:20" x14ac:dyDescent="0.25">
      <c r="S189" s="71"/>
      <c r="T189" s="61"/>
    </row>
  </sheetData>
  <protectedRanges>
    <protectedRange sqref="C5:C8 W2:W5 AB2:AB5" name="Range1_1_2_1"/>
    <protectedRange sqref="C9:C24 W6:W21 AB6:AB21" name="Range1_1_1_1_1"/>
    <protectedRange sqref="C25:C28 W22:W25 AB22:AB25" name="Range1_1_2_1_1"/>
    <protectedRange sqref="C29:C44 W26:W41 AB26:AB41" name="Range1_1_1_1_1_1"/>
  </protectedRanges>
  <pageMargins left="0.7" right="0.7" top="0.75" bottom="0.75" header="0.3" footer="0.3"/>
  <pageSetup orientation="portrait" horizontalDpi="1200" verticalDpi="120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bbe00575-f1e3-4324-ac25-69cff9ca28ce">
      <Terms xmlns="http://schemas.microsoft.com/office/infopath/2007/PartnerControls"/>
    </lcf76f155ced4ddcb4097134ff3c332f>
    <_ip_UnifiedCompliancePolicyProperties xmlns="http://schemas.microsoft.com/sharepoint/v3" xsi:nil="true"/>
    <TaxCatchAll xmlns="31062a0d-ede8-4112-b4bb-00a9c1bc8e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D91CA4B23D946459A89445799E6F7DF" ma:contentTypeVersion="18" ma:contentTypeDescription="Create a new document." ma:contentTypeScope="" ma:versionID="853e6b990e61073bbdf98615927b94a4">
  <xsd:schema xmlns:xsd="http://www.w3.org/2001/XMLSchema" xmlns:xs="http://www.w3.org/2001/XMLSchema" xmlns:p="http://schemas.microsoft.com/office/2006/metadata/properties" xmlns:ns1="http://schemas.microsoft.com/sharepoint/v3" xmlns:ns2="bbe00575-f1e3-4324-ac25-69cff9ca28ce" xmlns:ns3="dd486ada-b033-43f8-9561-82d9abe8172f" xmlns:ns4="31062a0d-ede8-4112-b4bb-00a9c1bc8e16" targetNamespace="http://schemas.microsoft.com/office/2006/metadata/properties" ma:root="true" ma:fieldsID="fb70753538ad03ddbfe9aa53c52af9d5" ns1:_="" ns2:_="" ns3:_="" ns4:_="">
    <xsd:import namespace="http://schemas.microsoft.com/sharepoint/v3"/>
    <xsd:import namespace="bbe00575-f1e3-4324-ac25-69cff9ca28ce"/>
    <xsd:import namespace="dd486ada-b033-43f8-9561-82d9abe8172f"/>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e00575-f1e3-4324-ac25-69cff9ca28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486ada-b033-43f8-9561-82d9abe817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8b0895f8-c2f6-48b1-9565-6d9f2e006cfc}" ma:internalName="TaxCatchAll" ma:showField="CatchAllData" ma:web="dd486ada-b033-43f8-9561-82d9abe817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4CCFFF-326E-493B-BE6D-4ACD728C3AFF}">
  <ds:schemaRefs>
    <ds:schemaRef ds:uri="http://schemas.microsoft.com/sharepoint/v3/contenttype/forms"/>
  </ds:schemaRefs>
</ds:datastoreItem>
</file>

<file path=customXml/itemProps2.xml><?xml version="1.0" encoding="utf-8"?>
<ds:datastoreItem xmlns:ds="http://schemas.openxmlformats.org/officeDocument/2006/customXml" ds:itemID="{D1B632BC-B98C-49F4-B4BB-AC2F25F95FF7}">
  <ds:schemaRefs>
    <ds:schemaRef ds:uri="http://purl.org/dc/dcmitype/"/>
    <ds:schemaRef ds:uri="bbe00575-f1e3-4324-ac25-69cff9ca28ce"/>
    <ds:schemaRef ds:uri="http://www.w3.org/XML/1998/namespace"/>
    <ds:schemaRef ds:uri="31062a0d-ede8-4112-b4bb-00a9c1bc8e16"/>
    <ds:schemaRef ds:uri="http://schemas.microsoft.com/office/2006/documentManagement/types"/>
    <ds:schemaRef ds:uri="http://purl.org/dc/terms/"/>
    <ds:schemaRef ds:uri="http://schemas.microsoft.com/office/infopath/2007/PartnerControls"/>
    <ds:schemaRef ds:uri="http://schemas.microsoft.com/sharepoint/v3"/>
    <ds:schemaRef ds:uri="http://schemas.openxmlformats.org/package/2006/metadata/core-properties"/>
    <ds:schemaRef ds:uri="dd486ada-b033-43f8-9561-82d9abe8172f"/>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8E23AB50-55B1-4D8C-911E-D012564E4F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be00575-f1e3-4324-ac25-69cff9ca28ce"/>
    <ds:schemaRef ds:uri="dd486ada-b033-43f8-9561-82d9abe8172f"/>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Issues</vt:lpstr>
      <vt:lpstr>UBC CHN 25-26 (COMBINED)</vt:lpstr>
      <vt:lpstr>UBC CHN 25-26</vt:lpstr>
      <vt:lpstr>UBC CHN 25-26 PG (2)</vt:lpstr>
      <vt:lpstr>UBC CHN 25-26 PG (3)</vt:lpstr>
      <vt:lpstr>UBC WCS 25-26</vt:lpstr>
      <vt:lpstr>UBC RBT 25-26</vt:lpstr>
      <vt:lpstr>UBC Tables &amp; Figures </vt:lpstr>
    </vt:vector>
  </TitlesOfParts>
  <Manager/>
  <Company>US Fish and Wildlife Service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james_earley</dc:creator>
  <cp:keywords/>
  <dc:description/>
  <cp:lastModifiedBy>Wingerter, Natasha Y</cp:lastModifiedBy>
  <cp:revision/>
  <dcterms:created xsi:type="dcterms:W3CDTF">2005-10-28T18:57:37Z</dcterms:created>
  <dcterms:modified xsi:type="dcterms:W3CDTF">2026-07-30T20:46:57Z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0x010100ED91CA4B23D946459A89445799E6F7DF</vt:lpwstr>
  </property>
  <property fmtid="{D5CDD505-2E9C-101B-9397-08002B2CF9AE}" pid="3" name="MediaServiceImageTags">
    <vt:lpwstr/>
  </property>
</Properties>
</file>