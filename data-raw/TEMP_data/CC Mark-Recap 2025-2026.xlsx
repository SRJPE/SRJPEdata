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5.xml" ContentType="application/vnd.openxmlformats-officedocument.drawingml.chart+xml"/>
  <Override PartName="/xl/drawings/drawing7.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defaultThemeVersion="124226"/>
  <mc:AlternateContent xmlns:mc="http://schemas.openxmlformats.org/markup-compatibility/2006">
    <mc:Choice Requires="x15">
      <x15ac:absPath xmlns:x15ac="http://schemas.microsoft.com/office/spreadsheetml/2010/11/ac" url="https://doimspp.sharepoint.com/sites/TributariesMonitoring/Shared Documents/RST/Update Daily/Mark-Recap/"/>
    </mc:Choice>
  </mc:AlternateContent>
  <xr:revisionPtr revIDLastSave="938" documentId="14_{C95E0039-28DE-4CB9-B37F-EE237CAFC76F}" xr6:coauthVersionLast="47" xr6:coauthVersionMax="47" xr10:uidLastSave="{8040D348-1C38-4977-A90F-EA8EF771D05C}"/>
  <bookViews>
    <workbookView minimized="1" xWindow="-25875" yWindow="2280" windowWidth="19185" windowHeight="10065" tabRatio="880" firstSheet="1" activeTab="2" xr2:uid="{00000000-000D-0000-FFFF-FFFF00000000}"/>
  </bookViews>
  <sheets>
    <sheet name="Metadata" sheetId="28" r:id="rId1"/>
    <sheet name="Issues" sheetId="13" r:id="rId2"/>
    <sheet name="UCC CHN 25-26" sheetId="18" r:id="rId3"/>
    <sheet name="LCC CHN 25-26" sheetId="24" r:id="rId4"/>
    <sheet name="LCC RBT 25-26" sheetId="21" r:id="rId5"/>
    <sheet name="LCC with UCC Fish" sheetId="3" r:id="rId6"/>
    <sheet name="LCC Tables &amp; Figures " sheetId="25" r:id="rId7"/>
    <sheet name="UCC Tables &amp; Figures " sheetId="26"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9" i="18" l="1"/>
  <c r="I29" i="24"/>
  <c r="J29" i="24"/>
  <c r="I29" i="18"/>
  <c r="J29" i="18"/>
  <c r="J13" i="24"/>
  <c r="G13" i="24"/>
  <c r="F13" i="24"/>
  <c r="E13" i="18"/>
  <c r="E12" i="18"/>
  <c r="L15" i="3"/>
  <c r="L16" i="3"/>
  <c r="L17" i="3"/>
  <c r="L18" i="3"/>
  <c r="L19" i="3"/>
  <c r="L20" i="3"/>
  <c r="L21" i="3"/>
  <c r="L22" i="3"/>
  <c r="L6" i="3"/>
  <c r="L7" i="3"/>
  <c r="L8" i="3"/>
  <c r="L5" i="3"/>
  <c r="L4" i="3"/>
  <c r="L3" i="3"/>
  <c r="R3" i="18" l="1"/>
  <c r="P3" i="18"/>
  <c r="AR10" i="24" l="1"/>
  <c r="F15" i="18"/>
  <c r="E15" i="3" s="1"/>
  <c r="F16" i="18"/>
  <c r="E16" i="3" s="1"/>
  <c r="F17" i="18"/>
  <c r="E17" i="3" s="1"/>
  <c r="F18" i="18"/>
  <c r="E18" i="3" s="1"/>
  <c r="F19" i="18"/>
  <c r="F20" i="18"/>
  <c r="F21" i="18"/>
  <c r="G4" i="24"/>
  <c r="F4" i="24"/>
  <c r="E4" i="24"/>
  <c r="AX6" i="24"/>
  <c r="B6" i="3"/>
  <c r="C6" i="3"/>
  <c r="D6" i="3"/>
  <c r="O6" i="3"/>
  <c r="B7" i="3"/>
  <c r="C7" i="3"/>
  <c r="D7" i="3"/>
  <c r="O7" i="3"/>
  <c r="D8" i="3"/>
  <c r="O8" i="3"/>
  <c r="B9" i="3"/>
  <c r="C9" i="3"/>
  <c r="D9" i="3"/>
  <c r="O9" i="3"/>
  <c r="B10" i="3"/>
  <c r="C10" i="3"/>
  <c r="D10" i="3"/>
  <c r="O10" i="3"/>
  <c r="B11" i="3"/>
  <c r="C11" i="3"/>
  <c r="D11" i="3"/>
  <c r="O11" i="3"/>
  <c r="B12" i="3"/>
  <c r="C12" i="3"/>
  <c r="D12" i="3"/>
  <c r="O12" i="3"/>
  <c r="B13" i="3"/>
  <c r="C13" i="3"/>
  <c r="D13" i="3"/>
  <c r="O13" i="3"/>
  <c r="B14" i="3"/>
  <c r="C14" i="3"/>
  <c r="D14" i="3"/>
  <c r="F14" i="3"/>
  <c r="N14" i="3"/>
  <c r="O14" i="3"/>
  <c r="P14" i="3" s="1"/>
  <c r="B15" i="3"/>
  <c r="C15" i="3"/>
  <c r="D15" i="3"/>
  <c r="F15" i="3"/>
  <c r="H15" i="3" s="1"/>
  <c r="O15" i="3"/>
  <c r="Q15" i="3"/>
  <c r="B16" i="3"/>
  <c r="C16" i="3"/>
  <c r="D16" i="3"/>
  <c r="F16" i="3"/>
  <c r="H16" i="3" s="1"/>
  <c r="N16" i="3"/>
  <c r="O16" i="3"/>
  <c r="P16" i="3" s="1"/>
  <c r="Q16" i="3"/>
  <c r="B17" i="3"/>
  <c r="C17" i="3"/>
  <c r="D17" i="3"/>
  <c r="F17" i="3"/>
  <c r="H17" i="3" s="1"/>
  <c r="O17" i="3"/>
  <c r="Q17" i="3"/>
  <c r="B18" i="3"/>
  <c r="C18" i="3"/>
  <c r="D18" i="3"/>
  <c r="F18" i="3"/>
  <c r="H18" i="3"/>
  <c r="J18" i="3"/>
  <c r="N18" i="3"/>
  <c r="O18" i="3"/>
  <c r="P18" i="3" s="1"/>
  <c r="Q18" i="3"/>
  <c r="B19" i="3"/>
  <c r="C19" i="3"/>
  <c r="D19" i="3"/>
  <c r="E19" i="3"/>
  <c r="F19" i="3"/>
  <c r="H19" i="3" s="1"/>
  <c r="O19" i="3"/>
  <c r="Q19" i="3"/>
  <c r="B20" i="3"/>
  <c r="C20" i="3"/>
  <c r="D20" i="3"/>
  <c r="E20" i="3"/>
  <c r="F20" i="3"/>
  <c r="H20" i="3" s="1"/>
  <c r="O20" i="3"/>
  <c r="Q20" i="3"/>
  <c r="B21" i="3"/>
  <c r="C21" i="3"/>
  <c r="D21" i="3"/>
  <c r="E21" i="3"/>
  <c r="F21" i="3"/>
  <c r="H21" i="3" s="1"/>
  <c r="O21" i="3"/>
  <c r="Q21" i="3"/>
  <c r="B22" i="3"/>
  <c r="C22" i="3"/>
  <c r="D22" i="3"/>
  <c r="E22" i="3"/>
  <c r="F22" i="3"/>
  <c r="H22" i="3" s="1"/>
  <c r="O22" i="3"/>
  <c r="Q22" i="3"/>
  <c r="AW102" i="18"/>
  <c r="AV102" i="18"/>
  <c r="AT102" i="18"/>
  <c r="AS102" i="18"/>
  <c r="AQ102" i="18"/>
  <c r="AP102" i="18"/>
  <c r="AN102" i="18"/>
  <c r="AM102" i="18"/>
  <c r="AK102" i="18"/>
  <c r="AJ102" i="18"/>
  <c r="AI102" i="18"/>
  <c r="AH102" i="18"/>
  <c r="AG102" i="18"/>
  <c r="AF102" i="18"/>
  <c r="AZ101" i="18"/>
  <c r="AY101" i="18"/>
  <c r="BA101" i="18" s="1"/>
  <c r="BB101" i="18" s="1"/>
  <c r="AX101" i="18"/>
  <c r="AU101" i="18"/>
  <c r="AR101" i="18"/>
  <c r="AO101" i="18"/>
  <c r="AL101" i="18"/>
  <c r="AZ100" i="18"/>
  <c r="AY100" i="18"/>
  <c r="BA100" i="18" s="1"/>
  <c r="BB100" i="18" s="1"/>
  <c r="AX100" i="18"/>
  <c r="AU100" i="18"/>
  <c r="AR100" i="18"/>
  <c r="AO100" i="18"/>
  <c r="AL100" i="18"/>
  <c r="AZ99" i="18"/>
  <c r="AZ102" i="18" s="1"/>
  <c r="K22" i="18" s="1"/>
  <c r="AY99" i="18"/>
  <c r="AY102" i="18" s="1"/>
  <c r="AX99" i="18"/>
  <c r="AU99" i="18"/>
  <c r="AR99" i="18"/>
  <c r="AO99" i="18"/>
  <c r="AL99" i="18"/>
  <c r="AW97" i="18"/>
  <c r="AV97" i="18"/>
  <c r="AT97" i="18"/>
  <c r="AS97" i="18"/>
  <c r="AQ97" i="18"/>
  <c r="AP97" i="18"/>
  <c r="P21" i="18" s="1"/>
  <c r="Q21" i="18" s="1"/>
  <c r="AN97" i="18"/>
  <c r="AM97" i="18"/>
  <c r="AK97" i="18"/>
  <c r="AJ97" i="18"/>
  <c r="AI97" i="18"/>
  <c r="AH97" i="18"/>
  <c r="AG97" i="18"/>
  <c r="AF97" i="18"/>
  <c r="E21" i="18" s="1"/>
  <c r="AZ96" i="18"/>
  <c r="AY96" i="18"/>
  <c r="BA96" i="18" s="1"/>
  <c r="BB96" i="18" s="1"/>
  <c r="AX96" i="18"/>
  <c r="AU96" i="18"/>
  <c r="AR96" i="18"/>
  <c r="AO96" i="18"/>
  <c r="AL96" i="18"/>
  <c r="BA95" i="18"/>
  <c r="BB95" i="18" s="1"/>
  <c r="AZ95" i="18"/>
  <c r="AY95" i="18"/>
  <c r="AX95" i="18"/>
  <c r="AU95" i="18"/>
  <c r="AR95" i="18"/>
  <c r="AO95" i="18"/>
  <c r="AL95" i="18"/>
  <c r="AZ94" i="18"/>
  <c r="AZ97" i="18" s="1"/>
  <c r="K21" i="18" s="1"/>
  <c r="L21" i="18" s="1"/>
  <c r="M21" i="18" s="1"/>
  <c r="AY94" i="18"/>
  <c r="AY97" i="18" s="1"/>
  <c r="AX94" i="18"/>
  <c r="AU94" i="18"/>
  <c r="AR94" i="18"/>
  <c r="AO94" i="18"/>
  <c r="AL94" i="18"/>
  <c r="AW92" i="18"/>
  <c r="AV92" i="18"/>
  <c r="AT92" i="18"/>
  <c r="AS92" i="18"/>
  <c r="AQ92" i="18"/>
  <c r="AP92" i="18"/>
  <c r="AN92" i="18"/>
  <c r="AM92" i="18"/>
  <c r="AK92" i="18"/>
  <c r="J20" i="18" s="1"/>
  <c r="AJ92" i="18"/>
  <c r="AI92" i="18"/>
  <c r="AH92" i="18"/>
  <c r="AG92" i="18"/>
  <c r="AF92" i="18"/>
  <c r="AZ91" i="18"/>
  <c r="BA91" i="18" s="1"/>
  <c r="BB91" i="18" s="1"/>
  <c r="AY91" i="18"/>
  <c r="AX91" i="18"/>
  <c r="AU91" i="18"/>
  <c r="AR91" i="18"/>
  <c r="AO91" i="18"/>
  <c r="AL91" i="18"/>
  <c r="BA90" i="18"/>
  <c r="BB90" i="18" s="1"/>
  <c r="AZ90" i="18"/>
  <c r="AY90" i="18"/>
  <c r="AX90" i="18"/>
  <c r="AU90" i="18"/>
  <c r="AR90" i="18"/>
  <c r="AO90" i="18"/>
  <c r="AL90" i="18"/>
  <c r="AZ89" i="18"/>
  <c r="AZ92" i="18" s="1"/>
  <c r="K20" i="18" s="1"/>
  <c r="AY89" i="18"/>
  <c r="AY92" i="18" s="1"/>
  <c r="AX89" i="18"/>
  <c r="AU89" i="18"/>
  <c r="AR89" i="18"/>
  <c r="AO89" i="18"/>
  <c r="AL89" i="18"/>
  <c r="AZ87" i="18"/>
  <c r="AW87" i="18"/>
  <c r="AV87" i="18"/>
  <c r="AT87" i="18"/>
  <c r="AS87" i="18"/>
  <c r="R19" i="18" s="1"/>
  <c r="AQ87" i="18"/>
  <c r="AP87" i="18"/>
  <c r="AN87" i="18"/>
  <c r="AM87" i="18"/>
  <c r="AK87" i="18"/>
  <c r="AJ87" i="18"/>
  <c r="AI87" i="18"/>
  <c r="AH87" i="18"/>
  <c r="G19" i="18" s="1"/>
  <c r="O19" i="18" s="1"/>
  <c r="AG87" i="18"/>
  <c r="AF87" i="18"/>
  <c r="AZ86" i="18"/>
  <c r="AY86" i="18"/>
  <c r="BA86" i="18" s="1"/>
  <c r="BB86" i="18" s="1"/>
  <c r="AX86" i="18"/>
  <c r="AU86" i="18"/>
  <c r="AR86" i="18"/>
  <c r="AO86" i="18"/>
  <c r="AL86" i="18"/>
  <c r="AZ85" i="18"/>
  <c r="AY85" i="18"/>
  <c r="BA85" i="18" s="1"/>
  <c r="BB85" i="18" s="1"/>
  <c r="AX85" i="18"/>
  <c r="AU85" i="18"/>
  <c r="AR85" i="18"/>
  <c r="AO85" i="18"/>
  <c r="AL85" i="18"/>
  <c r="AZ84" i="18"/>
  <c r="AY84" i="18"/>
  <c r="AY87" i="18" s="1"/>
  <c r="BA87" i="18" s="1"/>
  <c r="AX84" i="18"/>
  <c r="AU84" i="18"/>
  <c r="AR84" i="18"/>
  <c r="AO84" i="18"/>
  <c r="AL84" i="18"/>
  <c r="AZ82" i="18"/>
  <c r="K18" i="18" s="1"/>
  <c r="AW82" i="18"/>
  <c r="AV82" i="18"/>
  <c r="AT82" i="18"/>
  <c r="AS82" i="18"/>
  <c r="AQ82" i="18"/>
  <c r="AP82" i="18"/>
  <c r="AN82" i="18"/>
  <c r="AM82" i="18"/>
  <c r="AK82" i="18"/>
  <c r="AJ82" i="18"/>
  <c r="AI82" i="18"/>
  <c r="AH82" i="18"/>
  <c r="AG82" i="18"/>
  <c r="AF82" i="18"/>
  <c r="AZ81" i="18"/>
  <c r="AY81" i="18"/>
  <c r="BA81" i="18" s="1"/>
  <c r="BB81" i="18" s="1"/>
  <c r="AX81" i="18"/>
  <c r="AU81" i="18"/>
  <c r="AR81" i="18"/>
  <c r="AO81" i="18"/>
  <c r="AL81" i="18"/>
  <c r="AZ80" i="18"/>
  <c r="AY80" i="18"/>
  <c r="BA80" i="18" s="1"/>
  <c r="BB80" i="18" s="1"/>
  <c r="AX80" i="18"/>
  <c r="AU80" i="18"/>
  <c r="AR80" i="18"/>
  <c r="AO80" i="18"/>
  <c r="AL80" i="18"/>
  <c r="BA79" i="18"/>
  <c r="BB79" i="18" s="1"/>
  <c r="AZ79" i="18"/>
  <c r="AY79" i="18"/>
  <c r="AY82" i="18" s="1"/>
  <c r="BA82" i="18" s="1"/>
  <c r="AX79" i="18"/>
  <c r="AU79" i="18"/>
  <c r="AR79" i="18"/>
  <c r="AO79" i="18"/>
  <c r="AL79" i="18"/>
  <c r="AW77" i="18"/>
  <c r="AV77" i="18"/>
  <c r="AT77" i="18"/>
  <c r="AS77" i="18"/>
  <c r="AQ77" i="18"/>
  <c r="AP77" i="18"/>
  <c r="AN77" i="18"/>
  <c r="AM77" i="18"/>
  <c r="AK77" i="18"/>
  <c r="AJ77" i="18"/>
  <c r="I17" i="18" s="1"/>
  <c r="AI77" i="18"/>
  <c r="AH77" i="18"/>
  <c r="AG77" i="18"/>
  <c r="AF77" i="18"/>
  <c r="AZ76" i="18"/>
  <c r="AY76" i="18"/>
  <c r="BA76" i="18" s="1"/>
  <c r="BB76" i="18" s="1"/>
  <c r="AX76" i="18"/>
  <c r="AU76" i="18"/>
  <c r="AR76" i="18"/>
  <c r="AO76" i="18"/>
  <c r="AL76" i="18"/>
  <c r="AZ75" i="18"/>
  <c r="BA75" i="18" s="1"/>
  <c r="BB75" i="18" s="1"/>
  <c r="AY75" i="18"/>
  <c r="AX75" i="18"/>
  <c r="AU75" i="18"/>
  <c r="AR75" i="18"/>
  <c r="AO75" i="18"/>
  <c r="AL75" i="18"/>
  <c r="BA74" i="18"/>
  <c r="BB74" i="18" s="1"/>
  <c r="AZ74" i="18"/>
  <c r="AZ77" i="18" s="1"/>
  <c r="K17" i="18" s="1"/>
  <c r="L17" i="18" s="1"/>
  <c r="M17" i="18" s="1"/>
  <c r="AY74" i="18"/>
  <c r="AY77" i="18" s="1"/>
  <c r="AX74" i="18"/>
  <c r="AU74" i="18"/>
  <c r="AR74" i="18"/>
  <c r="AO74" i="18"/>
  <c r="AL74" i="18"/>
  <c r="AY72" i="18"/>
  <c r="BA72" i="18" s="1"/>
  <c r="AW72" i="18"/>
  <c r="AV72" i="18"/>
  <c r="AT72" i="18"/>
  <c r="AS72" i="18"/>
  <c r="AQ72" i="18"/>
  <c r="AP72" i="18"/>
  <c r="AN72" i="18"/>
  <c r="AM72" i="18"/>
  <c r="AK72" i="18"/>
  <c r="AJ72" i="18"/>
  <c r="AI72" i="18"/>
  <c r="AH72" i="18"/>
  <c r="AG72" i="18"/>
  <c r="AF72" i="18"/>
  <c r="BA71" i="18"/>
  <c r="BB71" i="18" s="1"/>
  <c r="AZ71" i="18"/>
  <c r="AY71" i="18"/>
  <c r="AX71" i="18"/>
  <c r="AU71" i="18"/>
  <c r="AR71" i="18"/>
  <c r="AO71" i="18"/>
  <c r="AL71" i="18"/>
  <c r="AZ70" i="18"/>
  <c r="AY70" i="18"/>
  <c r="BA70" i="18" s="1"/>
  <c r="BB70" i="18" s="1"/>
  <c r="AX70" i="18"/>
  <c r="AU70" i="18"/>
  <c r="AR70" i="18"/>
  <c r="AO70" i="18"/>
  <c r="AL70" i="18"/>
  <c r="AZ69" i="18"/>
  <c r="AZ72" i="18" s="1"/>
  <c r="K16" i="18" s="1"/>
  <c r="AY69" i="18"/>
  <c r="BA69" i="18" s="1"/>
  <c r="BB69" i="18" s="1"/>
  <c r="AX69" i="18"/>
  <c r="AU69" i="18"/>
  <c r="AR69" i="18"/>
  <c r="AO69" i="18"/>
  <c r="AL69" i="18"/>
  <c r="AY67" i="18"/>
  <c r="BA67" i="18" s="1"/>
  <c r="AW67" i="18"/>
  <c r="AV67" i="18"/>
  <c r="AT67" i="18"/>
  <c r="AS67" i="18"/>
  <c r="AQ67" i="18"/>
  <c r="AP67" i="18"/>
  <c r="AN67" i="18"/>
  <c r="AM67" i="18"/>
  <c r="AK67" i="18"/>
  <c r="AJ67" i="18"/>
  <c r="AI67" i="18"/>
  <c r="AH67" i="18"/>
  <c r="AG67" i="18"/>
  <c r="AF67" i="18"/>
  <c r="BA66" i="18"/>
  <c r="BB66" i="18" s="1"/>
  <c r="AZ66" i="18"/>
  <c r="AY66" i="18"/>
  <c r="AX66" i="18"/>
  <c r="AU66" i="18"/>
  <c r="AR66" i="18"/>
  <c r="AO66" i="18"/>
  <c r="AL66" i="18"/>
  <c r="AZ65" i="18"/>
  <c r="AY65" i="18"/>
  <c r="BA65" i="18" s="1"/>
  <c r="BB65" i="18" s="1"/>
  <c r="AX65" i="18"/>
  <c r="AU65" i="18"/>
  <c r="AR65" i="18"/>
  <c r="AO65" i="18"/>
  <c r="AL65" i="18"/>
  <c r="AZ64" i="18"/>
  <c r="AZ67" i="18" s="1"/>
  <c r="K15" i="18" s="1"/>
  <c r="L15" i="18" s="1"/>
  <c r="M15" i="18" s="1"/>
  <c r="AY64" i="18"/>
  <c r="BA64" i="18" s="1"/>
  <c r="BB64" i="18" s="1"/>
  <c r="AX64" i="18"/>
  <c r="AU64" i="18"/>
  <c r="AR64" i="18"/>
  <c r="AO64" i="18"/>
  <c r="AL64" i="18"/>
  <c r="AW62" i="18"/>
  <c r="AV62" i="18"/>
  <c r="AT62" i="18"/>
  <c r="AS62" i="18"/>
  <c r="AQ62" i="18"/>
  <c r="AP62" i="18"/>
  <c r="AN62" i="18"/>
  <c r="AM62" i="18"/>
  <c r="AK62" i="18"/>
  <c r="AJ62" i="18"/>
  <c r="AI62" i="18"/>
  <c r="H14" i="18" s="1"/>
  <c r="AH62" i="18"/>
  <c r="AG62" i="18"/>
  <c r="E14" i="3" s="1"/>
  <c r="AF62" i="18"/>
  <c r="AZ61" i="18"/>
  <c r="AY61" i="18"/>
  <c r="BA61" i="18" s="1"/>
  <c r="BB61" i="18" s="1"/>
  <c r="AX61" i="18"/>
  <c r="AU61" i="18"/>
  <c r="AR61" i="18"/>
  <c r="AO61" i="18"/>
  <c r="AL61" i="18"/>
  <c r="AZ60" i="18"/>
  <c r="AY60" i="18"/>
  <c r="BA60" i="18" s="1"/>
  <c r="BB60" i="18" s="1"/>
  <c r="AX60" i="18"/>
  <c r="AU60" i="18"/>
  <c r="AR60" i="18"/>
  <c r="AO60" i="18"/>
  <c r="AL60" i="18"/>
  <c r="AZ59" i="18"/>
  <c r="AZ62" i="18" s="1"/>
  <c r="K14" i="18" s="1"/>
  <c r="AY59" i="18"/>
  <c r="AY62" i="18" s="1"/>
  <c r="BA62" i="18" s="1"/>
  <c r="AX59" i="18"/>
  <c r="AU59" i="18"/>
  <c r="AR59" i="18"/>
  <c r="AO59" i="18"/>
  <c r="AL59" i="18"/>
  <c r="AW57" i="18"/>
  <c r="AV57" i="18"/>
  <c r="AT57" i="18"/>
  <c r="AS57" i="18"/>
  <c r="AQ57" i="18"/>
  <c r="AP57" i="18"/>
  <c r="P13" i="18" s="1"/>
  <c r="AN57" i="18"/>
  <c r="AM57" i="18"/>
  <c r="N13" i="18" s="1"/>
  <c r="AK57" i="18"/>
  <c r="J13" i="18" s="1"/>
  <c r="AJ57" i="18"/>
  <c r="I13" i="18" s="1"/>
  <c r="AI57" i="18"/>
  <c r="H13" i="18" s="1"/>
  <c r="AH57" i="18"/>
  <c r="G13" i="18" s="1"/>
  <c r="AG57" i="18"/>
  <c r="E13" i="3" s="1"/>
  <c r="AF57" i="18"/>
  <c r="AZ56" i="18"/>
  <c r="AY56" i="18"/>
  <c r="AX56" i="18"/>
  <c r="AU56" i="18"/>
  <c r="AR56" i="18"/>
  <c r="AO56" i="18"/>
  <c r="AL56" i="18"/>
  <c r="AZ55" i="18"/>
  <c r="AY55" i="18"/>
  <c r="BA55" i="18" s="1"/>
  <c r="BB55" i="18" s="1"/>
  <c r="AX55" i="18"/>
  <c r="AU55" i="18"/>
  <c r="AR55" i="18"/>
  <c r="AO55" i="18"/>
  <c r="AL55" i="18"/>
  <c r="AZ54" i="18"/>
  <c r="AZ57" i="18" s="1"/>
  <c r="K13" i="18" s="1"/>
  <c r="AY54" i="18"/>
  <c r="AX54" i="18"/>
  <c r="AU54" i="18"/>
  <c r="AR54" i="18"/>
  <c r="AO54" i="18"/>
  <c r="AL54" i="18"/>
  <c r="AW52" i="18"/>
  <c r="AV52" i="18"/>
  <c r="T12" i="18" s="1"/>
  <c r="AT52" i="18"/>
  <c r="AS52" i="18"/>
  <c r="R12" i="18" s="1"/>
  <c r="AQ52" i="18"/>
  <c r="AP52" i="18"/>
  <c r="AN52" i="18"/>
  <c r="AM52" i="18"/>
  <c r="AK52" i="18"/>
  <c r="J12" i="18" s="1"/>
  <c r="AJ52" i="18"/>
  <c r="AI52" i="18"/>
  <c r="AH52" i="18"/>
  <c r="AG52" i="18"/>
  <c r="F12" i="18" s="1"/>
  <c r="E12" i="3" s="1"/>
  <c r="AF52" i="18"/>
  <c r="AZ51" i="18"/>
  <c r="AY51" i="18"/>
  <c r="AX51" i="18"/>
  <c r="AU51" i="18"/>
  <c r="AR51" i="18"/>
  <c r="AO51" i="18"/>
  <c r="AL51" i="18"/>
  <c r="BA50" i="18"/>
  <c r="BB50" i="18" s="1"/>
  <c r="AZ50" i="18"/>
  <c r="AY50" i="18"/>
  <c r="AX50" i="18"/>
  <c r="AU50" i="18"/>
  <c r="AR50" i="18"/>
  <c r="AO50" i="18"/>
  <c r="AL50" i="18"/>
  <c r="AZ49" i="18"/>
  <c r="AZ52" i="18" s="1"/>
  <c r="K12" i="18" s="1"/>
  <c r="AY49" i="18"/>
  <c r="AX49" i="18"/>
  <c r="AU49" i="18"/>
  <c r="AR49" i="18"/>
  <c r="AO49" i="18"/>
  <c r="AL49" i="18"/>
  <c r="AW47" i="18"/>
  <c r="AV47" i="18"/>
  <c r="AT47" i="18"/>
  <c r="AS47" i="18"/>
  <c r="R11" i="18" s="1"/>
  <c r="AQ47" i="18"/>
  <c r="AP47" i="18"/>
  <c r="AN47" i="18"/>
  <c r="AM47" i="18"/>
  <c r="AK47" i="18"/>
  <c r="AJ47" i="18"/>
  <c r="AI47" i="18"/>
  <c r="AH47" i="18"/>
  <c r="G11" i="18" s="1"/>
  <c r="AG47" i="18"/>
  <c r="F11" i="18" s="1"/>
  <c r="E11" i="3" s="1"/>
  <c r="AF47" i="18"/>
  <c r="AZ46" i="18"/>
  <c r="AZ47" i="18" s="1"/>
  <c r="AY46" i="18"/>
  <c r="BA46" i="18" s="1"/>
  <c r="BB46" i="18" s="1"/>
  <c r="AX46" i="18"/>
  <c r="AU46" i="18"/>
  <c r="AR46" i="18"/>
  <c r="AO46" i="18"/>
  <c r="AL46" i="18"/>
  <c r="AZ45" i="18"/>
  <c r="AY45" i="18"/>
  <c r="BA45" i="18" s="1"/>
  <c r="BB45" i="18" s="1"/>
  <c r="AX45" i="18"/>
  <c r="AU45" i="18"/>
  <c r="AR45" i="18"/>
  <c r="AO45" i="18"/>
  <c r="AL45" i="18"/>
  <c r="AZ44" i="18"/>
  <c r="AY44" i="18"/>
  <c r="AY47" i="18" s="1"/>
  <c r="BA47" i="18" s="1"/>
  <c r="AX44" i="18"/>
  <c r="AU44" i="18"/>
  <c r="AR44" i="18"/>
  <c r="AO44" i="18"/>
  <c r="AL44" i="18"/>
  <c r="AW42" i="18"/>
  <c r="AV42" i="18"/>
  <c r="AT42" i="18"/>
  <c r="AS42" i="18"/>
  <c r="AQ42" i="18"/>
  <c r="AP42" i="18"/>
  <c r="AN42" i="18"/>
  <c r="AM42" i="18"/>
  <c r="AK42" i="18"/>
  <c r="J10" i="18" s="1"/>
  <c r="AJ42" i="18"/>
  <c r="AI42" i="18"/>
  <c r="AH42" i="18"/>
  <c r="G10" i="18" s="1"/>
  <c r="F10" i="3" s="1"/>
  <c r="AG42" i="18"/>
  <c r="F10" i="18" s="1"/>
  <c r="E10" i="3" s="1"/>
  <c r="AF42" i="18"/>
  <c r="AZ41" i="18"/>
  <c r="AZ42" i="18" s="1"/>
  <c r="K10" i="18" s="1"/>
  <c r="AY41" i="18"/>
  <c r="BA41" i="18" s="1"/>
  <c r="BB41" i="18" s="1"/>
  <c r="AX41" i="18"/>
  <c r="AU41" i="18"/>
  <c r="AR41" i="18"/>
  <c r="AO41" i="18"/>
  <c r="AL41" i="18"/>
  <c r="AZ40" i="18"/>
  <c r="AY40" i="18"/>
  <c r="BA40" i="18" s="1"/>
  <c r="BB40" i="18" s="1"/>
  <c r="AX40" i="18"/>
  <c r="AU40" i="18"/>
  <c r="AR40" i="18"/>
  <c r="AO40" i="18"/>
  <c r="AL40" i="18"/>
  <c r="BA39" i="18"/>
  <c r="BB39" i="18" s="1"/>
  <c r="AZ39" i="18"/>
  <c r="AY39" i="18"/>
  <c r="AY42" i="18" s="1"/>
  <c r="BA42" i="18" s="1"/>
  <c r="AX39" i="18"/>
  <c r="AU39" i="18"/>
  <c r="AR39" i="18"/>
  <c r="AO39" i="18"/>
  <c r="AL39" i="18"/>
  <c r="AW37" i="18"/>
  <c r="AV37" i="18"/>
  <c r="AT37" i="18"/>
  <c r="AS37" i="18"/>
  <c r="AQ37" i="18"/>
  <c r="AP37" i="18"/>
  <c r="AN37" i="18"/>
  <c r="AM37" i="18"/>
  <c r="AK37" i="18"/>
  <c r="AJ37" i="18"/>
  <c r="I9" i="18" s="1"/>
  <c r="AI37" i="18"/>
  <c r="AH37" i="18"/>
  <c r="AG37" i="18"/>
  <c r="F9" i="18" s="1"/>
  <c r="E9" i="3" s="1"/>
  <c r="AF37" i="18"/>
  <c r="AZ36" i="18"/>
  <c r="AY36" i="18"/>
  <c r="BA36" i="18" s="1"/>
  <c r="BB36" i="18" s="1"/>
  <c r="AX36" i="18"/>
  <c r="AU36" i="18"/>
  <c r="AR36" i="18"/>
  <c r="AO36" i="18"/>
  <c r="AL36" i="18"/>
  <c r="AZ35" i="18"/>
  <c r="BA35" i="18" s="1"/>
  <c r="BB35" i="18" s="1"/>
  <c r="AY35" i="18"/>
  <c r="AX35" i="18"/>
  <c r="AU35" i="18"/>
  <c r="AR35" i="18"/>
  <c r="AO35" i="18"/>
  <c r="AL35" i="18"/>
  <c r="BA34" i="18"/>
  <c r="BB34" i="18" s="1"/>
  <c r="AZ34" i="18"/>
  <c r="AZ37" i="18" s="1"/>
  <c r="K9" i="18" s="1"/>
  <c r="AY34" i="18"/>
  <c r="AY37" i="18" s="1"/>
  <c r="BA37" i="18" s="1"/>
  <c r="AX34" i="18"/>
  <c r="AU34" i="18"/>
  <c r="AR34" i="18"/>
  <c r="AO34" i="18"/>
  <c r="AL34" i="18"/>
  <c r="AW32" i="18"/>
  <c r="AV32" i="18"/>
  <c r="AT32" i="18"/>
  <c r="AS32" i="18"/>
  <c r="AQ32" i="18"/>
  <c r="AP32" i="18"/>
  <c r="P8" i="18" s="1"/>
  <c r="Q8" i="18" s="1"/>
  <c r="AN32" i="18"/>
  <c r="AM32" i="18"/>
  <c r="AK32" i="18"/>
  <c r="AJ32" i="18"/>
  <c r="AI32" i="18"/>
  <c r="AH32" i="18"/>
  <c r="AG32" i="18"/>
  <c r="F8" i="18" s="1"/>
  <c r="E8" i="3" s="1"/>
  <c r="AF32" i="18"/>
  <c r="AZ31" i="18"/>
  <c r="AY31" i="18"/>
  <c r="AY32" i="18" s="1"/>
  <c r="AX31" i="18"/>
  <c r="AU31" i="18"/>
  <c r="AR31" i="18"/>
  <c r="AO31" i="18"/>
  <c r="AL31" i="18"/>
  <c r="AZ30" i="18"/>
  <c r="AY30" i="18"/>
  <c r="BA30" i="18" s="1"/>
  <c r="BB30" i="18" s="1"/>
  <c r="AX30" i="18"/>
  <c r="AU30" i="18"/>
  <c r="AR30" i="18"/>
  <c r="AO30" i="18"/>
  <c r="AL30" i="18"/>
  <c r="AZ29" i="18"/>
  <c r="AY29" i="18"/>
  <c r="BA29" i="18" s="1"/>
  <c r="BB29" i="18" s="1"/>
  <c r="AX29" i="18"/>
  <c r="AU29" i="18"/>
  <c r="AR29" i="18"/>
  <c r="AO29" i="18"/>
  <c r="AL29" i="18"/>
  <c r="AW27" i="18"/>
  <c r="AV27" i="18"/>
  <c r="AT27" i="18"/>
  <c r="AS27" i="18"/>
  <c r="AQ27" i="18"/>
  <c r="AP27" i="18"/>
  <c r="P7" i="18" s="1"/>
  <c r="AN27" i="18"/>
  <c r="AM27" i="18"/>
  <c r="N7" i="18" s="1"/>
  <c r="AK27" i="18"/>
  <c r="J7" i="18" s="1"/>
  <c r="AJ27" i="18"/>
  <c r="AI27" i="18"/>
  <c r="AH27" i="18"/>
  <c r="G7" i="18" s="1"/>
  <c r="F7" i="3" s="1"/>
  <c r="H7" i="3" s="1"/>
  <c r="AG27" i="18"/>
  <c r="F7" i="18" s="1"/>
  <c r="E7" i="3" s="1"/>
  <c r="AF27" i="18"/>
  <c r="E7" i="18" s="1"/>
  <c r="AZ26" i="18"/>
  <c r="AY26" i="18"/>
  <c r="AX26" i="18"/>
  <c r="AU26" i="18"/>
  <c r="AR26" i="18"/>
  <c r="AO26" i="18"/>
  <c r="AL26" i="18"/>
  <c r="AZ25" i="18"/>
  <c r="AY25" i="18"/>
  <c r="BA25" i="18" s="1"/>
  <c r="BB25" i="18" s="1"/>
  <c r="AX25" i="18"/>
  <c r="AU25" i="18"/>
  <c r="AR25" i="18"/>
  <c r="AO25" i="18"/>
  <c r="AL25" i="18"/>
  <c r="AZ24" i="18"/>
  <c r="AY24" i="18"/>
  <c r="BA24" i="18" s="1"/>
  <c r="BB24" i="18" s="1"/>
  <c r="AX24" i="18"/>
  <c r="AU24" i="18"/>
  <c r="AR24" i="18"/>
  <c r="AO24" i="18"/>
  <c r="AL24" i="18"/>
  <c r="AW22" i="18"/>
  <c r="AV22" i="18"/>
  <c r="AT22" i="18"/>
  <c r="AS22" i="18"/>
  <c r="R6" i="18" s="1"/>
  <c r="AQ22" i="18"/>
  <c r="AP22" i="18"/>
  <c r="P6" i="18" s="1"/>
  <c r="AN22" i="18"/>
  <c r="AM22" i="18"/>
  <c r="N6" i="18" s="1"/>
  <c r="AK22" i="18"/>
  <c r="J6" i="18" s="1"/>
  <c r="AJ22" i="18"/>
  <c r="I6" i="18" s="1"/>
  <c r="AI22" i="18"/>
  <c r="H6" i="18" s="1"/>
  <c r="AH22" i="18"/>
  <c r="G6" i="18" s="1"/>
  <c r="AG22" i="18"/>
  <c r="F6" i="18" s="1"/>
  <c r="E6" i="3" s="1"/>
  <c r="AF22" i="18"/>
  <c r="E6" i="18" s="1"/>
  <c r="AZ21" i="18"/>
  <c r="AY21" i="18"/>
  <c r="AX21" i="18"/>
  <c r="AU21" i="18"/>
  <c r="AR21" i="18"/>
  <c r="AO21" i="18"/>
  <c r="AL21" i="18"/>
  <c r="AZ20" i="18"/>
  <c r="AY20" i="18"/>
  <c r="BA20" i="18" s="1"/>
  <c r="BB20" i="18" s="1"/>
  <c r="AX20" i="18"/>
  <c r="AU20" i="18"/>
  <c r="AR20" i="18"/>
  <c r="AO20" i="18"/>
  <c r="AL20" i="18"/>
  <c r="AZ19" i="18"/>
  <c r="AY19" i="18"/>
  <c r="AX19" i="18"/>
  <c r="AU19" i="18"/>
  <c r="AR19" i="18"/>
  <c r="AO19" i="18"/>
  <c r="AL19" i="18"/>
  <c r="AW17" i="18"/>
  <c r="AV17" i="18"/>
  <c r="T5" i="18" s="1"/>
  <c r="AT17" i="18"/>
  <c r="AS17" i="18"/>
  <c r="R5" i="18" s="1"/>
  <c r="AQ17" i="18"/>
  <c r="AP17" i="18"/>
  <c r="P5" i="18" s="1"/>
  <c r="AN17" i="18"/>
  <c r="AM17" i="18"/>
  <c r="AK17" i="18"/>
  <c r="J5" i="18" s="1"/>
  <c r="AJ17" i="18"/>
  <c r="I5" i="18" s="1"/>
  <c r="AI17" i="18"/>
  <c r="H5" i="18" s="1"/>
  <c r="AH17" i="18"/>
  <c r="G5" i="18" s="1"/>
  <c r="AG17" i="18"/>
  <c r="F5" i="18" s="1"/>
  <c r="AF17" i="18"/>
  <c r="E5" i="18" s="1"/>
  <c r="AZ16" i="18"/>
  <c r="AY16" i="18"/>
  <c r="AX16" i="18"/>
  <c r="AU16" i="18"/>
  <c r="AR16" i="18"/>
  <c r="AO16" i="18"/>
  <c r="AL16" i="18"/>
  <c r="BA15" i="18"/>
  <c r="BB15" i="18" s="1"/>
  <c r="AZ15" i="18"/>
  <c r="AY15" i="18"/>
  <c r="AX15" i="18"/>
  <c r="AU15" i="18"/>
  <c r="AR15" i="18"/>
  <c r="AO15" i="18"/>
  <c r="AL15" i="18"/>
  <c r="AZ14" i="18"/>
  <c r="AY14" i="18"/>
  <c r="AX14" i="18"/>
  <c r="AU14" i="18"/>
  <c r="AR14" i="18"/>
  <c r="AO14" i="18"/>
  <c r="AL14" i="18"/>
  <c r="AW12" i="18"/>
  <c r="AV12" i="18"/>
  <c r="T4" i="18" s="1"/>
  <c r="AT12" i="18"/>
  <c r="AS12" i="18"/>
  <c r="AQ12" i="18"/>
  <c r="AP12" i="18"/>
  <c r="AN12" i="18"/>
  <c r="AM12" i="18"/>
  <c r="N4" i="18" s="1"/>
  <c r="AK12" i="18"/>
  <c r="J4" i="18" s="1"/>
  <c r="AJ12" i="18"/>
  <c r="I4" i="18" s="1"/>
  <c r="AI12" i="18"/>
  <c r="H4" i="18" s="1"/>
  <c r="AH12" i="18"/>
  <c r="G4" i="18" s="1"/>
  <c r="AG12" i="18"/>
  <c r="F4" i="18" s="1"/>
  <c r="AF12" i="18"/>
  <c r="E4" i="18" s="1"/>
  <c r="AZ11" i="18"/>
  <c r="AY11" i="18"/>
  <c r="AX11" i="18"/>
  <c r="AU11" i="18"/>
  <c r="AR11" i="18"/>
  <c r="AO11" i="18"/>
  <c r="AL11" i="18"/>
  <c r="BA10" i="18"/>
  <c r="BB10" i="18" s="1"/>
  <c r="AZ10" i="18"/>
  <c r="AY10" i="18"/>
  <c r="AX10" i="18"/>
  <c r="AU10" i="18"/>
  <c r="AR10" i="18"/>
  <c r="AO10" i="18"/>
  <c r="AL10" i="18"/>
  <c r="AZ9" i="18"/>
  <c r="AY9" i="18"/>
  <c r="AX9" i="18"/>
  <c r="AU9" i="18"/>
  <c r="AR9" i="18"/>
  <c r="AO9" i="18"/>
  <c r="AL9" i="18"/>
  <c r="AW7" i="18"/>
  <c r="AV7" i="18"/>
  <c r="T3" i="18" s="1"/>
  <c r="AT7" i="18"/>
  <c r="AS7" i="18"/>
  <c r="AQ7" i="18"/>
  <c r="AP7" i="18"/>
  <c r="AN7" i="18"/>
  <c r="AM7" i="18"/>
  <c r="N3" i="18" s="1"/>
  <c r="AK7" i="18"/>
  <c r="AJ7" i="18"/>
  <c r="AI7" i="18"/>
  <c r="AH7" i="18"/>
  <c r="G3" i="18" s="1"/>
  <c r="AG7" i="18"/>
  <c r="F3" i="18" s="1"/>
  <c r="AF7" i="18"/>
  <c r="E3" i="18" s="1"/>
  <c r="AZ6" i="18"/>
  <c r="AY6" i="18"/>
  <c r="AX6" i="18"/>
  <c r="AU6" i="18"/>
  <c r="AR6" i="18"/>
  <c r="AO6" i="18"/>
  <c r="AL6" i="18"/>
  <c r="AZ5" i="18"/>
  <c r="AY5" i="18"/>
  <c r="BA5" i="18" s="1"/>
  <c r="BB5" i="18" s="1"/>
  <c r="AX5" i="18"/>
  <c r="AU5" i="18"/>
  <c r="AR5" i="18"/>
  <c r="AO5" i="18"/>
  <c r="AL5" i="18"/>
  <c r="AZ4" i="18"/>
  <c r="AY4" i="18"/>
  <c r="AX4" i="18"/>
  <c r="AU4" i="18"/>
  <c r="AR4" i="18"/>
  <c r="AO4" i="18"/>
  <c r="AL4" i="18"/>
  <c r="V22" i="18"/>
  <c r="T22" i="18"/>
  <c r="U22" i="18" s="1"/>
  <c r="R22" i="18"/>
  <c r="P22" i="18"/>
  <c r="O22" i="18"/>
  <c r="N22" i="18"/>
  <c r="J22" i="18"/>
  <c r="I22" i="18"/>
  <c r="H22" i="18"/>
  <c r="G22" i="18"/>
  <c r="F22" i="18"/>
  <c r="E22" i="18"/>
  <c r="W21" i="18"/>
  <c r="V21" i="18"/>
  <c r="T21" i="18"/>
  <c r="R21" i="18"/>
  <c r="N21" i="18"/>
  <c r="J21" i="18"/>
  <c r="I21" i="18"/>
  <c r="H21" i="18"/>
  <c r="G21" i="18"/>
  <c r="O21" i="18" s="1"/>
  <c r="V20" i="18"/>
  <c r="T20" i="18"/>
  <c r="R20" i="18"/>
  <c r="P20" i="18"/>
  <c r="Q20" i="18" s="1"/>
  <c r="O20" i="18"/>
  <c r="N20" i="18"/>
  <c r="I20" i="18"/>
  <c r="H20" i="18"/>
  <c r="G20" i="18"/>
  <c r="S20" i="18" s="1"/>
  <c r="E20" i="18"/>
  <c r="V19" i="18"/>
  <c r="T19" i="18"/>
  <c r="P19" i="18"/>
  <c r="N19" i="18"/>
  <c r="K19" i="18"/>
  <c r="J19" i="18"/>
  <c r="I19" i="18"/>
  <c r="H19" i="18"/>
  <c r="E19" i="18"/>
  <c r="V18" i="18"/>
  <c r="T18" i="18"/>
  <c r="R18" i="18"/>
  <c r="P18" i="18"/>
  <c r="Q18" i="18" s="1"/>
  <c r="N18" i="18"/>
  <c r="J18" i="18"/>
  <c r="I18" i="18"/>
  <c r="H18" i="18"/>
  <c r="G18" i="18"/>
  <c r="E18" i="18"/>
  <c r="V17" i="18"/>
  <c r="T17" i="18"/>
  <c r="U17" i="18" s="1"/>
  <c r="R17" i="18"/>
  <c r="P17" i="18"/>
  <c r="Q17" i="18" s="1"/>
  <c r="N17" i="18"/>
  <c r="J17" i="18"/>
  <c r="H17" i="18"/>
  <c r="G17" i="18"/>
  <c r="O17" i="18" s="1"/>
  <c r="E17" i="18"/>
  <c r="V16" i="18"/>
  <c r="T16" i="18"/>
  <c r="R16" i="18"/>
  <c r="P16" i="18"/>
  <c r="Q16" i="18" s="1"/>
  <c r="N16" i="18"/>
  <c r="J16" i="18"/>
  <c r="I16" i="18"/>
  <c r="H16" i="18"/>
  <c r="G16" i="18"/>
  <c r="E16" i="18"/>
  <c r="V15" i="18"/>
  <c r="T15" i="18"/>
  <c r="U15" i="18" s="1"/>
  <c r="R15" i="18"/>
  <c r="S15" i="18" s="1"/>
  <c r="P15" i="18"/>
  <c r="Q15" i="18" s="1"/>
  <c r="N15" i="18"/>
  <c r="J15" i="18"/>
  <c r="I15" i="18"/>
  <c r="H15" i="18"/>
  <c r="G15" i="18"/>
  <c r="E15" i="18"/>
  <c r="V14" i="18"/>
  <c r="T14" i="18"/>
  <c r="R14" i="18"/>
  <c r="S14" i="18" s="1"/>
  <c r="Q14" i="18"/>
  <c r="O14" i="18"/>
  <c r="V13" i="18"/>
  <c r="T13" i="18"/>
  <c r="R13" i="18"/>
  <c r="V12" i="18"/>
  <c r="P12" i="18"/>
  <c r="N12" i="18"/>
  <c r="I12" i="18"/>
  <c r="H12" i="18"/>
  <c r="G12" i="18"/>
  <c r="V11" i="18"/>
  <c r="T11" i="18"/>
  <c r="P11" i="18"/>
  <c r="N11" i="18"/>
  <c r="K11" i="18"/>
  <c r="J11" i="18"/>
  <c r="I11" i="18"/>
  <c r="H11" i="18"/>
  <c r="E11" i="18"/>
  <c r="V10" i="18"/>
  <c r="T10" i="18"/>
  <c r="R10" i="18"/>
  <c r="S10" i="18" s="1"/>
  <c r="P10" i="18"/>
  <c r="N10" i="18"/>
  <c r="I10" i="18"/>
  <c r="H10" i="18"/>
  <c r="O10" i="18"/>
  <c r="E10" i="18"/>
  <c r="V9" i="18"/>
  <c r="T9" i="18"/>
  <c r="R9" i="18"/>
  <c r="P9" i="18"/>
  <c r="N9" i="18"/>
  <c r="J9" i="18"/>
  <c r="H9" i="18"/>
  <c r="G9" i="18"/>
  <c r="E9" i="18"/>
  <c r="V8" i="18"/>
  <c r="T8" i="18"/>
  <c r="R8" i="18"/>
  <c r="N8" i="18"/>
  <c r="J8" i="18"/>
  <c r="I8" i="18"/>
  <c r="H8" i="18"/>
  <c r="G8" i="18"/>
  <c r="O8" i="18" s="1"/>
  <c r="E8" i="18"/>
  <c r="V7" i="18"/>
  <c r="T7" i="18"/>
  <c r="R7" i="18"/>
  <c r="I7" i="18"/>
  <c r="H7" i="18"/>
  <c r="V6" i="18"/>
  <c r="T6" i="18"/>
  <c r="V5" i="18"/>
  <c r="V4" i="18"/>
  <c r="R4" i="18"/>
  <c r="P4" i="18"/>
  <c r="V3" i="18"/>
  <c r="V23" i="18" s="1"/>
  <c r="J3" i="18"/>
  <c r="I3" i="18"/>
  <c r="H3" i="18"/>
  <c r="W22" i="24"/>
  <c r="W21" i="24"/>
  <c r="W20" i="24"/>
  <c r="W19" i="24"/>
  <c r="V22" i="24"/>
  <c r="V21" i="24"/>
  <c r="V20" i="24"/>
  <c r="V19" i="24"/>
  <c r="V18" i="24"/>
  <c r="V17" i="24"/>
  <c r="V16" i="24"/>
  <c r="V15" i="24"/>
  <c r="V14" i="24"/>
  <c r="V13" i="24"/>
  <c r="V12" i="24"/>
  <c r="V11" i="24"/>
  <c r="V10" i="24"/>
  <c r="V9" i="24"/>
  <c r="V8" i="24"/>
  <c r="V7" i="24"/>
  <c r="V6" i="24"/>
  <c r="V5" i="24"/>
  <c r="V4" i="24"/>
  <c r="V3" i="24"/>
  <c r="T22" i="24"/>
  <c r="T21" i="24"/>
  <c r="T20" i="24"/>
  <c r="T19" i="24"/>
  <c r="R22" i="24"/>
  <c r="R21" i="24"/>
  <c r="R20" i="24"/>
  <c r="R19" i="24"/>
  <c r="P22" i="24"/>
  <c r="P21" i="24"/>
  <c r="P20" i="24"/>
  <c r="P19" i="24"/>
  <c r="N22" i="24"/>
  <c r="N21" i="24"/>
  <c r="N20" i="24"/>
  <c r="N19" i="24"/>
  <c r="AY57" i="18" l="1"/>
  <c r="AY52" i="18"/>
  <c r="BA52" i="18" s="1"/>
  <c r="BB52" i="18" s="1"/>
  <c r="BA56" i="18"/>
  <c r="BB56" i="18" s="1"/>
  <c r="L14" i="3"/>
  <c r="H14" i="3"/>
  <c r="BA57" i="18"/>
  <c r="W13" i="18" s="1"/>
  <c r="X13" i="18" s="1"/>
  <c r="Q13" i="3" s="1"/>
  <c r="BA51" i="18"/>
  <c r="BB51" i="18" s="1"/>
  <c r="L13" i="18"/>
  <c r="M13" i="18" s="1"/>
  <c r="O13" i="18"/>
  <c r="F13" i="3"/>
  <c r="N13" i="3" s="1"/>
  <c r="U13" i="18"/>
  <c r="Q13" i="18"/>
  <c r="O12" i="18"/>
  <c r="F12" i="3"/>
  <c r="Q12" i="18"/>
  <c r="P12" i="3"/>
  <c r="O11" i="18"/>
  <c r="F11" i="3"/>
  <c r="H10" i="3"/>
  <c r="L10" i="3"/>
  <c r="S9" i="18"/>
  <c r="F9" i="3"/>
  <c r="Q9" i="18"/>
  <c r="U9" i="18"/>
  <c r="BA26" i="18"/>
  <c r="BB26" i="18" s="1"/>
  <c r="AY27" i="18"/>
  <c r="Q7" i="18"/>
  <c r="O7" i="18"/>
  <c r="AZ32" i="18"/>
  <c r="K8" i="18" s="1"/>
  <c r="BA31" i="18"/>
  <c r="BB31" i="18" s="1"/>
  <c r="S8" i="18"/>
  <c r="BA21" i="18"/>
  <c r="BB21" i="18" s="1"/>
  <c r="F8" i="3"/>
  <c r="AZ27" i="18"/>
  <c r="K7" i="18" s="1"/>
  <c r="L7" i="18" s="1"/>
  <c r="M7" i="18" s="1"/>
  <c r="AZ22" i="18"/>
  <c r="K6" i="18" s="1"/>
  <c r="AY22" i="18"/>
  <c r="S7" i="18"/>
  <c r="P8" i="3"/>
  <c r="U7" i="18"/>
  <c r="O6" i="18"/>
  <c r="F6" i="3"/>
  <c r="S6" i="18"/>
  <c r="BA22" i="18"/>
  <c r="BB22" i="18" s="1"/>
  <c r="P6" i="3"/>
  <c r="N5" i="18"/>
  <c r="BA16" i="18"/>
  <c r="BB16" i="18" s="1"/>
  <c r="O4" i="18"/>
  <c r="AY7" i="18"/>
  <c r="AZ7" i="18"/>
  <c r="K3" i="18" s="1"/>
  <c r="BA6" i="18"/>
  <c r="BB6" i="18" s="1"/>
  <c r="O5" i="18"/>
  <c r="S5" i="18"/>
  <c r="U5" i="18"/>
  <c r="AY17" i="18"/>
  <c r="Q5" i="18"/>
  <c r="AZ17" i="18"/>
  <c r="K5" i="18" s="1"/>
  <c r="L5" i="18"/>
  <c r="M5" i="18" s="1"/>
  <c r="AZ12" i="18"/>
  <c r="K4" i="18" s="1"/>
  <c r="L4" i="18" s="1"/>
  <c r="M4" i="18" s="1"/>
  <c r="AY12" i="18"/>
  <c r="BA11" i="18"/>
  <c r="BB11" i="18" s="1"/>
  <c r="Q4" i="18"/>
  <c r="S4" i="18"/>
  <c r="J16" i="3"/>
  <c r="J6" i="3"/>
  <c r="P22" i="3"/>
  <c r="J14" i="3"/>
  <c r="P10" i="3"/>
  <c r="N22" i="3"/>
  <c r="P20" i="3"/>
  <c r="N10" i="3"/>
  <c r="N20" i="3"/>
  <c r="J22" i="3"/>
  <c r="J10" i="3"/>
  <c r="J20" i="3"/>
  <c r="P21" i="3"/>
  <c r="P19" i="3"/>
  <c r="P17" i="3"/>
  <c r="P15" i="3"/>
  <c r="P13" i="3"/>
  <c r="P11" i="3"/>
  <c r="P9" i="3"/>
  <c r="P7" i="3"/>
  <c r="N21" i="3"/>
  <c r="N19" i="3"/>
  <c r="N17" i="3"/>
  <c r="N15" i="3"/>
  <c r="N11" i="3"/>
  <c r="N9" i="3"/>
  <c r="N7" i="3"/>
  <c r="J21" i="3"/>
  <c r="J19" i="3"/>
  <c r="J17" i="3"/>
  <c r="J15" i="3"/>
  <c r="J13" i="3"/>
  <c r="J11" i="3"/>
  <c r="J9" i="3"/>
  <c r="J7" i="3"/>
  <c r="BB62" i="18"/>
  <c r="W14" i="18"/>
  <c r="X14" i="18" s="1"/>
  <c r="Q14" i="3" s="1"/>
  <c r="S19" i="18"/>
  <c r="L6" i="18"/>
  <c r="M6" i="18" s="1"/>
  <c r="W18" i="18"/>
  <c r="X18" i="18" s="1"/>
  <c r="BB82" i="18"/>
  <c r="W15" i="18"/>
  <c r="X15" i="18" s="1"/>
  <c r="BB67" i="18"/>
  <c r="BA92" i="18"/>
  <c r="BA102" i="18"/>
  <c r="BB37" i="18"/>
  <c r="W9" i="18"/>
  <c r="X9" i="18" s="1"/>
  <c r="Q9" i="3" s="1"/>
  <c r="L14" i="18"/>
  <c r="M14" i="18" s="1"/>
  <c r="L9" i="18"/>
  <c r="M9" i="18" s="1"/>
  <c r="W11" i="18"/>
  <c r="X11" i="18" s="1"/>
  <c r="Q11" i="3" s="1"/>
  <c r="BB47" i="18"/>
  <c r="G23" i="18"/>
  <c r="R23" i="18"/>
  <c r="S3" i="18"/>
  <c r="BA32" i="18"/>
  <c r="BA77" i="18"/>
  <c r="S11" i="18"/>
  <c r="W19" i="18"/>
  <c r="X19" i="18" s="1"/>
  <c r="BB87" i="18"/>
  <c r="BA97" i="18"/>
  <c r="BB97" i="18" s="1"/>
  <c r="BB42" i="18"/>
  <c r="W10" i="18"/>
  <c r="X10" i="18" s="1"/>
  <c r="Q10" i="3" s="1"/>
  <c r="BB72" i="18"/>
  <c r="W16" i="18"/>
  <c r="X16" i="18" s="1"/>
  <c r="L10" i="18"/>
  <c r="M10" i="18" s="1"/>
  <c r="L11" i="18"/>
  <c r="M11" i="18" s="1"/>
  <c r="S13" i="18"/>
  <c r="S17" i="18"/>
  <c r="L18" i="18"/>
  <c r="M18" i="18" s="1"/>
  <c r="L19" i="18"/>
  <c r="M19" i="18" s="1"/>
  <c r="S22" i="18"/>
  <c r="BA9" i="18"/>
  <c r="BB9" i="18" s="1"/>
  <c r="BA49" i="18"/>
  <c r="BB49" i="18" s="1"/>
  <c r="BA89" i="18"/>
  <c r="BB89" i="18" s="1"/>
  <c r="E23" i="18"/>
  <c r="Q3" i="18"/>
  <c r="Q11" i="18"/>
  <c r="Q19" i="18"/>
  <c r="U21" i="18"/>
  <c r="BA19" i="18"/>
  <c r="BB19" i="18" s="1"/>
  <c r="BA59" i="18"/>
  <c r="BB59" i="18" s="1"/>
  <c r="BA99" i="18"/>
  <c r="BB99" i="18" s="1"/>
  <c r="F23" i="18"/>
  <c r="U4" i="18"/>
  <c r="U8" i="18"/>
  <c r="U12" i="18"/>
  <c r="S16" i="18"/>
  <c r="U16" i="18"/>
  <c r="BA4" i="18"/>
  <c r="BB4" i="18" s="1"/>
  <c r="BA44" i="18"/>
  <c r="BB44" i="18" s="1"/>
  <c r="BA84" i="18"/>
  <c r="BB84" i="18" s="1"/>
  <c r="L22" i="18"/>
  <c r="M22" i="18" s="1"/>
  <c r="L8" i="18"/>
  <c r="M8" i="18" s="1"/>
  <c r="L12" i="18"/>
  <c r="M12" i="18" s="1"/>
  <c r="O15" i="18"/>
  <c r="L16" i="18"/>
  <c r="M16" i="18" s="1"/>
  <c r="L20" i="18"/>
  <c r="M20" i="18" s="1"/>
  <c r="U20" i="18"/>
  <c r="O3" i="18"/>
  <c r="S21" i="18"/>
  <c r="H23" i="18"/>
  <c r="T23" i="18"/>
  <c r="Q6" i="18"/>
  <c r="O9" i="18"/>
  <c r="Q10" i="18"/>
  <c r="U11" i="18"/>
  <c r="U19" i="18"/>
  <c r="X21" i="18"/>
  <c r="BA14" i="18"/>
  <c r="BB14" i="18" s="1"/>
  <c r="BA54" i="18"/>
  <c r="BB54" i="18" s="1"/>
  <c r="BA94" i="18"/>
  <c r="BB94" i="18" s="1"/>
  <c r="I23" i="18"/>
  <c r="J23" i="18"/>
  <c r="U6" i="18"/>
  <c r="U10" i="18"/>
  <c r="U14" i="18"/>
  <c r="S18" i="18"/>
  <c r="U18" i="18"/>
  <c r="Q22" i="18"/>
  <c r="O16" i="18"/>
  <c r="O18" i="18"/>
  <c r="U3" i="18"/>
  <c r="N23" i="18"/>
  <c r="S12" i="18"/>
  <c r="P23" i="18"/>
  <c r="W12" i="18" l="1"/>
  <c r="X12" i="18" s="1"/>
  <c r="Q12" i="3" s="1"/>
  <c r="BB57" i="18"/>
  <c r="H13" i="3"/>
  <c r="L13" i="3"/>
  <c r="N12" i="3"/>
  <c r="L12" i="3"/>
  <c r="H12" i="3"/>
  <c r="J12" i="3"/>
  <c r="H11" i="3"/>
  <c r="L11" i="3"/>
  <c r="H9" i="3"/>
  <c r="L9" i="3"/>
  <c r="N8" i="3"/>
  <c r="H8" i="3"/>
  <c r="J8" i="3"/>
  <c r="BA27" i="18"/>
  <c r="S23" i="18"/>
  <c r="W6" i="18"/>
  <c r="X6" i="18" s="1"/>
  <c r="Q6" i="3" s="1"/>
  <c r="H6" i="3"/>
  <c r="N6" i="3"/>
  <c r="Q23" i="18"/>
  <c r="BA12" i="18"/>
  <c r="BB12" i="18" s="1"/>
  <c r="BA17" i="18"/>
  <c r="BB17" i="18"/>
  <c r="W5" i="18"/>
  <c r="X5" i="18" s="1"/>
  <c r="K23" i="18"/>
  <c r="U23" i="18"/>
  <c r="L3" i="18"/>
  <c r="L23" i="18" s="1"/>
  <c r="M23" i="18" s="1"/>
  <c r="BA7" i="18"/>
  <c r="W3" i="18" s="1"/>
  <c r="O23" i="18"/>
  <c r="W8" i="18"/>
  <c r="X8" i="18" s="1"/>
  <c r="Q8" i="3" s="1"/>
  <c r="BB32" i="18"/>
  <c r="BB102" i="18"/>
  <c r="W22" i="18"/>
  <c r="X22" i="18" s="1"/>
  <c r="W20" i="18"/>
  <c r="X20" i="18" s="1"/>
  <c r="BB92" i="18"/>
  <c r="BB77" i="18"/>
  <c r="W17" i="18"/>
  <c r="X17" i="18" s="1"/>
  <c r="M3" i="18"/>
  <c r="W7" i="18" l="1"/>
  <c r="X7" i="18" s="1"/>
  <c r="Q7" i="3" s="1"/>
  <c r="BB27" i="18"/>
  <c r="W4" i="18"/>
  <c r="X4" i="18" s="1"/>
  <c r="X3" i="18"/>
  <c r="BB7" i="18"/>
  <c r="W23" i="18" l="1"/>
  <c r="K22" i="24"/>
  <c r="K21" i="24"/>
  <c r="K20" i="24"/>
  <c r="K19" i="24"/>
  <c r="J19" i="24"/>
  <c r="I19" i="24"/>
  <c r="H19" i="24"/>
  <c r="G19" i="24"/>
  <c r="F19" i="24"/>
  <c r="E19" i="24"/>
  <c r="J22" i="24"/>
  <c r="J21" i="24"/>
  <c r="J20" i="24"/>
  <c r="J12" i="24"/>
  <c r="J7" i="24"/>
  <c r="J6" i="24"/>
  <c r="I22" i="24"/>
  <c r="I21" i="24"/>
  <c r="I20" i="24"/>
  <c r="I6" i="24"/>
  <c r="H22" i="24"/>
  <c r="H21" i="24"/>
  <c r="H20" i="24"/>
  <c r="H7" i="24"/>
  <c r="H6" i="24"/>
  <c r="G22" i="24"/>
  <c r="G21" i="24"/>
  <c r="G20" i="24"/>
  <c r="G7" i="24"/>
  <c r="G6" i="24"/>
  <c r="F22" i="24"/>
  <c r="F21" i="24"/>
  <c r="F20" i="24"/>
  <c r="F6" i="24"/>
  <c r="E22" i="24"/>
  <c r="E21" i="24"/>
  <c r="E20" i="24"/>
  <c r="E7" i="24"/>
  <c r="AW102" i="24"/>
  <c r="AV102" i="24"/>
  <c r="AT102" i="24"/>
  <c r="AS102" i="24"/>
  <c r="AQ102" i="24"/>
  <c r="AP102" i="24"/>
  <c r="AN102" i="24"/>
  <c r="AM102" i="24"/>
  <c r="AK102" i="24"/>
  <c r="AJ102" i="24"/>
  <c r="AI102" i="24"/>
  <c r="AH102" i="24"/>
  <c r="AG102" i="24"/>
  <c r="AF102" i="24"/>
  <c r="AZ101" i="24"/>
  <c r="AY101" i="24"/>
  <c r="BA101" i="24" s="1"/>
  <c r="BB101" i="24" s="1"/>
  <c r="AX101" i="24"/>
  <c r="AU101" i="24"/>
  <c r="AR101" i="24"/>
  <c r="AO101" i="24"/>
  <c r="AL101" i="24"/>
  <c r="AZ100" i="24"/>
  <c r="BA100" i="24" s="1"/>
  <c r="BB100" i="24" s="1"/>
  <c r="AY100" i="24"/>
  <c r="AX100" i="24"/>
  <c r="AU100" i="24"/>
  <c r="AR100" i="24"/>
  <c r="AO100" i="24"/>
  <c r="AL100" i="24"/>
  <c r="BA99" i="24"/>
  <c r="BB99" i="24" s="1"/>
  <c r="AZ99" i="24"/>
  <c r="AZ102" i="24" s="1"/>
  <c r="AY99" i="24"/>
  <c r="AY102" i="24" s="1"/>
  <c r="BA102" i="24" s="1"/>
  <c r="BB102" i="24" s="1"/>
  <c r="AX99" i="24"/>
  <c r="AU99" i="24"/>
  <c r="AR99" i="24"/>
  <c r="AO99" i="24"/>
  <c r="AL99" i="24"/>
  <c r="AY97" i="24"/>
  <c r="BA97" i="24" s="1"/>
  <c r="BB97" i="24" s="1"/>
  <c r="AW97" i="24"/>
  <c r="AV97" i="24"/>
  <c r="AT97" i="24"/>
  <c r="AS97" i="24"/>
  <c r="AQ97" i="24"/>
  <c r="AP97" i="24"/>
  <c r="AN97" i="24"/>
  <c r="AM97" i="24"/>
  <c r="AK97" i="24"/>
  <c r="AJ97" i="24"/>
  <c r="AI97" i="24"/>
  <c r="AH97" i="24"/>
  <c r="AG97" i="24"/>
  <c r="AF97" i="24"/>
  <c r="AZ96" i="24"/>
  <c r="BA96" i="24" s="1"/>
  <c r="BB96" i="24" s="1"/>
  <c r="AY96" i="24"/>
  <c r="AX96" i="24"/>
  <c r="AU96" i="24"/>
  <c r="AR96" i="24"/>
  <c r="AO96" i="24"/>
  <c r="AL96" i="24"/>
  <c r="BA95" i="24"/>
  <c r="BB95" i="24" s="1"/>
  <c r="AZ95" i="24"/>
  <c r="AY95" i="24"/>
  <c r="AX95" i="24"/>
  <c r="AU95" i="24"/>
  <c r="AR95" i="24"/>
  <c r="AO95" i="24"/>
  <c r="AL95" i="24"/>
  <c r="AZ94" i="24"/>
  <c r="AZ97" i="24" s="1"/>
  <c r="AY94" i="24"/>
  <c r="BA94" i="24" s="1"/>
  <c r="BB94" i="24" s="1"/>
  <c r="AX94" i="24"/>
  <c r="AU94" i="24"/>
  <c r="AR94" i="24"/>
  <c r="AO94" i="24"/>
  <c r="AL94" i="24"/>
  <c r="AW92" i="24"/>
  <c r="AV92" i="24"/>
  <c r="AT92" i="24"/>
  <c r="AS92" i="24"/>
  <c r="AQ92" i="24"/>
  <c r="AP92" i="24"/>
  <c r="AN92" i="24"/>
  <c r="AM92" i="24"/>
  <c r="AK92" i="24"/>
  <c r="AJ92" i="24"/>
  <c r="AI92" i="24"/>
  <c r="AH92" i="24"/>
  <c r="AG92" i="24"/>
  <c r="AF92" i="24"/>
  <c r="BA91" i="24"/>
  <c r="BB91" i="24" s="1"/>
  <c r="AZ91" i="24"/>
  <c r="AY91" i="24"/>
  <c r="AX91" i="24"/>
  <c r="AU91" i="24"/>
  <c r="AR91" i="24"/>
  <c r="AO91" i="24"/>
  <c r="AL91" i="24"/>
  <c r="AZ90" i="24"/>
  <c r="AY90" i="24"/>
  <c r="BA90" i="24" s="1"/>
  <c r="BB90" i="24" s="1"/>
  <c r="AX90" i="24"/>
  <c r="AU90" i="24"/>
  <c r="AR90" i="24"/>
  <c r="AO90" i="24"/>
  <c r="AL90" i="24"/>
  <c r="AZ89" i="24"/>
  <c r="AZ92" i="24" s="1"/>
  <c r="AY89" i="24"/>
  <c r="AY92" i="24" s="1"/>
  <c r="BA92" i="24" s="1"/>
  <c r="BB92" i="24" s="1"/>
  <c r="AX89" i="24"/>
  <c r="AU89" i="24"/>
  <c r="AR89" i="24"/>
  <c r="AO89" i="24"/>
  <c r="AL89" i="24"/>
  <c r="AZ87" i="24"/>
  <c r="AW87" i="24"/>
  <c r="AV87" i="24"/>
  <c r="AT87" i="24"/>
  <c r="AS87" i="24"/>
  <c r="AQ87" i="24"/>
  <c r="AP87" i="24"/>
  <c r="AN87" i="24"/>
  <c r="AM87" i="24"/>
  <c r="AK87" i="24"/>
  <c r="AJ87" i="24"/>
  <c r="AI87" i="24"/>
  <c r="AH87" i="24"/>
  <c r="AG87" i="24"/>
  <c r="AF87" i="24"/>
  <c r="AZ86" i="24"/>
  <c r="AY86" i="24"/>
  <c r="BA86" i="24" s="1"/>
  <c r="BB86" i="24" s="1"/>
  <c r="AX86" i="24"/>
  <c r="AU86" i="24"/>
  <c r="AR86" i="24"/>
  <c r="AO86" i="24"/>
  <c r="AL86" i="24"/>
  <c r="AZ85" i="24"/>
  <c r="AY85" i="24"/>
  <c r="BA85" i="24" s="1"/>
  <c r="BB85" i="24" s="1"/>
  <c r="AX85" i="24"/>
  <c r="AU85" i="24"/>
  <c r="AR85" i="24"/>
  <c r="AO85" i="24"/>
  <c r="AL85" i="24"/>
  <c r="AZ84" i="24"/>
  <c r="BA84" i="24" s="1"/>
  <c r="BB84" i="24" s="1"/>
  <c r="AY84" i="24"/>
  <c r="AY87" i="24" s="1"/>
  <c r="BA87" i="24" s="1"/>
  <c r="BB87" i="24" s="1"/>
  <c r="AX84" i="24"/>
  <c r="AU84" i="24"/>
  <c r="AR84" i="24"/>
  <c r="AO84" i="24"/>
  <c r="AL84" i="24"/>
  <c r="AW82" i="24"/>
  <c r="AV82" i="24"/>
  <c r="T18" i="24" s="1"/>
  <c r="AT82" i="24"/>
  <c r="AS82" i="24"/>
  <c r="R18" i="24" s="1"/>
  <c r="AQ82" i="24"/>
  <c r="AP82" i="24"/>
  <c r="P18" i="24" s="1"/>
  <c r="AN82" i="24"/>
  <c r="AM82" i="24"/>
  <c r="N18" i="24" s="1"/>
  <c r="AK82" i="24"/>
  <c r="J18" i="24" s="1"/>
  <c r="AJ82" i="24"/>
  <c r="I18" i="24" s="1"/>
  <c r="AI82" i="24"/>
  <c r="H18" i="24" s="1"/>
  <c r="AH82" i="24"/>
  <c r="G18" i="24" s="1"/>
  <c r="AG82" i="24"/>
  <c r="F18" i="24" s="1"/>
  <c r="AF82" i="24"/>
  <c r="E18" i="24" s="1"/>
  <c r="BB81" i="24"/>
  <c r="BA81" i="24"/>
  <c r="AZ81" i="24"/>
  <c r="AY81" i="24"/>
  <c r="AX81" i="24"/>
  <c r="AU81" i="24"/>
  <c r="AR81" i="24"/>
  <c r="AO81" i="24"/>
  <c r="AL81" i="24"/>
  <c r="AZ80" i="24"/>
  <c r="AZ82" i="24" s="1"/>
  <c r="K18" i="24" s="1"/>
  <c r="AY80" i="24"/>
  <c r="BA80" i="24" s="1"/>
  <c r="BB80" i="24" s="1"/>
  <c r="AX80" i="24"/>
  <c r="AU80" i="24"/>
  <c r="AR80" i="24"/>
  <c r="AO80" i="24"/>
  <c r="AL80" i="24"/>
  <c r="AZ79" i="24"/>
  <c r="AY79" i="24"/>
  <c r="AY82" i="24" s="1"/>
  <c r="BA82" i="24" s="1"/>
  <c r="AX79" i="24"/>
  <c r="AU79" i="24"/>
  <c r="AR79" i="24"/>
  <c r="AO79" i="24"/>
  <c r="AL79" i="24"/>
  <c r="AW77" i="24"/>
  <c r="AV77" i="24"/>
  <c r="T17" i="24" s="1"/>
  <c r="AT77" i="24"/>
  <c r="AS77" i="24"/>
  <c r="R17" i="24" s="1"/>
  <c r="AQ77" i="24"/>
  <c r="AP77" i="24"/>
  <c r="P17" i="24" s="1"/>
  <c r="AN77" i="24"/>
  <c r="AM77" i="24"/>
  <c r="N17" i="24" s="1"/>
  <c r="AK77" i="24"/>
  <c r="J17" i="24" s="1"/>
  <c r="AJ77" i="24"/>
  <c r="I17" i="24" s="1"/>
  <c r="AI77" i="24"/>
  <c r="H17" i="24" s="1"/>
  <c r="AH77" i="24"/>
  <c r="G17" i="24" s="1"/>
  <c r="AG77" i="24"/>
  <c r="F17" i="24" s="1"/>
  <c r="AF77" i="24"/>
  <c r="E17" i="24" s="1"/>
  <c r="BA76" i="24"/>
  <c r="BB76" i="24" s="1"/>
  <c r="AZ76" i="24"/>
  <c r="AY76" i="24"/>
  <c r="AX76" i="24"/>
  <c r="AU76" i="24"/>
  <c r="AR76" i="24"/>
  <c r="AO76" i="24"/>
  <c r="AL76" i="24"/>
  <c r="AZ75" i="24"/>
  <c r="AZ77" i="24" s="1"/>
  <c r="K17" i="24" s="1"/>
  <c r="AY75" i="24"/>
  <c r="AX75" i="24"/>
  <c r="AU75" i="24"/>
  <c r="AR75" i="24"/>
  <c r="AO75" i="24"/>
  <c r="AL75" i="24"/>
  <c r="BA74" i="24"/>
  <c r="BB74" i="24" s="1"/>
  <c r="AZ74" i="24"/>
  <c r="AY74" i="24"/>
  <c r="AX74" i="24"/>
  <c r="AU74" i="24"/>
  <c r="AR74" i="24"/>
  <c r="AO74" i="24"/>
  <c r="AL74" i="24"/>
  <c r="AW72" i="24"/>
  <c r="AV72" i="24"/>
  <c r="T16" i="24" s="1"/>
  <c r="AT72" i="24"/>
  <c r="AS72" i="24"/>
  <c r="R16" i="24" s="1"/>
  <c r="AQ72" i="24"/>
  <c r="AP72" i="24"/>
  <c r="P16" i="24" s="1"/>
  <c r="AN72" i="24"/>
  <c r="AM72" i="24"/>
  <c r="N16" i="24" s="1"/>
  <c r="AK72" i="24"/>
  <c r="J16" i="24" s="1"/>
  <c r="AJ72" i="24"/>
  <c r="I16" i="24" s="1"/>
  <c r="AI72" i="24"/>
  <c r="H16" i="24" s="1"/>
  <c r="AH72" i="24"/>
  <c r="G16" i="24" s="1"/>
  <c r="AG72" i="24"/>
  <c r="F16" i="24" s="1"/>
  <c r="AF72" i="24"/>
  <c r="E16" i="24" s="1"/>
  <c r="AZ71" i="24"/>
  <c r="AY71" i="24"/>
  <c r="BA71" i="24" s="1"/>
  <c r="BB71" i="24" s="1"/>
  <c r="AX71" i="24"/>
  <c r="AU71" i="24"/>
  <c r="AR71" i="24"/>
  <c r="AO71" i="24"/>
  <c r="AL71" i="24"/>
  <c r="AZ70" i="24"/>
  <c r="AY70" i="24"/>
  <c r="BA70" i="24" s="1"/>
  <c r="BB70" i="24" s="1"/>
  <c r="AX70" i="24"/>
  <c r="AU70" i="24"/>
  <c r="AR70" i="24"/>
  <c r="AO70" i="24"/>
  <c r="AL70" i="24"/>
  <c r="AZ69" i="24"/>
  <c r="AZ72" i="24" s="1"/>
  <c r="K16" i="24" s="1"/>
  <c r="AY69" i="24"/>
  <c r="AY72" i="24" s="1"/>
  <c r="AX69" i="24"/>
  <c r="AU69" i="24"/>
  <c r="AR69" i="24"/>
  <c r="AO69" i="24"/>
  <c r="AL69" i="24"/>
  <c r="AW67" i="24"/>
  <c r="AV67" i="24"/>
  <c r="T15" i="24" s="1"/>
  <c r="AT67" i="24"/>
  <c r="AS67" i="24"/>
  <c r="R15" i="24" s="1"/>
  <c r="AQ67" i="24"/>
  <c r="AP67" i="24"/>
  <c r="P15" i="24" s="1"/>
  <c r="AN67" i="24"/>
  <c r="AM67" i="24"/>
  <c r="N15" i="24" s="1"/>
  <c r="AK67" i="24"/>
  <c r="J15" i="24" s="1"/>
  <c r="AJ67" i="24"/>
  <c r="I15" i="24" s="1"/>
  <c r="AI67" i="24"/>
  <c r="H15" i="24" s="1"/>
  <c r="AH67" i="24"/>
  <c r="G15" i="24" s="1"/>
  <c r="AG67" i="24"/>
  <c r="F15" i="24" s="1"/>
  <c r="AF67" i="24"/>
  <c r="E15" i="24" s="1"/>
  <c r="AZ66" i="24"/>
  <c r="AY66" i="24"/>
  <c r="AX66" i="24"/>
  <c r="AU66" i="24"/>
  <c r="AR66" i="24"/>
  <c r="AO66" i="24"/>
  <c r="AL66" i="24"/>
  <c r="BB65" i="24"/>
  <c r="BA65" i="24"/>
  <c r="AZ65" i="24"/>
  <c r="AZ67" i="24" s="1"/>
  <c r="K15" i="24" s="1"/>
  <c r="AY65" i="24"/>
  <c r="AX65" i="24"/>
  <c r="AU65" i="24"/>
  <c r="AR65" i="24"/>
  <c r="AO65" i="24"/>
  <c r="AL65" i="24"/>
  <c r="BB64" i="24"/>
  <c r="BA64" i="24"/>
  <c r="AZ64" i="24"/>
  <c r="AY64" i="24"/>
  <c r="AX64" i="24"/>
  <c r="AU64" i="24"/>
  <c r="AR64" i="24"/>
  <c r="AO64" i="24"/>
  <c r="AL64" i="24"/>
  <c r="AW62" i="24"/>
  <c r="AV62" i="24"/>
  <c r="T14" i="24" s="1"/>
  <c r="AT62" i="24"/>
  <c r="AS62" i="24"/>
  <c r="R14" i="24" s="1"/>
  <c r="AQ62" i="24"/>
  <c r="AP62" i="24"/>
  <c r="P14" i="24" s="1"/>
  <c r="AN62" i="24"/>
  <c r="AM62" i="24"/>
  <c r="N14" i="24" s="1"/>
  <c r="AK62" i="24"/>
  <c r="J14" i="24" s="1"/>
  <c r="AJ62" i="24"/>
  <c r="I14" i="24" s="1"/>
  <c r="AI62" i="24"/>
  <c r="H14" i="24" s="1"/>
  <c r="AH62" i="24"/>
  <c r="G14" i="24" s="1"/>
  <c r="AG62" i="24"/>
  <c r="F14" i="24" s="1"/>
  <c r="AF62" i="24"/>
  <c r="E14" i="24" s="1"/>
  <c r="AZ61" i="24"/>
  <c r="AY61" i="24"/>
  <c r="AX61" i="24"/>
  <c r="AU61" i="24"/>
  <c r="AR61" i="24"/>
  <c r="AO61" i="24"/>
  <c r="AL61" i="24"/>
  <c r="AZ60" i="24"/>
  <c r="AY60" i="24"/>
  <c r="AX60" i="24"/>
  <c r="AU60" i="24"/>
  <c r="AR60" i="24"/>
  <c r="AO60" i="24"/>
  <c r="AL60" i="24"/>
  <c r="AZ59" i="24"/>
  <c r="AZ62" i="24" s="1"/>
  <c r="K14" i="24" s="1"/>
  <c r="AY59" i="24"/>
  <c r="BA59" i="24" s="1"/>
  <c r="BB59" i="24" s="1"/>
  <c r="AX59" i="24"/>
  <c r="AU59" i="24"/>
  <c r="AR59" i="24"/>
  <c r="AO59" i="24"/>
  <c r="AL59" i="24"/>
  <c r="AW57" i="24"/>
  <c r="AV57" i="24"/>
  <c r="T13" i="24" s="1"/>
  <c r="AT57" i="24"/>
  <c r="AS57" i="24"/>
  <c r="R13" i="24" s="1"/>
  <c r="AQ57" i="24"/>
  <c r="AP57" i="24"/>
  <c r="P13" i="24" s="1"/>
  <c r="AN57" i="24"/>
  <c r="AM57" i="24"/>
  <c r="N13" i="24" s="1"/>
  <c r="AK57" i="24"/>
  <c r="AJ57" i="24"/>
  <c r="I13" i="24" s="1"/>
  <c r="AI57" i="24"/>
  <c r="H13" i="24" s="1"/>
  <c r="AH57" i="24"/>
  <c r="AG57" i="24"/>
  <c r="AF57" i="24"/>
  <c r="E13" i="24" s="1"/>
  <c r="AZ56" i="24"/>
  <c r="AY56" i="24"/>
  <c r="BA56" i="24" s="1"/>
  <c r="BB56" i="24" s="1"/>
  <c r="AX56" i="24"/>
  <c r="AU56" i="24"/>
  <c r="AR56" i="24"/>
  <c r="AO56" i="24"/>
  <c r="AL56" i="24"/>
  <c r="AZ55" i="24"/>
  <c r="AY55" i="24"/>
  <c r="BA55" i="24" s="1"/>
  <c r="BB55" i="24" s="1"/>
  <c r="AX55" i="24"/>
  <c r="AU55" i="24"/>
  <c r="AR55" i="24"/>
  <c r="AO55" i="24"/>
  <c r="AL55" i="24"/>
  <c r="AZ54" i="24"/>
  <c r="AY54" i="24"/>
  <c r="AX54" i="24"/>
  <c r="AU54" i="24"/>
  <c r="AR54" i="24"/>
  <c r="AO54" i="24"/>
  <c r="AL54" i="24"/>
  <c r="AW52" i="24"/>
  <c r="AV52" i="24"/>
  <c r="T12" i="24" s="1"/>
  <c r="AT52" i="24"/>
  <c r="AS52" i="24"/>
  <c r="R12" i="24" s="1"/>
  <c r="AQ52" i="24"/>
  <c r="AP52" i="24"/>
  <c r="P12" i="24" s="1"/>
  <c r="AN52" i="24"/>
  <c r="AM52" i="24"/>
  <c r="N12" i="24" s="1"/>
  <c r="AK52" i="24"/>
  <c r="AJ52" i="24"/>
  <c r="I12" i="24" s="1"/>
  <c r="AI52" i="24"/>
  <c r="H12" i="24" s="1"/>
  <c r="AH52" i="24"/>
  <c r="G12" i="24" s="1"/>
  <c r="AG52" i="24"/>
  <c r="F12" i="24" s="1"/>
  <c r="AF52" i="24"/>
  <c r="E12" i="24" s="1"/>
  <c r="AZ51" i="24"/>
  <c r="AY51" i="24"/>
  <c r="BA51" i="24" s="1"/>
  <c r="BB51" i="24" s="1"/>
  <c r="AX51" i="24"/>
  <c r="AU51" i="24"/>
  <c r="AR51" i="24"/>
  <c r="AO51" i="24"/>
  <c r="AL51" i="24"/>
  <c r="AZ50" i="24"/>
  <c r="AZ52" i="24" s="1"/>
  <c r="K12" i="24" s="1"/>
  <c r="AY50" i="24"/>
  <c r="AY52" i="24" s="1"/>
  <c r="AX50" i="24"/>
  <c r="AU50" i="24"/>
  <c r="AR50" i="24"/>
  <c r="AO50" i="24"/>
  <c r="AL50" i="24"/>
  <c r="BB49" i="24"/>
  <c r="BA49" i="24"/>
  <c r="AZ49" i="24"/>
  <c r="AY49" i="24"/>
  <c r="AX49" i="24"/>
  <c r="AU49" i="24"/>
  <c r="AR49" i="24"/>
  <c r="AO49" i="24"/>
  <c r="AL49" i="24"/>
  <c r="AW47" i="24"/>
  <c r="AV47" i="24"/>
  <c r="T11" i="24" s="1"/>
  <c r="AT47" i="24"/>
  <c r="AS47" i="24"/>
  <c r="R11" i="24" s="1"/>
  <c r="AQ47" i="24"/>
  <c r="AP47" i="24"/>
  <c r="P11" i="24" s="1"/>
  <c r="AN47" i="24"/>
  <c r="AM47" i="24"/>
  <c r="N11" i="24" s="1"/>
  <c r="AK47" i="24"/>
  <c r="J11" i="24" s="1"/>
  <c r="AJ47" i="24"/>
  <c r="I11" i="24" s="1"/>
  <c r="AI47" i="24"/>
  <c r="H11" i="24" s="1"/>
  <c r="AH47" i="24"/>
  <c r="G11" i="24" s="1"/>
  <c r="AG47" i="24"/>
  <c r="F11" i="24" s="1"/>
  <c r="AF47" i="24"/>
  <c r="E11" i="24" s="1"/>
  <c r="AZ46" i="24"/>
  <c r="AY46" i="24"/>
  <c r="BA46" i="24" s="1"/>
  <c r="BB46" i="24" s="1"/>
  <c r="AX46" i="24"/>
  <c r="AU46" i="24"/>
  <c r="AR46" i="24"/>
  <c r="AO46" i="24"/>
  <c r="AL46" i="24"/>
  <c r="AZ45" i="24"/>
  <c r="AY45" i="24"/>
  <c r="AX45" i="24"/>
  <c r="AU45" i="24"/>
  <c r="AR45" i="24"/>
  <c r="AO45" i="24"/>
  <c r="AL45" i="24"/>
  <c r="AZ44" i="24"/>
  <c r="AY44" i="24"/>
  <c r="BA44" i="24" s="1"/>
  <c r="BB44" i="24" s="1"/>
  <c r="AX44" i="24"/>
  <c r="AU44" i="24"/>
  <c r="AR44" i="24"/>
  <c r="AO44" i="24"/>
  <c r="AL44" i="24"/>
  <c r="AW42" i="24"/>
  <c r="AV42" i="24"/>
  <c r="T10" i="24" s="1"/>
  <c r="AT42" i="24"/>
  <c r="AS42" i="24"/>
  <c r="R10" i="24" s="1"/>
  <c r="AQ42" i="24"/>
  <c r="AP42" i="24"/>
  <c r="P10" i="24" s="1"/>
  <c r="AN42" i="24"/>
  <c r="AM42" i="24"/>
  <c r="N10" i="24" s="1"/>
  <c r="AK42" i="24"/>
  <c r="J10" i="24" s="1"/>
  <c r="AJ42" i="24"/>
  <c r="I10" i="24" s="1"/>
  <c r="AI42" i="24"/>
  <c r="H10" i="24" s="1"/>
  <c r="AH42" i="24"/>
  <c r="G10" i="24" s="1"/>
  <c r="AG42" i="24"/>
  <c r="F10" i="24" s="1"/>
  <c r="AF42" i="24"/>
  <c r="E10" i="24" s="1"/>
  <c r="AZ41" i="24"/>
  <c r="AY41" i="24"/>
  <c r="BA41" i="24" s="1"/>
  <c r="BB41" i="24" s="1"/>
  <c r="AX41" i="24"/>
  <c r="AU41" i="24"/>
  <c r="AR41" i="24"/>
  <c r="AO41" i="24"/>
  <c r="AL41" i="24"/>
  <c r="AZ40" i="24"/>
  <c r="AY40" i="24"/>
  <c r="BA40" i="24" s="1"/>
  <c r="BB40" i="24" s="1"/>
  <c r="AX40" i="24"/>
  <c r="AU40" i="24"/>
  <c r="AR40" i="24"/>
  <c r="AO40" i="24"/>
  <c r="AL40" i="24"/>
  <c r="AZ39" i="24"/>
  <c r="AZ42" i="24" s="1"/>
  <c r="K10" i="24" s="1"/>
  <c r="AY39" i="24"/>
  <c r="AY42" i="24" s="1"/>
  <c r="AX39" i="24"/>
  <c r="AU39" i="24"/>
  <c r="AR39" i="24"/>
  <c r="AO39" i="24"/>
  <c r="AL39" i="24"/>
  <c r="AW37" i="24"/>
  <c r="AV37" i="24"/>
  <c r="T9" i="24" s="1"/>
  <c r="AT37" i="24"/>
  <c r="AS37" i="24"/>
  <c r="R9" i="24" s="1"/>
  <c r="AQ37" i="24"/>
  <c r="AP37" i="24"/>
  <c r="P9" i="24" s="1"/>
  <c r="AN37" i="24"/>
  <c r="AM37" i="24"/>
  <c r="N9" i="24" s="1"/>
  <c r="AK37" i="24"/>
  <c r="J9" i="24" s="1"/>
  <c r="AJ37" i="24"/>
  <c r="I9" i="24" s="1"/>
  <c r="AI37" i="24"/>
  <c r="H9" i="24" s="1"/>
  <c r="AH37" i="24"/>
  <c r="G9" i="24" s="1"/>
  <c r="AG37" i="24"/>
  <c r="F9" i="24" s="1"/>
  <c r="AF37" i="24"/>
  <c r="E9" i="24" s="1"/>
  <c r="BA36" i="24"/>
  <c r="BB36" i="24" s="1"/>
  <c r="AZ36" i="24"/>
  <c r="AY36" i="24"/>
  <c r="AX36" i="24"/>
  <c r="AU36" i="24"/>
  <c r="AR36" i="24"/>
  <c r="AO36" i="24"/>
  <c r="AL36" i="24"/>
  <c r="AZ35" i="24"/>
  <c r="AZ37" i="24" s="1"/>
  <c r="K9" i="24" s="1"/>
  <c r="AY35" i="24"/>
  <c r="AX35" i="24"/>
  <c r="AU35" i="24"/>
  <c r="AR35" i="24"/>
  <c r="AO35" i="24"/>
  <c r="AL35" i="24"/>
  <c r="AZ34" i="24"/>
  <c r="AY34" i="24"/>
  <c r="BA34" i="24" s="1"/>
  <c r="BB34" i="24" s="1"/>
  <c r="AX34" i="24"/>
  <c r="AU34" i="24"/>
  <c r="AR34" i="24"/>
  <c r="AO34" i="24"/>
  <c r="AL34" i="24"/>
  <c r="AW32" i="24"/>
  <c r="AV32" i="24"/>
  <c r="T8" i="24" s="1"/>
  <c r="AT32" i="24"/>
  <c r="AS32" i="24"/>
  <c r="R8" i="24" s="1"/>
  <c r="AQ32" i="24"/>
  <c r="AP32" i="24"/>
  <c r="P8" i="24" s="1"/>
  <c r="AN32" i="24"/>
  <c r="AM32" i="24"/>
  <c r="N8" i="24" s="1"/>
  <c r="AK32" i="24"/>
  <c r="J8" i="24" s="1"/>
  <c r="AJ32" i="24"/>
  <c r="I8" i="24" s="1"/>
  <c r="AI32" i="24"/>
  <c r="H8" i="24" s="1"/>
  <c r="AH32" i="24"/>
  <c r="G8" i="24" s="1"/>
  <c r="AG32" i="24"/>
  <c r="F8" i="24" s="1"/>
  <c r="AF32" i="24"/>
  <c r="E8" i="24" s="1"/>
  <c r="AZ31" i="24"/>
  <c r="AY31" i="24"/>
  <c r="BA31" i="24" s="1"/>
  <c r="BB31" i="24" s="1"/>
  <c r="AX31" i="24"/>
  <c r="AU31" i="24"/>
  <c r="AR31" i="24"/>
  <c r="AO31" i="24"/>
  <c r="AL31" i="24"/>
  <c r="AZ30" i="24"/>
  <c r="AY30" i="24"/>
  <c r="BA30" i="24" s="1"/>
  <c r="BB30" i="24" s="1"/>
  <c r="AX30" i="24"/>
  <c r="AU30" i="24"/>
  <c r="AR30" i="24"/>
  <c r="AO30" i="24"/>
  <c r="AL30" i="24"/>
  <c r="AZ29" i="24"/>
  <c r="BA29" i="24" s="1"/>
  <c r="BB29" i="24" s="1"/>
  <c r="AY29" i="24"/>
  <c r="AY32" i="24" s="1"/>
  <c r="AX29" i="24"/>
  <c r="AU29" i="24"/>
  <c r="AR29" i="24"/>
  <c r="AO29" i="24"/>
  <c r="AL29" i="24"/>
  <c r="AW27" i="24"/>
  <c r="AV27" i="24"/>
  <c r="T7" i="24" s="1"/>
  <c r="AT27" i="24"/>
  <c r="AS27" i="24"/>
  <c r="R7" i="24" s="1"/>
  <c r="AQ27" i="24"/>
  <c r="AP27" i="24"/>
  <c r="P7" i="24" s="1"/>
  <c r="AN27" i="24"/>
  <c r="AM27" i="24"/>
  <c r="N7" i="24" s="1"/>
  <c r="AK27" i="24"/>
  <c r="AJ27" i="24"/>
  <c r="I7" i="24" s="1"/>
  <c r="AI27" i="24"/>
  <c r="AH27" i="24"/>
  <c r="AG27" i="24"/>
  <c r="F7" i="24" s="1"/>
  <c r="AF27" i="24"/>
  <c r="AZ26" i="24"/>
  <c r="AY26" i="24"/>
  <c r="BA26" i="24" s="1"/>
  <c r="BB26" i="24" s="1"/>
  <c r="AX26" i="24"/>
  <c r="AU26" i="24"/>
  <c r="AR26" i="24"/>
  <c r="AO26" i="24"/>
  <c r="AL26" i="24"/>
  <c r="AZ25" i="24"/>
  <c r="AY25" i="24"/>
  <c r="AX25" i="24"/>
  <c r="AU25" i="24"/>
  <c r="AR25" i="24"/>
  <c r="AO25" i="24"/>
  <c r="AL25" i="24"/>
  <c r="AZ24" i="24"/>
  <c r="AY24" i="24"/>
  <c r="AX24" i="24"/>
  <c r="AU24" i="24"/>
  <c r="AR24" i="24"/>
  <c r="AO24" i="24"/>
  <c r="AL24" i="24"/>
  <c r="AW22" i="24"/>
  <c r="AV22" i="24"/>
  <c r="T6" i="24" s="1"/>
  <c r="AT22" i="24"/>
  <c r="AS22" i="24"/>
  <c r="R6" i="24" s="1"/>
  <c r="AQ22" i="24"/>
  <c r="AP22" i="24"/>
  <c r="P6" i="24" s="1"/>
  <c r="AN22" i="24"/>
  <c r="AM22" i="24"/>
  <c r="N6" i="24" s="1"/>
  <c r="AK22" i="24"/>
  <c r="AJ22" i="24"/>
  <c r="AI22" i="24"/>
  <c r="AH22" i="24"/>
  <c r="AG22" i="24"/>
  <c r="AF22" i="24"/>
  <c r="E6" i="24" s="1"/>
  <c r="AZ21" i="24"/>
  <c r="AY21" i="24"/>
  <c r="AX21" i="24"/>
  <c r="AU21" i="24"/>
  <c r="AR21" i="24"/>
  <c r="AO21" i="24"/>
  <c r="AL21" i="24"/>
  <c r="AZ20" i="24"/>
  <c r="AY20" i="24"/>
  <c r="AX20" i="24"/>
  <c r="AU20" i="24"/>
  <c r="AR20" i="24"/>
  <c r="AO20" i="24"/>
  <c r="AL20" i="24"/>
  <c r="BA19" i="24"/>
  <c r="BB19" i="24" s="1"/>
  <c r="AZ19" i="24"/>
  <c r="AY19" i="24"/>
  <c r="AX19" i="24"/>
  <c r="AU19" i="24"/>
  <c r="AR19" i="24"/>
  <c r="AO19" i="24"/>
  <c r="AL19" i="24"/>
  <c r="AW17" i="24"/>
  <c r="AV17" i="24"/>
  <c r="T5" i="24" s="1"/>
  <c r="AT17" i="24"/>
  <c r="AS17" i="24"/>
  <c r="R5" i="24" s="1"/>
  <c r="AQ17" i="24"/>
  <c r="AP17" i="24"/>
  <c r="P5" i="24" s="1"/>
  <c r="AN17" i="24"/>
  <c r="AM17" i="24"/>
  <c r="N5" i="24" s="1"/>
  <c r="AK17" i="24"/>
  <c r="J5" i="24" s="1"/>
  <c r="AJ17" i="24"/>
  <c r="I5" i="24" s="1"/>
  <c r="AI17" i="24"/>
  <c r="H5" i="24" s="1"/>
  <c r="AH17" i="24"/>
  <c r="G5" i="24" s="1"/>
  <c r="AG17" i="24"/>
  <c r="F5" i="24" s="1"/>
  <c r="AF17" i="24"/>
  <c r="E5" i="24" s="1"/>
  <c r="AZ16" i="24"/>
  <c r="AY16" i="24"/>
  <c r="BA16" i="24" s="1"/>
  <c r="BB16" i="24" s="1"/>
  <c r="AX16" i="24"/>
  <c r="AU16" i="24"/>
  <c r="AR16" i="24"/>
  <c r="AO16" i="24"/>
  <c r="AL16" i="24"/>
  <c r="AZ15" i="24"/>
  <c r="AY15" i="24"/>
  <c r="AX15" i="24"/>
  <c r="AU15" i="24"/>
  <c r="AR15" i="24"/>
  <c r="AO15" i="24"/>
  <c r="AL15" i="24"/>
  <c r="AZ14" i="24"/>
  <c r="AY14" i="24"/>
  <c r="AX14" i="24"/>
  <c r="AU14" i="24"/>
  <c r="AR14" i="24"/>
  <c r="AO14" i="24"/>
  <c r="AL14" i="24"/>
  <c r="AW12" i="24"/>
  <c r="AV12" i="24"/>
  <c r="T4" i="24" s="1"/>
  <c r="AT12" i="24"/>
  <c r="AS12" i="24"/>
  <c r="R4" i="24" s="1"/>
  <c r="AQ12" i="24"/>
  <c r="AP12" i="24"/>
  <c r="P4" i="24" s="1"/>
  <c r="AN12" i="24"/>
  <c r="AM12" i="24"/>
  <c r="AK12" i="24"/>
  <c r="J4" i="24" s="1"/>
  <c r="AJ12" i="24"/>
  <c r="I4" i="24" s="1"/>
  <c r="AI12" i="24"/>
  <c r="H4" i="24" s="1"/>
  <c r="AH12" i="24"/>
  <c r="AG12" i="24"/>
  <c r="AF12" i="24"/>
  <c r="AZ11" i="24"/>
  <c r="AY11" i="24"/>
  <c r="BA11" i="24" s="1"/>
  <c r="BB11" i="24" s="1"/>
  <c r="AX11" i="24"/>
  <c r="AU11" i="24"/>
  <c r="AR11" i="24"/>
  <c r="AO11" i="24"/>
  <c r="AL11" i="24"/>
  <c r="AZ10" i="24"/>
  <c r="AY10" i="24"/>
  <c r="AX10" i="24"/>
  <c r="AU10" i="24"/>
  <c r="AO10" i="24"/>
  <c r="AL10" i="24"/>
  <c r="AZ9" i="24"/>
  <c r="AY9" i="24"/>
  <c r="AX9" i="24"/>
  <c r="AU9" i="24"/>
  <c r="AR9" i="24"/>
  <c r="AO9" i="24"/>
  <c r="AL9" i="24"/>
  <c r="C5" i="3"/>
  <c r="C4" i="3"/>
  <c r="C3" i="3"/>
  <c r="B5" i="3"/>
  <c r="B4" i="3"/>
  <c r="B3" i="3"/>
  <c r="AF7" i="24"/>
  <c r="E3" i="24" s="1"/>
  <c r="L3" i="21"/>
  <c r="M3" i="21"/>
  <c r="U10" i="24"/>
  <c r="Q9" i="24"/>
  <c r="Q8" i="24"/>
  <c r="AW7" i="24"/>
  <c r="AV7" i="24"/>
  <c r="T3" i="24" s="1"/>
  <c r="AT7" i="24"/>
  <c r="AS7" i="24"/>
  <c r="R3" i="24" s="1"/>
  <c r="AQ7" i="24"/>
  <c r="AP7" i="24"/>
  <c r="P3" i="24" s="1"/>
  <c r="AN7" i="24"/>
  <c r="AM7" i="24"/>
  <c r="N3" i="24" s="1"/>
  <c r="AK7" i="24"/>
  <c r="J3" i="24" s="1"/>
  <c r="AJ7" i="24"/>
  <c r="I3" i="24" s="1"/>
  <c r="AI7" i="24"/>
  <c r="H3" i="24" s="1"/>
  <c r="AH7" i="24"/>
  <c r="G3" i="24" s="1"/>
  <c r="AG7" i="24"/>
  <c r="F3" i="24" s="1"/>
  <c r="AU6" i="24"/>
  <c r="AR6" i="24"/>
  <c r="AO6" i="24"/>
  <c r="AL6" i="24"/>
  <c r="AZ5" i="24"/>
  <c r="AY5" i="24"/>
  <c r="AX5" i="24"/>
  <c r="AU5" i="24"/>
  <c r="AR5" i="24"/>
  <c r="AO5" i="24"/>
  <c r="AL5" i="24"/>
  <c r="AZ4" i="24"/>
  <c r="AY4" i="24"/>
  <c r="AX4" i="24"/>
  <c r="AU4" i="24"/>
  <c r="AR4" i="24"/>
  <c r="AO4" i="24"/>
  <c r="AL4" i="24"/>
  <c r="AY67" i="24" l="1"/>
  <c r="BA67" i="24" s="1"/>
  <c r="BA66" i="24"/>
  <c r="BB66" i="24" s="1"/>
  <c r="BB82" i="24"/>
  <c r="W18" i="24"/>
  <c r="BA75" i="24"/>
  <c r="BB75" i="24" s="1"/>
  <c r="AY77" i="24"/>
  <c r="BA77" i="24" s="1"/>
  <c r="W17" i="24" s="1"/>
  <c r="BB77" i="24"/>
  <c r="AY62" i="24"/>
  <c r="BA60" i="24"/>
  <c r="BB60" i="24" s="1"/>
  <c r="BA61" i="24"/>
  <c r="BB61" i="24" s="1"/>
  <c r="AY57" i="24"/>
  <c r="BA52" i="24"/>
  <c r="BA50" i="24"/>
  <c r="BB50" i="24" s="1"/>
  <c r="AZ57" i="24"/>
  <c r="K13" i="24" s="1"/>
  <c r="AZ47" i="24"/>
  <c r="K11" i="24" s="1"/>
  <c r="BA45" i="24"/>
  <c r="BB45" i="24" s="1"/>
  <c r="AY37" i="24"/>
  <c r="BA37" i="24" s="1"/>
  <c r="W9" i="24" s="1"/>
  <c r="BA35" i="24"/>
  <c r="BB35" i="24" s="1"/>
  <c r="L9" i="24"/>
  <c r="BB37" i="24"/>
  <c r="M9" i="24"/>
  <c r="BA20" i="24"/>
  <c r="BB20" i="24" s="1"/>
  <c r="BA21" i="24"/>
  <c r="BB21" i="24" s="1"/>
  <c r="AY27" i="24"/>
  <c r="AY22" i="24"/>
  <c r="BA25" i="24"/>
  <c r="BB25" i="24" s="1"/>
  <c r="AZ27" i="24"/>
  <c r="K7" i="24" s="1"/>
  <c r="AZ22" i="24"/>
  <c r="K6" i="24" s="1"/>
  <c r="L6" i="24" s="1"/>
  <c r="M6" i="24" s="1"/>
  <c r="BA15" i="24"/>
  <c r="BB15" i="24" s="1"/>
  <c r="AY17" i="24"/>
  <c r="AZ17" i="24"/>
  <c r="K5" i="24" s="1"/>
  <c r="L5" i="24" s="1"/>
  <c r="M5" i="24" s="1"/>
  <c r="N4" i="24"/>
  <c r="O4" i="24" s="1"/>
  <c r="AZ12" i="24"/>
  <c r="K4" i="24" s="1"/>
  <c r="L4" i="24" s="1"/>
  <c r="M4" i="24" s="1"/>
  <c r="BA10" i="24"/>
  <c r="BB10" i="24" s="1"/>
  <c r="AY12" i="24"/>
  <c r="O8" i="24"/>
  <c r="U8" i="24"/>
  <c r="BA89" i="24"/>
  <c r="BB89" i="24" s="1"/>
  <c r="BA72" i="24"/>
  <c r="BA62" i="24"/>
  <c r="AY47" i="24"/>
  <c r="BA54" i="24"/>
  <c r="BB54" i="24" s="1"/>
  <c r="BA79" i="24"/>
  <c r="BB79" i="24" s="1"/>
  <c r="BA69" i="24"/>
  <c r="BB69" i="24" s="1"/>
  <c r="BA42" i="24"/>
  <c r="BA27" i="24"/>
  <c r="BA39" i="24"/>
  <c r="BB39" i="24" s="1"/>
  <c r="BA24" i="24"/>
  <c r="BB24" i="24" s="1"/>
  <c r="AZ32" i="24"/>
  <c r="BA22" i="24"/>
  <c r="BA14" i="24"/>
  <c r="BB14" i="24" s="1"/>
  <c r="BA9" i="24"/>
  <c r="BB9" i="24" s="1"/>
  <c r="U5" i="24"/>
  <c r="S6" i="24"/>
  <c r="O9" i="24"/>
  <c r="Q4" i="24"/>
  <c r="O3" i="24"/>
  <c r="U4" i="24"/>
  <c r="T23" i="24"/>
  <c r="S5" i="24"/>
  <c r="S10" i="24"/>
  <c r="E23" i="24"/>
  <c r="U9" i="24"/>
  <c r="O10" i="24"/>
  <c r="S3" i="24"/>
  <c r="O5" i="24"/>
  <c r="U6" i="24"/>
  <c r="S8" i="24"/>
  <c r="Q10" i="24"/>
  <c r="S4" i="24"/>
  <c r="Q5" i="24"/>
  <c r="O6" i="24"/>
  <c r="S9" i="24"/>
  <c r="Q6" i="24"/>
  <c r="Q3" i="24"/>
  <c r="L10" i="24"/>
  <c r="M10" i="24" s="1"/>
  <c r="U3" i="24"/>
  <c r="BB6" i="24"/>
  <c r="AY7" i="24"/>
  <c r="AZ7" i="24"/>
  <c r="X9" i="24"/>
  <c r="BA5" i="24"/>
  <c r="BB5" i="24" s="1"/>
  <c r="BA4" i="24"/>
  <c r="BB4" i="24" s="1"/>
  <c r="D5" i="3"/>
  <c r="D4" i="3"/>
  <c r="D3" i="3"/>
  <c r="E5" i="3"/>
  <c r="E4" i="3"/>
  <c r="BB67" i="24" l="1"/>
  <c r="W15" i="24"/>
  <c r="BB72" i="24"/>
  <c r="W16" i="24"/>
  <c r="BB62" i="24"/>
  <c r="W14" i="24"/>
  <c r="BA47" i="24"/>
  <c r="BB52" i="24"/>
  <c r="W12" i="24"/>
  <c r="BA57" i="24"/>
  <c r="BB47" i="24"/>
  <c r="W11" i="24"/>
  <c r="BB42" i="24"/>
  <c r="W10" i="24"/>
  <c r="X10" i="24" s="1"/>
  <c r="K8" i="24"/>
  <c r="L8" i="24" s="1"/>
  <c r="M8" i="24" s="1"/>
  <c r="BA32" i="24"/>
  <c r="BB32" i="24"/>
  <c r="W8" i="24"/>
  <c r="BB22" i="24"/>
  <c r="W6" i="24"/>
  <c r="X6" i="24" s="1"/>
  <c r="BB27" i="24"/>
  <c r="W7" i="24"/>
  <c r="BA17" i="24"/>
  <c r="BA12" i="24"/>
  <c r="BB12" i="24" s="1"/>
  <c r="K3" i="24"/>
  <c r="K23" i="24" s="1"/>
  <c r="X8" i="24"/>
  <c r="F5" i="3"/>
  <c r="BA7" i="24"/>
  <c r="W3" i="24" s="1"/>
  <c r="E3" i="3"/>
  <c r="F3" i="3"/>
  <c r="F4" i="3"/>
  <c r="BB57" i="24" l="1"/>
  <c r="W13" i="24"/>
  <c r="W5" i="24"/>
  <c r="BB17" i="24"/>
  <c r="W4" i="24"/>
  <c r="L3" i="24"/>
  <c r="M3" i="24" s="1"/>
  <c r="X4" i="24"/>
  <c r="BB7" i="24"/>
  <c r="X13" i="21"/>
  <c r="W13" i="21"/>
  <c r="U13" i="21"/>
  <c r="T13" i="21"/>
  <c r="R13" i="21"/>
  <c r="Q13" i="21"/>
  <c r="O13" i="21"/>
  <c r="N13" i="21"/>
  <c r="F13" i="21"/>
  <c r="G13" i="21"/>
  <c r="H13" i="21"/>
  <c r="I13" i="21"/>
  <c r="J13" i="21"/>
  <c r="K13" i="21"/>
  <c r="E13" i="21"/>
  <c r="O4" i="3"/>
  <c r="O5" i="3"/>
  <c r="X5" i="24" l="1"/>
  <c r="K29" i="24"/>
  <c r="X3" i="24"/>
  <c r="Q4" i="3"/>
  <c r="I19" i="21"/>
  <c r="Y13" i="21"/>
  <c r="S13" i="21"/>
  <c r="P13" i="21"/>
  <c r="M13" i="21"/>
  <c r="V13" i="21"/>
  <c r="AA12" i="21"/>
  <c r="Z12" i="21"/>
  <c r="Y12" i="21"/>
  <c r="V12" i="21"/>
  <c r="S12" i="21"/>
  <c r="P12" i="21"/>
  <c r="M12" i="21"/>
  <c r="L12" i="21"/>
  <c r="AA11" i="21"/>
  <c r="Z11" i="21"/>
  <c r="Y11" i="21"/>
  <c r="V11" i="21"/>
  <c r="S11" i="21"/>
  <c r="P11" i="21"/>
  <c r="M11" i="21"/>
  <c r="L11" i="21"/>
  <c r="AA10" i="21"/>
  <c r="Z10" i="21"/>
  <c r="Y10" i="21"/>
  <c r="V10" i="21"/>
  <c r="S10" i="21"/>
  <c r="P10" i="21"/>
  <c r="M10" i="21"/>
  <c r="L10" i="21"/>
  <c r="AA9" i="21"/>
  <c r="Z9" i="21"/>
  <c r="Y9" i="21"/>
  <c r="V9" i="21"/>
  <c r="S9" i="21"/>
  <c r="P9" i="21"/>
  <c r="M9" i="21"/>
  <c r="L9" i="21"/>
  <c r="AA8" i="21"/>
  <c r="Z8" i="21"/>
  <c r="Y8" i="21"/>
  <c r="V8" i="21"/>
  <c r="S8" i="21"/>
  <c r="P8" i="21"/>
  <c r="M8" i="21"/>
  <c r="L8" i="21"/>
  <c r="AA7" i="21"/>
  <c r="Z7" i="21"/>
  <c r="Y7" i="21"/>
  <c r="V7" i="21"/>
  <c r="S7" i="21"/>
  <c r="P7" i="21"/>
  <c r="M7" i="21"/>
  <c r="L7" i="21"/>
  <c r="AA6" i="21"/>
  <c r="Z6" i="21"/>
  <c r="Y6" i="21"/>
  <c r="V6" i="21"/>
  <c r="S6" i="21"/>
  <c r="P6" i="21"/>
  <c r="M6" i="21"/>
  <c r="L6" i="21"/>
  <c r="AA5" i="21"/>
  <c r="Z5" i="21"/>
  <c r="AB5" i="21" s="1"/>
  <c r="AC5" i="21" s="1"/>
  <c r="Y5" i="21"/>
  <c r="V5" i="21"/>
  <c r="S5" i="21"/>
  <c r="P5" i="21"/>
  <c r="M5" i="21"/>
  <c r="L5" i="21"/>
  <c r="AA4" i="21"/>
  <c r="Z4" i="21"/>
  <c r="AB4" i="21" s="1"/>
  <c r="AC4" i="21" s="1"/>
  <c r="Y4" i="21"/>
  <c r="V4" i="21"/>
  <c r="S4" i="21"/>
  <c r="P4" i="21"/>
  <c r="M4" i="21"/>
  <c r="L4" i="21"/>
  <c r="AA3" i="21"/>
  <c r="Z3" i="21"/>
  <c r="Z13" i="21" s="1"/>
  <c r="Y3" i="21"/>
  <c r="V3" i="21"/>
  <c r="S3" i="21"/>
  <c r="P3" i="21"/>
  <c r="Q5" i="3" l="1"/>
  <c r="AB8" i="21"/>
  <c r="AC8" i="21" s="1"/>
  <c r="AB9" i="21"/>
  <c r="AC9" i="21" s="1"/>
  <c r="AB10" i="21"/>
  <c r="AC10" i="21" s="1"/>
  <c r="AB12" i="21"/>
  <c r="L13" i="21"/>
  <c r="AB3" i="21"/>
  <c r="AA13" i="21"/>
  <c r="AB6" i="21"/>
  <c r="AC6" i="21" s="1"/>
  <c r="AB7" i="21"/>
  <c r="AC7" i="21" s="1"/>
  <c r="AB11" i="21"/>
  <c r="AC11" i="21" s="1"/>
  <c r="AC12" i="21"/>
  <c r="J19" i="21" l="1"/>
  <c r="K19" i="21" s="1"/>
  <c r="AB13" i="21"/>
  <c r="AC3" i="21"/>
  <c r="O3" i="3" l="1"/>
  <c r="U22" i="24"/>
  <c r="Q22" i="24"/>
  <c r="X22" i="24"/>
  <c r="U21" i="24"/>
  <c r="L20" i="24"/>
  <c r="M20" i="24" s="1"/>
  <c r="L19" i="24"/>
  <c r="M19" i="24" s="1"/>
  <c r="L18" i="24"/>
  <c r="M18" i="24" s="1"/>
  <c r="O17" i="24"/>
  <c r="L17" i="24"/>
  <c r="M17" i="24" s="1"/>
  <c r="O16" i="24"/>
  <c r="X15" i="24"/>
  <c r="O15" i="24"/>
  <c r="U14" i="24"/>
  <c r="Q14" i="24"/>
  <c r="X14" i="24"/>
  <c r="U13" i="24"/>
  <c r="S12" i="24"/>
  <c r="L12" i="24"/>
  <c r="M12" i="24" s="1"/>
  <c r="L11" i="24"/>
  <c r="M11" i="24" s="1"/>
  <c r="Q17" i="24" l="1"/>
  <c r="X16" i="24"/>
  <c r="U17" i="24"/>
  <c r="O18" i="24"/>
  <c r="X17" i="24"/>
  <c r="Q18" i="24"/>
  <c r="X18" i="24"/>
  <c r="U18" i="24"/>
  <c r="S19" i="24"/>
  <c r="Q21" i="24"/>
  <c r="Q13" i="24"/>
  <c r="S20" i="24"/>
  <c r="U11" i="24"/>
  <c r="U12" i="24"/>
  <c r="O13" i="24"/>
  <c r="X13" i="24"/>
  <c r="O14" i="24"/>
  <c r="Q15" i="24"/>
  <c r="Q16" i="24"/>
  <c r="S17" i="24"/>
  <c r="S18" i="24"/>
  <c r="U19" i="24"/>
  <c r="U20" i="24"/>
  <c r="O21" i="24"/>
  <c r="X21" i="24"/>
  <c r="O22" i="24"/>
  <c r="O12" i="24"/>
  <c r="S15" i="24"/>
  <c r="S16" i="24"/>
  <c r="O19" i="24"/>
  <c r="X19" i="24"/>
  <c r="O20" i="24"/>
  <c r="S14" i="24"/>
  <c r="S11" i="24"/>
  <c r="X11" i="24"/>
  <c r="X12" i="24"/>
  <c r="L15" i="24"/>
  <c r="M15" i="24" s="1"/>
  <c r="L16" i="24"/>
  <c r="M16" i="24" s="1"/>
  <c r="X20" i="24"/>
  <c r="Q12" i="24"/>
  <c r="U15" i="24"/>
  <c r="U16" i="24"/>
  <c r="Q19" i="24"/>
  <c r="Q20" i="24"/>
  <c r="S21" i="24"/>
  <c r="S22" i="24"/>
  <c r="O11" i="24"/>
  <c r="Q11" i="24"/>
  <c r="S13" i="24"/>
  <c r="L13" i="24"/>
  <c r="M13" i="24" s="1"/>
  <c r="L14" i="24"/>
  <c r="M14" i="24" s="1"/>
  <c r="L21" i="24"/>
  <c r="M21" i="24" s="1"/>
  <c r="L22" i="24"/>
  <c r="M22" i="24" s="1"/>
  <c r="J23" i="24" l="1"/>
  <c r="I23" i="24"/>
  <c r="G23" i="24"/>
  <c r="U23" i="24" s="1"/>
  <c r="F23" i="24"/>
  <c r="O7" i="24" l="1"/>
  <c r="N23" i="24"/>
  <c r="O23" i="24" s="1"/>
  <c r="S7" i="24"/>
  <c r="R23" i="24"/>
  <c r="S23" i="24" s="1"/>
  <c r="Q7" i="24"/>
  <c r="P23" i="24"/>
  <c r="Q23" i="24" s="1"/>
  <c r="L7" i="24"/>
  <c r="H23" i="24"/>
  <c r="U7" i="24"/>
  <c r="N5" i="3"/>
  <c r="P5" i="3"/>
  <c r="H5" i="3"/>
  <c r="J5" i="3"/>
  <c r="H3" i="3"/>
  <c r="H4" i="3"/>
  <c r="J4" i="3"/>
  <c r="N4" i="3"/>
  <c r="P4" i="3"/>
  <c r="N3" i="3"/>
  <c r="P3" i="3"/>
  <c r="M7" i="24" l="1"/>
  <c r="L23" i="24"/>
  <c r="M23" i="24" s="1"/>
  <c r="V23" i="24"/>
  <c r="J3" i="3"/>
  <c r="X7" i="24" l="1"/>
  <c r="W23" i="24"/>
  <c r="G5" i="25"/>
  <c r="G6" i="25"/>
  <c r="G7" i="25"/>
  <c r="G8" i="25"/>
  <c r="G9" i="25"/>
  <c r="G10" i="25"/>
  <c r="G11" i="25"/>
  <c r="H12" i="25"/>
  <c r="F12" i="25"/>
  <c r="E12" i="25"/>
  <c r="H9" i="26" l="1"/>
  <c r="F9" i="26"/>
  <c r="E9" i="26"/>
  <c r="G8" i="26"/>
  <c r="G7" i="26"/>
  <c r="G6" i="26"/>
  <c r="G5" i="26"/>
  <c r="G12" i="25"/>
  <c r="G9" i="26" l="1"/>
  <c r="Q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tc={B4C51914-BC99-4BA1-B53C-FEF8EF88CF33}</author>
  </authors>
  <commentList>
    <comment ref="A1" authorId="0" shapeId="0" xr:uid="{B4C51914-BC99-4BA1-B53C-FEF8EF88CF33}">
      <text>
        <t>[Threaded comment]
Your version of Excel allows you to read this threaded comment; however, any edits to it will get removed if the file is opened in a newer version of Excel. Learn more: https://go.microsoft.com/fwlink/?linkid=870924
Comment:
    Note that the tables and figures in this sheet are older ones (not from 2025-2026). They are being left as placeholders to note which types of figures and tables should go in here once we have the updated data to make them.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tc={B69FDADC-9E6E-4B5E-B949-37642A9A6576}</author>
  </authors>
  <commentList>
    <comment ref="A1" authorId="0" shapeId="0" xr:uid="{B69FDADC-9E6E-4B5E-B949-37642A9A6576}">
      <text>
        <t>[Threaded comment]
Your version of Excel allows you to read this threaded comment; however, any edits to it will get removed if the file is opened in a newer version of Excel. Learn more: https://go.microsoft.com/fwlink/?linkid=870924
Comment:
    Note that the tables and figures in this sheet are older ones (not from 2025-2026). They are being left as placeholders to note which types of figures and tables should go in here once we have the updated data to make them.</t>
      </text>
    </comment>
  </commentList>
</comments>
</file>

<file path=xl/sharedStrings.xml><?xml version="1.0" encoding="utf-8"?>
<sst xmlns="http://schemas.openxmlformats.org/spreadsheetml/2006/main" count="1084" uniqueCount="376">
  <si>
    <t>United States Department of the Interior</t>
  </si>
  <si>
    <t>U.S. Fish and Wildlife Service</t>
  </si>
  <si>
    <t>Report prepared for:</t>
  </si>
  <si>
    <t>Red Bluff Fish and Wildlife Office</t>
  </si>
  <si>
    <t>10950 Tyler Road</t>
  </si>
  <si>
    <t>Customer:</t>
  </si>
  <si>
    <t>United States Bureau of Reclamation</t>
  </si>
  <si>
    <t>Red Bluff, CA  96080</t>
  </si>
  <si>
    <t>Mid-Pacific Regional Office</t>
  </si>
  <si>
    <t>Customer Address:</t>
  </si>
  <si>
    <t>2800 Cottage Way</t>
  </si>
  <si>
    <t>https://www.fws.gov/redbluff/</t>
  </si>
  <si>
    <t>Customer City, State, Zip:</t>
  </si>
  <si>
    <t>Sacramento, CA  95825-1898</t>
  </si>
  <si>
    <t>Customer Phone:</t>
  </si>
  <si>
    <t>916.978.4315</t>
  </si>
  <si>
    <t>Prepared by:</t>
  </si>
  <si>
    <t>Customer Email:</t>
  </si>
  <si>
    <t>Mike Schraml: 530.527.3043 / mike_schraml@fws.gov</t>
  </si>
  <si>
    <t>Table of Contents</t>
  </si>
  <si>
    <t>Metadata</t>
  </si>
  <si>
    <t>Contact Information</t>
  </si>
  <si>
    <t>Summary</t>
  </si>
  <si>
    <t>Use Limitations</t>
  </si>
  <si>
    <t>References</t>
  </si>
  <si>
    <t>Worksheet Descriptions</t>
  </si>
  <si>
    <t>Data Descriptions</t>
  </si>
  <si>
    <t>UCC CHN 23-24 worksheet</t>
  </si>
  <si>
    <t>LCC CHN 23-24 worksheet</t>
  </si>
  <si>
    <t>LCC RBT 23-24 worksheet</t>
  </si>
  <si>
    <t>LCC with UCC Fish worksheet</t>
  </si>
  <si>
    <t>UCC Tables &amp; Figures worksheet</t>
  </si>
  <si>
    <t>LCC Tables &amp; Figures worksheet</t>
  </si>
  <si>
    <t>UCC CHN 23-24</t>
  </si>
  <si>
    <t>LCC CHN 23-24</t>
  </si>
  <si>
    <t>Yeah</t>
  </si>
  <si>
    <t>LCC with UCC Fish</t>
  </si>
  <si>
    <t>UCC Tables &amp; Figures</t>
  </si>
  <si>
    <t>LCC Tables &amp; Figures</t>
  </si>
  <si>
    <t>Summary:</t>
  </si>
  <si>
    <r>
      <rPr>
        <sz val="10"/>
        <rFont val="Arial"/>
        <family val="2"/>
      </rPr>
      <t xml:space="preserve">The data was collected by the U.S. Fish and Wildlife Service's, Red Bluff Fish and Wildlife Office's, Battle Creek Monitoring Program.  The data encompasses the brood year (BY) 2017 and 2018 mark-recapture (M-R) data collected on Clear Creek, California, from December 7, 2017, through March 21, 2018, </t>
    </r>
    <r>
      <rPr>
        <sz val="10"/>
        <color rgb="FFFF0000"/>
        <rFont val="Arial"/>
        <family val="2"/>
      </rPr>
      <t xml:space="preserve">and December 27, 2016, through January 31, 2017.  </t>
    </r>
    <r>
      <rPr>
        <sz val="10"/>
        <rFont val="Arial"/>
        <family val="2"/>
      </rPr>
      <t>The catch data was collected using at 5-ft diameter rotary screw traps located at river mile 1.7, 40.506159N latitude, -122.396079W Longitude (lower Clear Creek, LCC) and at river mile 8.4, 40.491850N latitude, -122.496572W Longitude (decimal upper Clear Creek, UCC).</t>
    </r>
  </si>
  <si>
    <t>Use Limitations:</t>
  </si>
  <si>
    <t xml:space="preserve">FWS assumes no liability for the improper or incorrect  use of these data.  These data are intended for the use of Clear Creek monitoring.  The final data can be found in our monitoring reports at http://www.fws.gov/redbluff/cvpia.aspx.  </t>
  </si>
  <si>
    <t>References:</t>
  </si>
  <si>
    <t>Bailey, N. T. J.  1951.  On Estimating the Size of Mobile Populations from Recapture Data.  Biometrika 38(3):293-306.</t>
  </si>
  <si>
    <t>Buckland, S. T., and P. H. Garthwaite.  1991.  Quantifying Precision of Mark-Recapture Estimates Using the Bootstrap and Related Methods.  Biometrics 47(1):255-268.</t>
  </si>
  <si>
    <t>Carlson, S. R., L. G. Coggins Jr, and C. O. Swanton.  1998.  A simple stratified design for mark-recapture estimation of salmon smolt abundance.  Alaska Fishery Research Bulletin 5(2):88-102.</t>
  </si>
  <si>
    <t>Thedinga, J. F., M. L. Murphy, S. W. Johnson, J. M. Lorenz, and K. V. Koski.  1994.  Determination of salmonid smolt yield with rotary-screw traps in the Situk River, Alaska, to predict effects of glacial flooding.  North American Journal of Fisheries Management 14(4):837-851.</t>
  </si>
  <si>
    <t>Return to Table of Contents</t>
  </si>
  <si>
    <t>Excel Worksheet Name</t>
  </si>
  <si>
    <t>Worksheet Description</t>
  </si>
  <si>
    <r>
      <t xml:space="preserve">This worksheet contains the M-R trial data and results obtained during the brood year 2018 spring-run Chinook Salmon sampling season conducted at the UCC trap during the </t>
    </r>
    <r>
      <rPr>
        <sz val="10"/>
        <color rgb="FFFF0000"/>
        <rFont val="Arial"/>
        <family val="2"/>
      </rPr>
      <t>December 27, 2016, through January 31, 2017</t>
    </r>
    <r>
      <rPr>
        <sz val="10"/>
        <color theme="1"/>
        <rFont val="Arial"/>
        <family val="2"/>
      </rPr>
      <t xml:space="preserve">, time period.  The Bailey's efficiency calculated on this worksheet is used to generate the passage indices (estimated) for the annual report. </t>
    </r>
  </si>
  <si>
    <r>
      <t xml:space="preserve">This worksheet contains the M-R trial data and results obtained during the brood year 2018 Chinook Salmon sampling season conducted at the LCC trap during the </t>
    </r>
    <r>
      <rPr>
        <sz val="10"/>
        <color rgb="FFFF0000"/>
        <rFont val="Arial"/>
        <family val="2"/>
      </rPr>
      <t>December 27, 2016, through January 31, 2017</t>
    </r>
    <r>
      <rPr>
        <sz val="10"/>
        <color theme="1"/>
        <rFont val="Arial"/>
        <family val="2"/>
      </rPr>
      <t xml:space="preserve">, time period.  The Bailey's efficiency calculated on this worksheet is used to generate the passage indices (estimated) for the annual report. </t>
    </r>
  </si>
  <si>
    <t>LCC RBT 23-24</t>
  </si>
  <si>
    <t>This worksheet contains the M-R trial data and results obtained during the brood year 2018 Rainbow Trout/steelhead sampling season conducted at the LCC trap during the December 27, 2016, through January 31, 2017, time period.</t>
  </si>
  <si>
    <r>
      <t xml:space="preserve">This worksheet contains the M-R trial data and results obtained during the brood year 2018 spring-run Chinook Salmon sampling season conducted at the UCC trap during the </t>
    </r>
    <r>
      <rPr>
        <sz val="10"/>
        <color rgb="FFFF0000"/>
        <rFont val="Arial"/>
        <family val="2"/>
      </rPr>
      <t>December 27, 2016, through January 31, 2017</t>
    </r>
    <r>
      <rPr>
        <sz val="10"/>
        <color theme="1"/>
        <rFont val="Arial"/>
        <family val="2"/>
      </rPr>
      <t>, time period.  It represents the number of marked fish released upstream of the UCC trap and recaptured in the LCC trap.</t>
    </r>
  </si>
  <si>
    <t>This worksheet contains the table and figures presented in the report.</t>
  </si>
  <si>
    <t>Column Name</t>
  </si>
  <si>
    <t>Column</t>
  </si>
  <si>
    <t>Data Description</t>
  </si>
  <si>
    <t>Unit</t>
  </si>
  <si>
    <t>Spreadsheet Origin</t>
  </si>
  <si>
    <t>Worksheet Origin</t>
  </si>
  <si>
    <t>Trial</t>
  </si>
  <si>
    <t>A</t>
  </si>
  <si>
    <t>The trial number for BY 2018 Chinook Salmon M-R sampling at the UCC trap.</t>
  </si>
  <si>
    <t>N/A</t>
  </si>
  <si>
    <t>Mark date</t>
  </si>
  <si>
    <t>B</t>
  </si>
  <si>
    <r>
      <t xml:space="preserve">The date the fish were marked for the M-R study conducted on the </t>
    </r>
    <r>
      <rPr>
        <b/>
        <sz val="10"/>
        <color theme="1"/>
        <rFont val="Arial"/>
        <family val="2"/>
      </rPr>
      <t>Release date.</t>
    </r>
  </si>
  <si>
    <t>Release date</t>
  </si>
  <si>
    <t>C</t>
  </si>
  <si>
    <t>The date the fish were released for the M-R study.</t>
  </si>
  <si>
    <t xml:space="preserve"> </t>
  </si>
  <si>
    <t>Days held</t>
  </si>
  <si>
    <t>D</t>
  </si>
  <si>
    <t>The number of days the fish were held in live-cars before being released.</t>
  </si>
  <si>
    <t>days</t>
  </si>
  <si>
    <t>Number held</t>
  </si>
  <si>
    <t>The total number of fish held for the trial.</t>
  </si>
  <si>
    <t>number of fish</t>
  </si>
  <si>
    <t>Number marked</t>
  </si>
  <si>
    <t>E</t>
  </si>
  <si>
    <t>The combined number of all mark types of fish marked for the M-R study.</t>
  </si>
  <si>
    <t>Number released</t>
  </si>
  <si>
    <t>F</t>
  </si>
  <si>
    <t>The combined number of all mark types of fish released for the M-R study.  The total marked fish minus fish injured or killed during the marking process.</t>
  </si>
  <si>
    <t>Pre-mark mortalities</t>
  </si>
  <si>
    <t>G</t>
  </si>
  <si>
    <t>The number of fish that died as a result of being kept in the live-car before the marking process.</t>
  </si>
  <si>
    <t>Marking mortalities</t>
  </si>
  <si>
    <t>H</t>
  </si>
  <si>
    <t>The number of fish that died during the marking process.</t>
  </si>
  <si>
    <t>Post-mark mortalities</t>
  </si>
  <si>
    <t>I</t>
  </si>
  <si>
    <t>The number of fish that died as a result of the release counting process or being retained in the live-car after the marking process.</t>
  </si>
  <si>
    <t>Predation / Trap mortalities</t>
  </si>
  <si>
    <t>J</t>
  </si>
  <si>
    <t>The number of fish recaptured that were found dead in the live-box of the rotary screw trap.</t>
  </si>
  <si>
    <t>Total mortalities</t>
  </si>
  <si>
    <t>The total number of mortalities related to the trial.</t>
  </si>
  <si>
    <t>Percent mortality</t>
  </si>
  <si>
    <t>K</t>
  </si>
  <si>
    <t>The percent of total marked fish that died because of the marking and releasing process.</t>
  </si>
  <si>
    <t>percent</t>
  </si>
  <si>
    <t>Current</t>
  </si>
  <si>
    <t>Calculation</t>
  </si>
  <si>
    <t>Number caught day1</t>
  </si>
  <si>
    <t>L</t>
  </si>
  <si>
    <t>The total number of marked fish recaptured on the first day following the release.</t>
  </si>
  <si>
    <t>Percent caught day1</t>
  </si>
  <si>
    <t>M</t>
  </si>
  <si>
    <t>The percent of total released fish that were recaptured on the first day following the release.</t>
  </si>
  <si>
    <t>Number caught day2</t>
  </si>
  <si>
    <t>N</t>
  </si>
  <si>
    <t>The total number of marked fish recaptured on the second day following the release.</t>
  </si>
  <si>
    <t>Percent caught day2</t>
  </si>
  <si>
    <t>O</t>
  </si>
  <si>
    <t>The percent of total released fish that were recaptured on the second day following the release.</t>
  </si>
  <si>
    <t>Number caught day3</t>
  </si>
  <si>
    <t>P</t>
  </si>
  <si>
    <t>The total number of marked fish recaptured on the third day following the release.</t>
  </si>
  <si>
    <t>Percent caught day3</t>
  </si>
  <si>
    <t>Q</t>
  </si>
  <si>
    <t>The percent of total released fish that were recaptured on the third day following the release.</t>
  </si>
  <si>
    <t>Number caught day4</t>
  </si>
  <si>
    <t>R</t>
  </si>
  <si>
    <t>The total number of marked fish recaptured on the fourth day following the release.</t>
  </si>
  <si>
    <t>Percent caught day4</t>
  </si>
  <si>
    <t>S</t>
  </si>
  <si>
    <t>The percent of total released fish that were recaptured on the fourth day following the release.</t>
  </si>
  <si>
    <t>Total live recaptures</t>
  </si>
  <si>
    <t>T</t>
  </si>
  <si>
    <t>The total number of marked live fish of all mark types recaptured for that M-R trial.</t>
  </si>
  <si>
    <t>Total mortalities recaptured</t>
  </si>
  <si>
    <t>U</t>
  </si>
  <si>
    <t>The total number of marked dead fish of all mark types recaptured for that M-R trial.</t>
  </si>
  <si>
    <t>Total recaptured</t>
  </si>
  <si>
    <t>V</t>
  </si>
  <si>
    <t>The total number of marked fish of all mark types recaptured for that M-R trial.</t>
  </si>
  <si>
    <t>mean</t>
  </si>
  <si>
    <t>Bailey's efficiency</t>
  </si>
  <si>
    <t>W</t>
  </si>
  <si>
    <t>Bailey's efficiency (total number of recaptured +1) / (total number of released +1).</t>
  </si>
  <si>
    <t>Race and origin</t>
  </si>
  <si>
    <t>X</t>
  </si>
  <si>
    <t>The race (run) of Chinook Salmon used for the M-R trial and where they were obtained.  CNFH = Coleman National Fish hatchery</t>
  </si>
  <si>
    <t>Mark type</t>
  </si>
  <si>
    <t>AA</t>
  </si>
  <si>
    <t>The type of mark applied to the released fish.  All fish were marked with Bismarck brown dye, upper clip = an upper caudal fin clip, lower clip = an lower caudal fin clip, no clip = no fin was clipped.</t>
  </si>
  <si>
    <t>AB</t>
  </si>
  <si>
    <t>AC</t>
  </si>
  <si>
    <t>AD</t>
  </si>
  <si>
    <t>AE</t>
  </si>
  <si>
    <t>The number of indicted mark type marked for the M-R study.</t>
  </si>
  <si>
    <t>AF</t>
  </si>
  <si>
    <t>The number of indicated mark type of fish released for the M-R study.  The total marked fish minus fish injured or killed during the marking process.</t>
  </si>
  <si>
    <t>AG</t>
  </si>
  <si>
    <t>The number of indicated mark type of fish that died as a result of the marking process.</t>
  </si>
  <si>
    <t>AH</t>
  </si>
  <si>
    <t>The percent of total marked fish that died because of the marking process for the indicated mark type.</t>
  </si>
  <si>
    <t>AI</t>
  </si>
  <si>
    <t>The total number of marked fish recaptured on the first day following the release for the indicated mark type.</t>
  </si>
  <si>
    <t>AJ</t>
  </si>
  <si>
    <t>The percent of  indicted mark type that died because of the marking and releasing process.</t>
  </si>
  <si>
    <t>Number live caught day1</t>
  </si>
  <si>
    <t>AK</t>
  </si>
  <si>
    <t>The number of live fish of the indicated mark type that were captured the 1st day after the release.</t>
  </si>
  <si>
    <t>Number mortalities caught day1</t>
  </si>
  <si>
    <t>AL</t>
  </si>
  <si>
    <t>The number of dead fish of the indicated mark type that were captured the 1st day after the release.</t>
  </si>
  <si>
    <t>AM</t>
  </si>
  <si>
    <t>The percent of released fish of the indicated mark type  that were captured the 1st day after the release.</t>
  </si>
  <si>
    <t>Number live caught day2</t>
  </si>
  <si>
    <t>AN</t>
  </si>
  <si>
    <t>The number of live fish of the indicated mark type that were captured the 2nd day after the release.</t>
  </si>
  <si>
    <t>Number mortalities caught day2</t>
  </si>
  <si>
    <t>AO</t>
  </si>
  <si>
    <t>The number of dead fish of the indicated mark type that were captured the 2nd day after the release.</t>
  </si>
  <si>
    <t>AP</t>
  </si>
  <si>
    <t>The percent of released fish of the indicated mark type  that were captured the 2nd day after the release.</t>
  </si>
  <si>
    <t>Number live caught day3</t>
  </si>
  <si>
    <t>AQ</t>
  </si>
  <si>
    <t>The number of live fish of the indicated mark type that were captured the 3rd day after the release.</t>
  </si>
  <si>
    <t>Number mortalities caught day3</t>
  </si>
  <si>
    <t>AR</t>
  </si>
  <si>
    <t>The number of dead fish of the indicated mark type that were captured the 3rd day after the release.</t>
  </si>
  <si>
    <t>AS</t>
  </si>
  <si>
    <t>The percent of released fish of the indicated mark type  that were captured the 3rd day after the release.</t>
  </si>
  <si>
    <t>Number live caught day4</t>
  </si>
  <si>
    <t>AT</t>
  </si>
  <si>
    <t>The number of live fish of the indicated mark type that were captured the 4th day after the release.</t>
  </si>
  <si>
    <t>Number mortalities caught day4</t>
  </si>
  <si>
    <t>AU</t>
  </si>
  <si>
    <t>The number of dead fish of the indicated mark type that were captured the 4th day after the release.</t>
  </si>
  <si>
    <t>AV</t>
  </si>
  <si>
    <t>The percent of released fish of the indicated mark type  that were captured the 4th day after the release.</t>
  </si>
  <si>
    <t>Total live recaptured</t>
  </si>
  <si>
    <t>AW</t>
  </si>
  <si>
    <t>The total number of live fish of the indicated mark type that were recaptured during the entire M-R trial.</t>
  </si>
  <si>
    <t>AX</t>
  </si>
  <si>
    <t>The total number of dead fish of the indicated mark type that were recaptured during the entire M-R trial.</t>
  </si>
  <si>
    <t>AY</t>
  </si>
  <si>
    <t>The total number of fish of the indicated mark type that were recaptured during the entire M-R trial.</t>
  </si>
  <si>
    <t>AZ</t>
  </si>
  <si>
    <t>Bailey's efficiency for the indicated mark type (total number of recaptured +1) / (total number of released +1). Rounded to 4 digits.</t>
  </si>
  <si>
    <t>Bailey's Eff.</t>
  </si>
  <si>
    <t>BA</t>
  </si>
  <si>
    <t>All Variables</t>
  </si>
  <si>
    <t>All</t>
  </si>
  <si>
    <t>Same as above except the data was collected during for trial conducted at the LCC trap.</t>
  </si>
  <si>
    <t>The trial number for BY 2018 Rainbow Trout/steelhead M-R sampling at the LCC trap.</t>
  </si>
  <si>
    <t>Mark Date</t>
  </si>
  <si>
    <t>Release Date</t>
  </si>
  <si>
    <t>Days Held</t>
  </si>
  <si>
    <t>Number Marked</t>
  </si>
  <si>
    <t>The number of fish marked for the M-R study.</t>
  </si>
  <si>
    <t>Number Released</t>
  </si>
  <si>
    <t>The number of fish released for the M-R study.  The total marked fish minus fish injured or killed during the marking process.</t>
  </si>
  <si>
    <t>Pre Mark Morts</t>
  </si>
  <si>
    <t>Marking Morts</t>
  </si>
  <si>
    <t>Post Mark Morts</t>
  </si>
  <si>
    <t>Predation/Trap Morts</t>
  </si>
  <si>
    <t>Percent Mortality</t>
  </si>
  <si>
    <t>Number Live  Caught Day1</t>
  </si>
  <si>
    <t>The number of live fish that were captured the 1st day after the release.</t>
  </si>
  <si>
    <t>Number Morts  Caught Day1</t>
  </si>
  <si>
    <t>The number of dead fish that were captured the 1st day after the release.</t>
  </si>
  <si>
    <t>Percent Day1</t>
  </si>
  <si>
    <t>The percent of released fish that were captured the 1st day after the release.</t>
  </si>
  <si>
    <t>Number Live  Caught Day2</t>
  </si>
  <si>
    <t>The number of live fish that were captured the 2nd day after the release.</t>
  </si>
  <si>
    <t>Number Morts  Caught Day2</t>
  </si>
  <si>
    <t>The number of dead fish that were captured the 2nd day after the release.</t>
  </si>
  <si>
    <t>Percent Day2</t>
  </si>
  <si>
    <t>The percent of released fish that were captured the 2nd day after the release.</t>
  </si>
  <si>
    <t>Number Live  Caught Day3</t>
  </si>
  <si>
    <t>The number of live fish that were captured the 3rd day after the release.</t>
  </si>
  <si>
    <t>Number Morts  Caught Day3</t>
  </si>
  <si>
    <t>The number of dead fish that were captured the 3rd day after the release.</t>
  </si>
  <si>
    <t>Percent Day3</t>
  </si>
  <si>
    <t>The percent of released fish that were captured the 3rd day after the release.</t>
  </si>
  <si>
    <t>Number Live  Caught Day4</t>
  </si>
  <si>
    <t>The number of live fish that were captured the 4th day after the release.</t>
  </si>
  <si>
    <t>Number Morts  Caught Day4</t>
  </si>
  <si>
    <t>The number of dead fish that were captured the 4th day after the release.</t>
  </si>
  <si>
    <t>Percent Day4</t>
  </si>
  <si>
    <t>The percent of released fish that were captured the 4th day after the release.</t>
  </si>
  <si>
    <t>Total Live Recaptures</t>
  </si>
  <si>
    <t>The total number of live fish that were recaptured during the entire M-R trial.</t>
  </si>
  <si>
    <t>Total Mort Recaptures</t>
  </si>
  <si>
    <t>Y</t>
  </si>
  <si>
    <t>The total number of dead fish that were recaptured during the entire M-R trial.</t>
  </si>
  <si>
    <t>Total Recaptures</t>
  </si>
  <si>
    <t>Z</t>
  </si>
  <si>
    <t>The total number of fish that were recaptured during the entire M-R trial.</t>
  </si>
  <si>
    <t>Bailey's Efficiency</t>
  </si>
  <si>
    <t>Bailey's efficiency (total number of recaptured +1) / (total number of released +1). Rounded to 4 digits.</t>
  </si>
  <si>
    <t>UCC Tables &amp; figures worksheet</t>
  </si>
  <si>
    <t>Same as UCC CHN 23-24</t>
  </si>
  <si>
    <t>LCC Tables &amp; figures worksheet</t>
  </si>
  <si>
    <t>Same as LCC CHN 23-24</t>
  </si>
  <si>
    <t>Tab</t>
  </si>
  <si>
    <t>Problem</t>
  </si>
  <si>
    <t>Noticed by</t>
  </si>
  <si>
    <t>Date Noticed</t>
  </si>
  <si>
    <t>Fixed by</t>
  </si>
  <si>
    <t>Date Fixed</t>
  </si>
  <si>
    <t>Notes</t>
  </si>
  <si>
    <t>Upper Clear Creek CHN 2025-2026</t>
  </si>
  <si>
    <t>Do not enter data into blue shaded cells</t>
  </si>
  <si>
    <t>Upper Clear Creek Chinook Salmon</t>
  </si>
  <si>
    <t>Number caught day 1</t>
  </si>
  <si>
    <t>Percent caught day 1</t>
  </si>
  <si>
    <t>Number caught day 2</t>
  </si>
  <si>
    <t>Percent caught day 2</t>
  </si>
  <si>
    <t>Number caught day 3</t>
  </si>
  <si>
    <t>Percent caught day 3</t>
  </si>
  <si>
    <t>Number caught day 4</t>
  </si>
  <si>
    <t>Percent caught day 4</t>
  </si>
  <si>
    <t>Race</t>
  </si>
  <si>
    <t>Origin</t>
  </si>
  <si>
    <t>Number live caught day 1</t>
  </si>
  <si>
    <t>Number mortalities caught day 1</t>
  </si>
  <si>
    <t>Number live caught day 2</t>
  </si>
  <si>
    <t>Number mortalities caught day 2</t>
  </si>
  <si>
    <t>Number live caught day 3</t>
  </si>
  <si>
    <t>Number mortalities caught day 3</t>
  </si>
  <si>
    <t>Number live caught day 4</t>
  </si>
  <si>
    <t>Number mortalities caught day 4</t>
  </si>
  <si>
    <t>SCS</t>
  </si>
  <si>
    <t>U+LCC</t>
  </si>
  <si>
    <t>Trial 1</t>
  </si>
  <si>
    <t>No clip</t>
  </si>
  <si>
    <t>UCC</t>
  </si>
  <si>
    <t>Lower clip</t>
  </si>
  <si>
    <t>Upper clip</t>
  </si>
  <si>
    <t>SRC</t>
  </si>
  <si>
    <t>UCC LCC</t>
  </si>
  <si>
    <t>Trial 2</t>
  </si>
  <si>
    <t>LCC</t>
  </si>
  <si>
    <t>FCS</t>
  </si>
  <si>
    <t>SRS</t>
  </si>
  <si>
    <t>Trial 3</t>
  </si>
  <si>
    <t>Trial 4</t>
  </si>
  <si>
    <t>Trial 5</t>
  </si>
  <si>
    <t>In left and right tables enter data in green fields only, all other data is calculated</t>
  </si>
  <si>
    <t xml:space="preserve">Avg. Released </t>
  </si>
  <si>
    <t>Avg. Recaps</t>
  </si>
  <si>
    <t>Avg. Eff</t>
  </si>
  <si>
    <t>Trial 6</t>
  </si>
  <si>
    <t>Rounded season average</t>
  </si>
  <si>
    <t>Trial 7</t>
  </si>
  <si>
    <t>Trial 8</t>
  </si>
  <si>
    <t>Trial 9</t>
  </si>
  <si>
    <t>Trial 10</t>
  </si>
  <si>
    <t>Trial 11</t>
  </si>
  <si>
    <t>Trial 12</t>
  </si>
  <si>
    <t>Trial 13</t>
  </si>
  <si>
    <t>Trial 14</t>
  </si>
  <si>
    <t>Trial 15</t>
  </si>
  <si>
    <t>Trial 16</t>
  </si>
  <si>
    <t>Trial 17</t>
  </si>
  <si>
    <t>Trial 18</t>
  </si>
  <si>
    <t>Trial 19</t>
  </si>
  <si>
    <t>Trial 20</t>
  </si>
  <si>
    <t>Lower Clear Creek CHN 2025-2026</t>
  </si>
  <si>
    <t>Lower Clear Creek Chinook Salmon</t>
  </si>
  <si>
    <t>LCC UCC</t>
  </si>
  <si>
    <t>?</t>
  </si>
  <si>
    <t>Lower Clear Creek Rainbow Trout/steelhead 2025-2026</t>
  </si>
  <si>
    <t>Lower Clear Creek Rainbow Trout/steelhead</t>
  </si>
  <si>
    <t>Upper Clear Creek releases captured by lower Clear Creek trap 2025-2026</t>
  </si>
  <si>
    <t>Marked Chinook at upper Clear Creek</t>
  </si>
  <si>
    <t>Chinook released at upper Clear Creek</t>
  </si>
  <si>
    <t>Trap catch at lower trap with upper Clear Creek Chinook</t>
  </si>
  <si>
    <t>LCC with UCC Chinook efficiency</t>
  </si>
  <si>
    <t>UCC with UCC Chinook efficiency</t>
  </si>
  <si>
    <t>LCC with UCC Chinook Salmon efficiency</t>
  </si>
  <si>
    <t>UCC with UCC Chinook Salmon efficiency</t>
  </si>
  <si>
    <t>Lower Clear Creek 2025-2026</t>
  </si>
  <si>
    <t>Date</t>
  </si>
  <si>
    <t>Season average</t>
  </si>
  <si>
    <t>Mean daily flow</t>
  </si>
  <si>
    <t>Trial efficiency</t>
  </si>
  <si>
    <t>Mortality</t>
  </si>
  <si>
    <t>Number recaptured</t>
  </si>
  <si>
    <t>Run-Origin</t>
  </si>
  <si>
    <t>Total</t>
  </si>
  <si>
    <t>Dates</t>
  </si>
  <si>
    <t>Week</t>
  </si>
  <si>
    <t>Released</t>
  </si>
  <si>
    <t>Recaptured</t>
  </si>
  <si>
    <t>Juvenile passage index</t>
  </si>
  <si>
    <t>01-Jan-18 to 07-Jan-18</t>
  </si>
  <si>
    <t>FCS-LCC</t>
  </si>
  <si>
    <t>RBT</t>
  </si>
  <si>
    <t>08-Jan-18 to 14-Jan-18</t>
  </si>
  <si>
    <t>15-Jan-18 to 21-Jan-18</t>
  </si>
  <si>
    <t>22-Jan-18 to 28-Jan-18</t>
  </si>
  <si>
    <t>29-Jan-18 to 04-Feb-18</t>
  </si>
  <si>
    <t>05-Feb-18 to 11-Feb-18</t>
  </si>
  <si>
    <t>12-Feb-18 to 18-Feb-18</t>
  </si>
  <si>
    <t>19-Feb-18 to 11-Mar-18</t>
  </si>
  <si>
    <t>4-10</t>
  </si>
  <si>
    <t>12-Mar-18 to 18-Mar-18</t>
  </si>
  <si>
    <t>11</t>
  </si>
  <si>
    <t>19-Mar-18 to 30-Jun-18</t>
  </si>
  <si>
    <t>12-26</t>
  </si>
  <si>
    <t>RBT, LFCS</t>
  </si>
  <si>
    <t>Lower Clear Creek</t>
  </si>
  <si>
    <t>Upper Clear Creek 2025-2026</t>
  </si>
  <si>
    <t>01-Jan-18 to 30-Jun-18</t>
  </si>
  <si>
    <t>1-26</t>
  </si>
  <si>
    <t>UCC spring-run Chinook Salmon used.</t>
  </si>
  <si>
    <t>Upper Clear Creek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</si>
</sst>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0"/>
    <numFmt numFmtId="165" formatCode="0.000"/>
    <numFmt numFmtId="166" formatCode="[$-409]d\-mmm\-yy;@"/>
    <numFmt numFmtId="167" formatCode="0.0%"/>
    <numFmt numFmtId="168" formatCode="mm/dd/yy;@"/>
    <numFmt numFmtId="169" formatCode="0.0"/>
  </numFmts>
  <fonts count="56" x14ac:knownFonts="1">
    <font>
      <sz val="10"/>
      <name val="Arial"/>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0"/>
      <name val="Arial"/>
      <family val="2"/>
    </font>
    <font>
      <sz val="8"/>
      <name val="Arial"/>
      <family val="2"/>
    </font>
    <font>
      <b/>
      <sz val="12"/>
      <name val="Arial"/>
      <family val="2"/>
    </font>
    <font>
      <sz val="12"/>
      <name val="Arial"/>
      <family val="2"/>
    </font>
    <font>
      <b/>
      <sz val="10"/>
      <name val="Arial"/>
      <family val="2"/>
    </font>
    <font>
      <b/>
      <sz val="10"/>
      <color indexed="17"/>
      <name val="Arial"/>
      <family val="2"/>
    </font>
    <font>
      <b/>
      <sz val="10"/>
      <color indexed="10"/>
      <name val="Arial"/>
      <family val="2"/>
    </font>
    <font>
      <sz val="10"/>
      <name val="Arial"/>
      <family val="2"/>
    </font>
    <font>
      <b/>
      <sz val="10"/>
      <color indexed="12"/>
      <name val="Arial"/>
      <family val="2"/>
    </font>
    <font>
      <b/>
      <sz val="10"/>
      <color indexed="20"/>
      <name val="Arial"/>
      <family val="2"/>
    </font>
    <font>
      <b/>
      <sz val="10"/>
      <color indexed="53"/>
      <name val="Arial"/>
      <family val="2"/>
    </font>
    <font>
      <b/>
      <sz val="10"/>
      <color indexed="9"/>
      <name val="Arial"/>
      <family val="2"/>
    </font>
    <font>
      <sz val="12"/>
      <name val="Times New Roman"/>
      <family val="1"/>
    </font>
    <font>
      <b/>
      <sz val="10"/>
      <color rgb="FFFF0000"/>
      <name val="Arial"/>
      <family val="2"/>
    </font>
    <font>
      <sz val="10"/>
      <name val="Arial"/>
      <family val="2"/>
    </font>
    <font>
      <u/>
      <sz val="10"/>
      <color theme="10"/>
      <name val="Arial"/>
      <family val="2"/>
    </font>
    <font>
      <sz val="10"/>
      <color theme="6" tint="-0.249977111117893"/>
      <name val="Arial"/>
      <family val="2"/>
    </font>
    <font>
      <b/>
      <sz val="10"/>
      <color theme="6" tint="-0.249977111117893"/>
      <name val="Arial"/>
      <family val="2"/>
    </font>
    <font>
      <b/>
      <sz val="10"/>
      <color theme="8" tint="-0.499984740745262"/>
      <name val="Arial"/>
      <family val="2"/>
    </font>
    <font>
      <b/>
      <sz val="10"/>
      <color theme="5" tint="-0.249977111117893"/>
      <name val="Arial"/>
      <family val="2"/>
    </font>
    <font>
      <sz val="14"/>
      <name val="Arial"/>
      <family val="2"/>
    </font>
    <font>
      <sz val="16"/>
      <name val="Arial"/>
      <family val="2"/>
    </font>
    <font>
      <b/>
      <sz val="16"/>
      <color theme="8" tint="-0.499984740745262"/>
      <name val="Arial"/>
      <family val="2"/>
    </font>
    <font>
      <b/>
      <sz val="16"/>
      <color indexed="20"/>
      <name val="Arial"/>
      <family val="2"/>
    </font>
    <font>
      <b/>
      <sz val="14"/>
      <color theme="8" tint="-0.499984740745262"/>
      <name val="Arial"/>
      <family val="2"/>
    </font>
    <font>
      <sz val="10"/>
      <color rgb="FFFF000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Times New Roman"/>
      <family val="1"/>
    </font>
    <font>
      <u/>
      <sz val="10"/>
      <color indexed="12"/>
      <name val="Arial"/>
      <family val="2"/>
    </font>
    <font>
      <b/>
      <sz val="12"/>
      <color rgb="FFFF0000"/>
      <name val="Times New Roman"/>
      <family val="1"/>
    </font>
    <font>
      <sz val="12"/>
      <color rgb="FF000000"/>
      <name val="Times New Roman"/>
      <family val="1"/>
    </font>
    <font>
      <b/>
      <sz val="10"/>
      <color theme="1"/>
      <name val="Arial"/>
      <family val="2"/>
    </font>
    <font>
      <i/>
      <sz val="10"/>
      <color theme="1"/>
      <name val="Arial"/>
      <family val="2"/>
    </font>
    <font>
      <sz val="16"/>
      <color rgb="FFFF0000"/>
      <name val="Arial"/>
      <family val="2"/>
    </font>
    <font>
      <b/>
      <sz val="16"/>
      <color rgb="FFFF0000"/>
      <name val="Arial"/>
      <family val="2"/>
    </font>
  </fonts>
  <fills count="45">
    <fill>
      <patternFill patternType="none"/>
    </fill>
    <fill>
      <patternFill patternType="gray125"/>
    </fill>
    <fill>
      <patternFill patternType="solid">
        <fgColor indexed="15"/>
        <bgColor indexed="64"/>
      </patternFill>
    </fill>
    <fill>
      <patternFill patternType="solid">
        <fgColor indexed="42"/>
        <bgColor indexed="64"/>
      </patternFill>
    </fill>
    <fill>
      <patternFill patternType="solid">
        <fgColor indexed="20"/>
        <bgColor indexed="64"/>
      </patternFill>
    </fill>
    <fill>
      <patternFill patternType="solid">
        <fgColor theme="3" tint="0.59999389629810485"/>
        <bgColor indexed="64"/>
      </patternFill>
    </fill>
    <fill>
      <patternFill patternType="solid">
        <fgColor theme="8" tint="-0.249977111117893"/>
        <bgColor indexed="64"/>
      </patternFill>
    </fill>
    <fill>
      <patternFill patternType="solid">
        <fgColor theme="6"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66"/>
        <bgColor indexed="64"/>
      </patternFill>
    </fill>
    <fill>
      <patternFill patternType="solid">
        <fgColor theme="0"/>
        <bgColor indexed="64"/>
      </patternFill>
    </fill>
    <fill>
      <patternFill patternType="solid">
        <fgColor theme="0" tint="-0.14999847407452621"/>
        <bgColor indexed="64"/>
      </patternFill>
    </fill>
    <fill>
      <patternFill patternType="solid">
        <fgColor rgb="FFFF0000"/>
        <bgColor indexed="64"/>
      </patternFill>
    </fill>
    <fill>
      <patternFill patternType="solid">
        <fgColor rgb="FF00FFFF"/>
        <bgColor indexed="64"/>
      </patternFill>
    </fill>
    <fill>
      <patternFill patternType="solid">
        <fgColor theme="9" tint="0.59999389629810485"/>
        <bgColor indexed="64"/>
      </patternFill>
    </fill>
  </fills>
  <borders count="37">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right/>
      <top/>
      <bottom style="medium">
        <color indexed="64"/>
      </bottom>
      <diagonal/>
    </border>
    <border>
      <left/>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style="medium">
        <color indexed="64"/>
      </top>
      <bottom/>
      <diagonal/>
    </border>
    <border>
      <left/>
      <right/>
      <top style="medium">
        <color auto="1"/>
      </top>
      <bottom style="thin">
        <color auto="1"/>
      </bottom>
      <diagonal/>
    </border>
    <border>
      <left/>
      <right/>
      <top style="thin">
        <color indexed="64"/>
      </top>
      <bottom/>
      <diagonal/>
    </border>
    <border>
      <left/>
      <right/>
      <top style="thin">
        <color indexed="64"/>
      </top>
      <bottom style="thin">
        <color indexed="64"/>
      </bottom>
      <diagonal/>
    </border>
    <border>
      <left/>
      <right/>
      <top/>
      <bottom style="thin">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s>
  <cellStyleXfs count="196">
    <xf numFmtId="0" fontId="0" fillId="0" borderId="0"/>
    <xf numFmtId="0" fontId="13" fillId="0" borderId="0" applyProtection="0"/>
    <xf numFmtId="9" fontId="6" fillId="0" borderId="0" applyFont="0" applyFill="0" applyBorder="0" applyAlignment="0" applyProtection="0"/>
    <xf numFmtId="0" fontId="20" fillId="0" borderId="0" applyProtection="0"/>
    <xf numFmtId="43" fontId="6" fillId="0" borderId="0" applyFont="0" applyFill="0" applyBorder="0" applyAlignment="0" applyProtection="0"/>
    <xf numFmtId="43" fontId="6" fillId="0" borderId="0" applyFont="0" applyFill="0" applyBorder="0" applyAlignment="0" applyProtection="0"/>
    <xf numFmtId="0" fontId="6" fillId="0" borderId="0" applyProtection="0"/>
    <xf numFmtId="0" fontId="6" fillId="0" borderId="0"/>
    <xf numFmtId="0" fontId="6" fillId="0" borderId="0"/>
    <xf numFmtId="9" fontId="6" fillId="0" borderId="0" applyFont="0" applyFill="0" applyBorder="0" applyAlignment="0" applyProtection="0"/>
    <xf numFmtId="0" fontId="20" fillId="0" borderId="0" applyProtection="0"/>
    <xf numFmtId="0" fontId="21" fillId="0" borderId="0" applyNumberFormat="0" applyFill="0" applyBorder="0" applyAlignment="0" applyProtection="0"/>
    <xf numFmtId="0" fontId="6" fillId="0" borderId="0" applyProtection="0"/>
    <xf numFmtId="0" fontId="6" fillId="0" borderId="0" applyProtection="0"/>
    <xf numFmtId="0" fontId="6" fillId="0" borderId="0" applyProtection="0"/>
    <xf numFmtId="0" fontId="6" fillId="0" borderId="0" applyProtection="0"/>
    <xf numFmtId="0" fontId="6" fillId="0" borderId="0" applyProtection="0"/>
    <xf numFmtId="0" fontId="6" fillId="0" borderId="0" applyProtection="0"/>
    <xf numFmtId="0" fontId="32" fillId="0" borderId="0" applyNumberFormat="0" applyFill="0" applyBorder="0" applyAlignment="0" applyProtection="0"/>
    <xf numFmtId="0" fontId="33" fillId="0" borderId="13"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35" fillId="0" borderId="0" applyNumberFormat="0" applyFill="0" applyBorder="0" applyAlignment="0" applyProtection="0"/>
    <xf numFmtId="0" fontId="36" fillId="8" borderId="0" applyNumberFormat="0" applyBorder="0" applyAlignment="0" applyProtection="0"/>
    <xf numFmtId="0" fontId="37" fillId="9" borderId="0" applyNumberFormat="0" applyBorder="0" applyAlignment="0" applyProtection="0"/>
    <xf numFmtId="0" fontId="38" fillId="10" borderId="0" applyNumberFormat="0" applyBorder="0" applyAlignment="0" applyProtection="0"/>
    <xf numFmtId="0" fontId="39" fillId="11" borderId="16" applyNumberFormat="0" applyAlignment="0" applyProtection="0"/>
    <xf numFmtId="0" fontId="40" fillId="12" borderId="17" applyNumberFormat="0" applyAlignment="0" applyProtection="0"/>
    <xf numFmtId="0" fontId="41" fillId="12" borderId="16" applyNumberFormat="0" applyAlignment="0" applyProtection="0"/>
    <xf numFmtId="0" fontId="42" fillId="0" borderId="18" applyNumberFormat="0" applyFill="0" applyAlignment="0" applyProtection="0"/>
    <xf numFmtId="0" fontId="43" fillId="13" borderId="19" applyNumberFormat="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6" fillId="0" borderId="21" applyNumberFormat="0" applyFill="0" applyAlignment="0" applyProtection="0"/>
    <xf numFmtId="0" fontId="47"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47" fillId="18" borderId="0" applyNumberFormat="0" applyBorder="0" applyAlignment="0" applyProtection="0"/>
    <xf numFmtId="0" fontId="47"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47" fillId="22" borderId="0" applyNumberFormat="0" applyBorder="0" applyAlignment="0" applyProtection="0"/>
    <xf numFmtId="0" fontId="47"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47" fillId="26" borderId="0" applyNumberFormat="0" applyBorder="0" applyAlignment="0" applyProtection="0"/>
    <xf numFmtId="0" fontId="47"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47" fillId="30" borderId="0" applyNumberFormat="0" applyBorder="0" applyAlignment="0" applyProtection="0"/>
    <xf numFmtId="0" fontId="47"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47" fillId="34" borderId="0" applyNumberFormat="0" applyBorder="0" applyAlignment="0" applyProtection="0"/>
    <xf numFmtId="0" fontId="47"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47" fillId="38" borderId="0" applyNumberFormat="0" applyBorder="0" applyAlignment="0" applyProtection="0"/>
    <xf numFmtId="0" fontId="5" fillId="0" borderId="0"/>
    <xf numFmtId="0" fontId="48" fillId="0" borderId="0"/>
    <xf numFmtId="0" fontId="49" fillId="0" borderId="0" applyNumberFormat="0" applyFill="0" applyBorder="0" applyAlignment="0" applyProtection="0">
      <alignment vertical="top"/>
      <protection locked="0"/>
    </xf>
    <xf numFmtId="0" fontId="5" fillId="14" borderId="20" applyNumberFormat="0" applyFont="0" applyAlignment="0" applyProtection="0"/>
    <xf numFmtId="0" fontId="6" fillId="0" borderId="0"/>
    <xf numFmtId="0" fontId="5" fillId="0" borderId="0"/>
    <xf numFmtId="0" fontId="6" fillId="0" borderId="0"/>
    <xf numFmtId="0" fontId="6" fillId="0" borderId="0"/>
    <xf numFmtId="0" fontId="5" fillId="0" borderId="0"/>
    <xf numFmtId="0" fontId="6" fillId="0" borderId="0"/>
    <xf numFmtId="0" fontId="5" fillId="0" borderId="0"/>
    <xf numFmtId="0" fontId="5" fillId="14" borderId="20" applyNumberFormat="0" applyFont="0" applyAlignment="0" applyProtection="0"/>
    <xf numFmtId="0" fontId="5" fillId="16" borderId="0" applyNumberFormat="0" applyBorder="0" applyAlignment="0" applyProtection="0"/>
    <xf numFmtId="0" fontId="5" fillId="17"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5" fillId="0" borderId="0"/>
    <xf numFmtId="0" fontId="5" fillId="0" borderId="0"/>
    <xf numFmtId="0" fontId="4" fillId="0" borderId="0"/>
    <xf numFmtId="0" fontId="4" fillId="14" borderId="20"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0" borderId="0"/>
    <xf numFmtId="0" fontId="6" fillId="0" borderId="0" applyProtection="0"/>
    <xf numFmtId="43" fontId="6" fillId="0" borderId="0" applyFont="0" applyFill="0" applyBorder="0" applyAlignment="0" applyProtection="0"/>
    <xf numFmtId="0" fontId="6" fillId="0" borderId="0" applyProtection="0"/>
    <xf numFmtId="0" fontId="6" fillId="0" borderId="0"/>
    <xf numFmtId="9" fontId="6" fillId="0" borderId="0" applyFont="0" applyFill="0" applyBorder="0" applyAlignment="0" applyProtection="0"/>
    <xf numFmtId="0" fontId="6" fillId="0" borderId="0"/>
    <xf numFmtId="0" fontId="4" fillId="0" borderId="0"/>
    <xf numFmtId="0" fontId="6" fillId="0" borderId="0" applyProtection="0"/>
    <xf numFmtId="43" fontId="6" fillId="0" borderId="0" applyFont="0" applyFill="0" applyBorder="0" applyAlignment="0" applyProtection="0"/>
    <xf numFmtId="0" fontId="6" fillId="0" borderId="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4" fillId="0" borderId="0"/>
    <xf numFmtId="9" fontId="4" fillId="0" borderId="0" applyFont="0" applyFill="0" applyBorder="0" applyAlignment="0" applyProtection="0"/>
    <xf numFmtId="0" fontId="4" fillId="0" borderId="0"/>
    <xf numFmtId="0" fontId="4" fillId="0" borderId="0"/>
    <xf numFmtId="0" fontId="6" fillId="0" borderId="0" applyProtection="0"/>
    <xf numFmtId="43" fontId="6" fillId="0" borderId="0" applyFont="0" applyFill="0" applyBorder="0" applyAlignment="0" applyProtection="0"/>
    <xf numFmtId="0" fontId="6" fillId="0" borderId="0" applyProtection="0"/>
    <xf numFmtId="0" fontId="6" fillId="0" borderId="0"/>
    <xf numFmtId="0" fontId="6" fillId="0" borderId="0"/>
    <xf numFmtId="9" fontId="6" fillId="0" borderId="0" applyFont="0" applyFill="0" applyBorder="0" applyAlignment="0" applyProtection="0"/>
    <xf numFmtId="0" fontId="6" fillId="0" borderId="0"/>
    <xf numFmtId="0" fontId="4" fillId="0" borderId="0"/>
    <xf numFmtId="0" fontId="6" fillId="0" borderId="0" applyProtection="0"/>
    <xf numFmtId="0" fontId="6" fillId="0" borderId="0" applyProtection="0"/>
    <xf numFmtId="0" fontId="6" fillId="0" borderId="0"/>
    <xf numFmtId="0" fontId="4" fillId="0" borderId="0"/>
    <xf numFmtId="9" fontId="4" fillId="0" borderId="0" applyFont="0" applyFill="0" applyBorder="0" applyAlignment="0" applyProtection="0"/>
    <xf numFmtId="0" fontId="4" fillId="0" borderId="0"/>
    <xf numFmtId="0" fontId="6" fillId="0" borderId="0" applyProtection="0"/>
    <xf numFmtId="0" fontId="6" fillId="0" borderId="0" applyProtection="0"/>
    <xf numFmtId="0" fontId="4" fillId="0" borderId="0"/>
    <xf numFmtId="0" fontId="4" fillId="0" borderId="0"/>
    <xf numFmtId="0" fontId="6" fillId="0" borderId="0" applyProtection="0"/>
    <xf numFmtId="0" fontId="6" fillId="0" borderId="0" applyProtection="0"/>
    <xf numFmtId="0" fontId="4" fillId="0" borderId="0"/>
    <xf numFmtId="0" fontId="48" fillId="0" borderId="0"/>
    <xf numFmtId="0" fontId="4" fillId="14" borderId="20" applyNumberFormat="0" applyFont="0" applyAlignment="0" applyProtection="0"/>
    <xf numFmtId="0" fontId="4" fillId="0" borderId="0"/>
    <xf numFmtId="0" fontId="6" fillId="0" borderId="0" applyProtection="0"/>
    <xf numFmtId="0" fontId="4" fillId="0" borderId="0"/>
    <xf numFmtId="0" fontId="4" fillId="0" borderId="0"/>
    <xf numFmtId="0" fontId="4" fillId="14" borderId="20"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6" fillId="0" borderId="0" applyProtection="0"/>
    <xf numFmtId="0" fontId="6" fillId="0" borderId="0" applyProtection="0"/>
    <xf numFmtId="0" fontId="48" fillId="0" borderId="0"/>
    <xf numFmtId="0" fontId="4" fillId="0" borderId="0"/>
    <xf numFmtId="0" fontId="6" fillId="0" borderId="0"/>
    <xf numFmtId="0" fontId="6" fillId="0" borderId="0"/>
    <xf numFmtId="0" fontId="6" fillId="0" borderId="0"/>
    <xf numFmtId="0" fontId="6" fillId="0" borderId="0" applyProtection="0"/>
    <xf numFmtId="0" fontId="6" fillId="0" borderId="0"/>
    <xf numFmtId="0" fontId="6" fillId="0" borderId="0"/>
    <xf numFmtId="0" fontId="6" fillId="0" borderId="0"/>
    <xf numFmtId="0" fontId="4" fillId="0" borderId="0"/>
    <xf numFmtId="0" fontId="6" fillId="0" borderId="0" applyProtection="0"/>
    <xf numFmtId="0" fontId="6" fillId="0" borderId="0" applyProtection="0"/>
    <xf numFmtId="0" fontId="4" fillId="0" borderId="0"/>
    <xf numFmtId="0" fontId="6" fillId="0" borderId="0" applyProtection="0"/>
    <xf numFmtId="0" fontId="6" fillId="0" borderId="0"/>
    <xf numFmtId="0" fontId="48" fillId="0" borderId="0"/>
    <xf numFmtId="0" fontId="6" fillId="0" borderId="0"/>
    <xf numFmtId="0" fontId="6" fillId="0" borderId="0" applyProtection="0"/>
    <xf numFmtId="0" fontId="6" fillId="0" borderId="0" applyProtection="0"/>
    <xf numFmtId="0" fontId="6" fillId="0" borderId="0" applyProtection="0"/>
    <xf numFmtId="0" fontId="6" fillId="0" borderId="0"/>
    <xf numFmtId="0" fontId="6" fillId="0" borderId="0" applyProtection="0"/>
    <xf numFmtId="0" fontId="6" fillId="0" borderId="0"/>
    <xf numFmtId="0" fontId="4" fillId="0" borderId="0"/>
    <xf numFmtId="0" fontId="4" fillId="0" borderId="0"/>
    <xf numFmtId="0" fontId="6" fillId="0" borderId="0"/>
    <xf numFmtId="0" fontId="6" fillId="0" borderId="0" applyProtection="0"/>
    <xf numFmtId="0" fontId="6" fillId="0" borderId="0" applyProtection="0"/>
    <xf numFmtId="0" fontId="4" fillId="0" borderId="0"/>
    <xf numFmtId="0" fontId="6" fillId="0" borderId="0"/>
    <xf numFmtId="0" fontId="6" fillId="0" borderId="0"/>
    <xf numFmtId="0" fontId="3" fillId="0" borderId="0"/>
    <xf numFmtId="0" fontId="2" fillId="0" borderId="0"/>
  </cellStyleXfs>
  <cellXfs count="389">
    <xf numFmtId="0" fontId="0" fillId="0" borderId="0" xfId="0"/>
    <xf numFmtId="164" fontId="6" fillId="0" borderId="0" xfId="6" applyNumberFormat="1" applyAlignment="1" applyProtection="1">
      <alignment horizontal="center"/>
    </xf>
    <xf numFmtId="0" fontId="17" fillId="6" borderId="0" xfId="6" applyFont="1" applyFill="1" applyAlignment="1" applyProtection="1">
      <alignment horizontal="center"/>
    </xf>
    <xf numFmtId="2" fontId="17" fillId="6" borderId="0" xfId="6" applyNumberFormat="1" applyFont="1" applyFill="1" applyAlignment="1" applyProtection="1">
      <alignment horizontal="center"/>
    </xf>
    <xf numFmtId="165" fontId="17" fillId="6" borderId="0" xfId="6" applyNumberFormat="1" applyFont="1" applyFill="1" applyAlignment="1" applyProtection="1">
      <alignment horizontal="center"/>
    </xf>
    <xf numFmtId="1" fontId="10" fillId="2" borderId="0" xfId="6" applyNumberFormat="1" applyFont="1" applyFill="1" applyAlignment="1" applyProtection="1">
      <alignment horizontal="center"/>
    </xf>
    <xf numFmtId="164" fontId="10" fillId="2" borderId="0" xfId="6" applyNumberFormat="1" applyFont="1" applyFill="1" applyAlignment="1" applyProtection="1">
      <alignment horizontal="center"/>
    </xf>
    <xf numFmtId="0" fontId="6" fillId="0" borderId="0" xfId="7"/>
    <xf numFmtId="1" fontId="6" fillId="0" borderId="0" xfId="7" applyNumberFormat="1"/>
    <xf numFmtId="2" fontId="6" fillId="0" borderId="0" xfId="7" applyNumberFormat="1"/>
    <xf numFmtId="164" fontId="6" fillId="0" borderId="0" xfId="7" applyNumberFormat="1"/>
    <xf numFmtId="0" fontId="16" fillId="0" borderId="0" xfId="7" applyFont="1" applyAlignment="1">
      <alignment horizontal="center" vertical="center" textRotation="90"/>
    </xf>
    <xf numFmtId="0" fontId="10" fillId="0" borderId="1" xfId="7" applyFont="1" applyBorder="1" applyAlignment="1">
      <alignment horizontal="center" vertical="center" textRotation="90"/>
    </xf>
    <xf numFmtId="0" fontId="10" fillId="0" borderId="0" xfId="7" applyFont="1"/>
    <xf numFmtId="3" fontId="17" fillId="4" borderId="0" xfId="7" applyNumberFormat="1" applyFont="1" applyFill="1" applyAlignment="1">
      <alignment horizontal="center"/>
    </xf>
    <xf numFmtId="3" fontId="6" fillId="0" borderId="0" xfId="7" applyNumberFormat="1" applyAlignment="1">
      <alignment horizontal="center"/>
    </xf>
    <xf numFmtId="164" fontId="6" fillId="0" borderId="0" xfId="7" applyNumberFormat="1" applyAlignment="1">
      <alignment horizontal="center"/>
    </xf>
    <xf numFmtId="1" fontId="6" fillId="0" borderId="0" xfId="7" applyNumberFormat="1" applyAlignment="1">
      <alignment horizontal="center"/>
    </xf>
    <xf numFmtId="165" fontId="6" fillId="0" borderId="0" xfId="7" applyNumberFormat="1"/>
    <xf numFmtId="0" fontId="27" fillId="7" borderId="0" xfId="7" applyFont="1" applyFill="1" applyAlignment="1">
      <alignment horizontal="left"/>
    </xf>
    <xf numFmtId="0" fontId="27" fillId="7" borderId="0" xfId="7" applyFont="1" applyFill="1" applyAlignment="1">
      <alignment horizontal="center"/>
    </xf>
    <xf numFmtId="0" fontId="28" fillId="7" borderId="0" xfId="7" applyFont="1" applyFill="1" applyAlignment="1">
      <alignment horizontal="center"/>
    </xf>
    <xf numFmtId="0" fontId="29" fillId="7" borderId="0" xfId="7" applyFont="1" applyFill="1"/>
    <xf numFmtId="164" fontId="29" fillId="7" borderId="0" xfId="7" applyNumberFormat="1" applyFont="1" applyFill="1" applyAlignment="1">
      <alignment horizontal="center"/>
    </xf>
    <xf numFmtId="165" fontId="27" fillId="7" borderId="0" xfId="7" applyNumberFormat="1" applyFont="1" applyFill="1"/>
    <xf numFmtId="165" fontId="6" fillId="7" borderId="0" xfId="7" applyNumberFormat="1" applyFill="1"/>
    <xf numFmtId="0" fontId="6" fillId="7" borderId="0" xfId="7" applyFill="1" applyAlignment="1">
      <alignment horizontal="center"/>
    </xf>
    <xf numFmtId="0" fontId="6" fillId="0" borderId="0" xfId="7" applyProtection="1">
      <protection locked="0"/>
    </xf>
    <xf numFmtId="1" fontId="6" fillId="0" borderId="0" xfId="7" applyNumberFormat="1" applyProtection="1">
      <protection locked="0"/>
    </xf>
    <xf numFmtId="2" fontId="6" fillId="0" borderId="0" xfId="7" applyNumberFormat="1" applyProtection="1">
      <protection locked="0"/>
    </xf>
    <xf numFmtId="164" fontId="6" fillId="0" borderId="0" xfId="7" applyNumberFormat="1" applyProtection="1">
      <protection locked="0"/>
    </xf>
    <xf numFmtId="165" fontId="6" fillId="0" borderId="0" xfId="7" applyNumberFormat="1" applyProtection="1">
      <protection locked="0"/>
    </xf>
    <xf numFmtId="3" fontId="6" fillId="0" borderId="0" xfId="7" applyNumberFormat="1" applyAlignment="1" applyProtection="1">
      <alignment horizontal="center"/>
      <protection locked="0"/>
    </xf>
    <xf numFmtId="0" fontId="6" fillId="0" borderId="0" xfId="7" applyAlignment="1" applyProtection="1">
      <alignment horizontal="center" vertical="center"/>
      <protection locked="0"/>
    </xf>
    <xf numFmtId="2" fontId="16" fillId="0" borderId="0" xfId="7" applyNumberFormat="1" applyFont="1" applyProtection="1">
      <protection locked="0"/>
    </xf>
    <xf numFmtId="164" fontId="12" fillId="0" borderId="0" xfId="7" applyNumberFormat="1" applyFont="1" applyProtection="1">
      <protection locked="0"/>
    </xf>
    <xf numFmtId="1" fontId="19" fillId="0" borderId="0" xfId="7" applyNumberFormat="1" applyFont="1" applyAlignment="1" applyProtection="1">
      <alignment horizontal="center"/>
      <protection locked="0"/>
    </xf>
    <xf numFmtId="0" fontId="6" fillId="0" borderId="0" xfId="7" applyAlignment="1" applyProtection="1">
      <alignment horizontal="center"/>
      <protection locked="0"/>
    </xf>
    <xf numFmtId="166" fontId="6" fillId="0" borderId="0" xfId="7" applyNumberFormat="1" applyAlignment="1" applyProtection="1">
      <alignment horizontal="center"/>
      <protection locked="0"/>
    </xf>
    <xf numFmtId="164" fontId="6" fillId="0" borderId="0" xfId="7" applyNumberFormat="1" applyAlignment="1" applyProtection="1">
      <alignment horizontal="center"/>
      <protection locked="0"/>
    </xf>
    <xf numFmtId="1" fontId="6" fillId="0" borderId="0" xfId="7" applyNumberFormat="1" applyAlignment="1" applyProtection="1">
      <alignment horizontal="center"/>
      <protection locked="0"/>
    </xf>
    <xf numFmtId="0" fontId="24" fillId="0" borderId="0" xfId="7" applyFont="1" applyAlignment="1" applyProtection="1">
      <alignment horizontal="center"/>
      <protection locked="0"/>
    </xf>
    <xf numFmtId="165" fontId="22" fillId="0" borderId="0" xfId="7" applyNumberFormat="1" applyFont="1" applyProtection="1">
      <protection locked="0"/>
    </xf>
    <xf numFmtId="9" fontId="0" fillId="0" borderId="0" xfId="2" applyFont="1" applyProtection="1">
      <protection locked="0"/>
    </xf>
    <xf numFmtId="0" fontId="6" fillId="0" borderId="0" xfId="6" applyAlignment="1" applyProtection="1">
      <alignment horizontal="center"/>
      <protection locked="0"/>
    </xf>
    <xf numFmtId="0" fontId="11" fillId="0" borderId="0" xfId="7" applyFont="1" applyAlignment="1" applyProtection="1">
      <alignment horizontal="right"/>
      <protection locked="0"/>
    </xf>
    <xf numFmtId="0" fontId="23" fillId="0" borderId="0" xfId="7" applyFont="1" applyAlignment="1" applyProtection="1">
      <alignment horizontal="right"/>
      <protection locked="0"/>
    </xf>
    <xf numFmtId="0" fontId="10" fillId="0" borderId="0" xfId="7" applyFont="1" applyProtection="1">
      <protection locked="0"/>
    </xf>
    <xf numFmtId="0" fontId="10" fillId="0" borderId="0" xfId="7" applyFont="1" applyAlignment="1" applyProtection="1">
      <alignment horizontal="center"/>
      <protection locked="0"/>
    </xf>
    <xf numFmtId="166" fontId="6" fillId="0" borderId="0" xfId="6" applyNumberFormat="1" applyAlignment="1" applyProtection="1">
      <alignment horizontal="center"/>
      <protection locked="0"/>
    </xf>
    <xf numFmtId="0" fontId="22" fillId="0" borderId="0" xfId="7" applyFont="1" applyProtection="1">
      <protection locked="0"/>
    </xf>
    <xf numFmtId="0" fontId="15" fillId="0" borderId="0" xfId="7" applyFont="1" applyProtection="1">
      <protection locked="0"/>
    </xf>
    <xf numFmtId="164" fontId="15" fillId="0" borderId="0" xfId="7" applyNumberFormat="1" applyFont="1" applyAlignment="1" applyProtection="1">
      <alignment horizontal="center"/>
      <protection locked="0"/>
    </xf>
    <xf numFmtId="0" fontId="26" fillId="0" borderId="0" xfId="7" applyFont="1" applyAlignment="1" applyProtection="1">
      <alignment horizontal="left"/>
      <protection locked="0"/>
    </xf>
    <xf numFmtId="0" fontId="26" fillId="0" borderId="0" xfId="7" applyFont="1" applyProtection="1">
      <protection locked="0"/>
    </xf>
    <xf numFmtId="0" fontId="26" fillId="0" borderId="0" xfId="7" applyFont="1" applyAlignment="1" applyProtection="1">
      <alignment horizontal="center"/>
      <protection locked="0"/>
    </xf>
    <xf numFmtId="0" fontId="30" fillId="0" borderId="0" xfId="7" applyFont="1" applyAlignment="1" applyProtection="1">
      <alignment horizontal="center"/>
      <protection locked="0"/>
    </xf>
    <xf numFmtId="165" fontId="12" fillId="0" borderId="0" xfId="7" applyNumberFormat="1" applyFont="1" applyProtection="1">
      <protection locked="0"/>
    </xf>
    <xf numFmtId="165" fontId="23" fillId="0" borderId="0" xfId="7" applyNumberFormat="1" applyFont="1" applyProtection="1">
      <protection locked="0"/>
    </xf>
    <xf numFmtId="165" fontId="6" fillId="0" borderId="0" xfId="7" applyNumberFormat="1" applyAlignment="1" applyProtection="1">
      <alignment horizontal="center"/>
      <protection locked="0"/>
    </xf>
    <xf numFmtId="10" fontId="6" fillId="0" borderId="0" xfId="7" applyNumberFormat="1" applyProtection="1">
      <protection locked="0"/>
    </xf>
    <xf numFmtId="0" fontId="24" fillId="0" borderId="0" xfId="7" applyFont="1" applyAlignment="1" applyProtection="1">
      <alignment horizontal="center" vertical="center"/>
      <protection locked="0"/>
    </xf>
    <xf numFmtId="167" fontId="6" fillId="0" borderId="0" xfId="7" applyNumberFormat="1" applyAlignment="1" applyProtection="1">
      <alignment horizontal="center" vertical="center"/>
      <protection locked="0"/>
    </xf>
    <xf numFmtId="0" fontId="0" fillId="0" borderId="0" xfId="0" applyProtection="1">
      <protection locked="0"/>
    </xf>
    <xf numFmtId="2" fontId="0" fillId="0" borderId="0" xfId="0" applyNumberFormat="1" applyProtection="1">
      <protection locked="0"/>
    </xf>
    <xf numFmtId="164" fontId="0" fillId="0" borderId="0" xfId="0" applyNumberFormat="1" applyProtection="1">
      <protection locked="0"/>
    </xf>
    <xf numFmtId="0" fontId="13" fillId="0" borderId="0" xfId="0" applyFont="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2" fontId="10" fillId="0" borderId="0" xfId="0" applyNumberFormat="1" applyFont="1" applyAlignment="1" applyProtection="1">
      <alignment horizontal="center" vertical="center" wrapText="1"/>
      <protection locked="0"/>
    </xf>
    <xf numFmtId="166" fontId="0" fillId="0" borderId="0" xfId="0" applyNumberFormat="1" applyProtection="1">
      <protection locked="0"/>
    </xf>
    <xf numFmtId="164" fontId="12" fillId="0" borderId="0" xfId="0" applyNumberFormat="1" applyFont="1" applyProtection="1">
      <protection locked="0"/>
    </xf>
    <xf numFmtId="0" fontId="6" fillId="0" borderId="0" xfId="0" applyFont="1" applyProtection="1">
      <protection locked="0"/>
    </xf>
    <xf numFmtId="0" fontId="0" fillId="0" borderId="0" xfId="0" applyAlignment="1" applyProtection="1">
      <alignment horizontal="center"/>
      <protection locked="0"/>
    </xf>
    <xf numFmtId="164" fontId="0" fillId="0" borderId="0" xfId="0" applyNumberFormat="1" applyAlignment="1" applyProtection="1">
      <alignment horizontal="center"/>
      <protection locked="0"/>
    </xf>
    <xf numFmtId="0" fontId="15" fillId="0" borderId="0" xfId="0" applyFont="1" applyAlignment="1" applyProtection="1">
      <alignment horizontal="left"/>
      <protection locked="0"/>
    </xf>
    <xf numFmtId="0" fontId="9" fillId="0" borderId="8" xfId="7" applyFont="1" applyBorder="1" applyAlignment="1">
      <alignment horizontal="center" vertical="center"/>
    </xf>
    <xf numFmtId="0" fontId="25" fillId="0" borderId="0" xfId="7" applyFont="1"/>
    <xf numFmtId="0" fontId="8" fillId="0" borderId="12" xfId="7" applyFont="1" applyBorder="1" applyAlignment="1">
      <alignment horizontal="left" vertical="center"/>
    </xf>
    <xf numFmtId="0" fontId="8" fillId="0" borderId="12" xfId="0" applyFont="1" applyBorder="1" applyAlignment="1">
      <alignment horizontal="left" vertical="center"/>
    </xf>
    <xf numFmtId="0" fontId="6" fillId="0" borderId="0" xfId="7" applyAlignment="1">
      <alignment horizontal="left"/>
    </xf>
    <xf numFmtId="168" fontId="6" fillId="0" borderId="0" xfId="0" applyNumberFormat="1" applyFont="1" applyAlignment="1">
      <alignment horizontal="center"/>
    </xf>
    <xf numFmtId="168" fontId="0" fillId="0" borderId="0" xfId="0" applyNumberFormat="1" applyAlignment="1">
      <alignment horizontal="center"/>
    </xf>
    <xf numFmtId="0" fontId="6" fillId="0" borderId="0" xfId="0" applyFont="1"/>
    <xf numFmtId="0" fontId="4" fillId="0" borderId="0" xfId="84"/>
    <xf numFmtId="168" fontId="4" fillId="0" borderId="0" xfId="84" applyNumberFormat="1" applyAlignment="1">
      <alignment horizontal="center"/>
    </xf>
    <xf numFmtId="0" fontId="4" fillId="0" borderId="0" xfId="84" applyAlignment="1">
      <alignment horizontal="center"/>
    </xf>
    <xf numFmtId="0" fontId="8" fillId="0" borderId="0" xfId="7" applyFont="1" applyAlignment="1">
      <alignment horizontal="left" vertical="center"/>
    </xf>
    <xf numFmtId="0" fontId="50" fillId="39" borderId="0" xfId="64" applyFont="1" applyFill="1" applyAlignment="1">
      <alignment horizontal="left"/>
    </xf>
    <xf numFmtId="0" fontId="18" fillId="39" borderId="0" xfId="64" applyFont="1" applyFill="1" applyAlignment="1">
      <alignment horizontal="center"/>
    </xf>
    <xf numFmtId="0" fontId="18" fillId="0" borderId="0" xfId="64" applyFont="1" applyAlignment="1">
      <alignment horizontal="center"/>
    </xf>
    <xf numFmtId="3" fontId="18" fillId="0" borderId="0" xfId="64" applyNumberFormat="1" applyFont="1" applyAlignment="1">
      <alignment horizontal="center"/>
    </xf>
    <xf numFmtId="164" fontId="18" fillId="0" borderId="0" xfId="64" applyNumberFormat="1" applyFont="1" applyAlignment="1">
      <alignment horizontal="center"/>
    </xf>
    <xf numFmtId="168" fontId="18" fillId="0" borderId="0" xfId="64" applyNumberFormat="1" applyFont="1" applyAlignment="1">
      <alignment horizontal="center"/>
    </xf>
    <xf numFmtId="0" fontId="18" fillId="0" borderId="0" xfId="64" applyFont="1" applyAlignment="1">
      <alignment horizontal="center" vertical="center"/>
    </xf>
    <xf numFmtId="166" fontId="18" fillId="0" borderId="0" xfId="64" applyNumberFormat="1" applyFont="1" applyAlignment="1">
      <alignment horizontal="center" vertical="center"/>
    </xf>
    <xf numFmtId="10" fontId="18" fillId="0" borderId="0" xfId="64" applyNumberFormat="1" applyFont="1" applyAlignment="1">
      <alignment horizontal="center" vertical="center"/>
    </xf>
    <xf numFmtId="167" fontId="18" fillId="0" borderId="0" xfId="64" applyNumberFormat="1" applyFont="1" applyAlignment="1">
      <alignment horizontal="center"/>
    </xf>
    <xf numFmtId="0" fontId="18" fillId="0" borderId="8" xfId="64" applyFont="1" applyBorder="1" applyAlignment="1">
      <alignment horizontal="left"/>
    </xf>
    <xf numFmtId="0" fontId="18" fillId="0" borderId="8" xfId="64" applyFont="1" applyBorder="1" applyAlignment="1">
      <alignment horizontal="center"/>
    </xf>
    <xf numFmtId="3" fontId="18" fillId="0" borderId="8" xfId="64" applyNumberFormat="1" applyFont="1" applyBorder="1" applyAlignment="1">
      <alignment horizontal="center"/>
    </xf>
    <xf numFmtId="167" fontId="18" fillId="0" borderId="8" xfId="64" applyNumberFormat="1" applyFont="1" applyBorder="1" applyAlignment="1">
      <alignment horizontal="center"/>
    </xf>
    <xf numFmtId="49" fontId="18" fillId="0" borderId="0" xfId="64" applyNumberFormat="1" applyFont="1" applyAlignment="1">
      <alignment horizontal="center"/>
    </xf>
    <xf numFmtId="10" fontId="18" fillId="0" borderId="0" xfId="64" applyNumberFormat="1" applyFont="1" applyAlignment="1">
      <alignment horizontal="center"/>
    </xf>
    <xf numFmtId="0" fontId="18" fillId="0" borderId="0" xfId="64" applyFont="1" applyAlignment="1">
      <alignment horizontal="left" vertical="center"/>
    </xf>
    <xf numFmtId="0" fontId="18" fillId="0" borderId="0" xfId="64" applyFont="1" applyAlignment="1">
      <alignment horizontal="left"/>
    </xf>
    <xf numFmtId="14" fontId="18" fillId="0" borderId="0" xfId="64" applyNumberFormat="1" applyFont="1" applyAlignment="1">
      <alignment horizontal="center"/>
    </xf>
    <xf numFmtId="166" fontId="18" fillId="0" borderId="0" xfId="64" applyNumberFormat="1" applyFont="1" applyAlignment="1">
      <alignment horizontal="center"/>
    </xf>
    <xf numFmtId="0" fontId="21" fillId="0" borderId="24" xfId="11" applyFill="1" applyBorder="1"/>
    <xf numFmtId="0" fontId="21" fillId="0" borderId="0" xfId="11" applyFill="1" applyBorder="1" applyAlignment="1">
      <alignment horizontal="left" indent="1"/>
    </xf>
    <xf numFmtId="0" fontId="21" fillId="0" borderId="0" xfId="11" applyFill="1" applyBorder="1" applyAlignment="1">
      <alignment horizontal="left" indent="2"/>
    </xf>
    <xf numFmtId="0" fontId="21" fillId="0" borderId="0" xfId="11" applyFill="1" applyBorder="1" applyAlignment="1">
      <alignment horizontal="left"/>
    </xf>
    <xf numFmtId="0" fontId="21" fillId="0" borderId="0" xfId="11" applyFill="1" applyBorder="1"/>
    <xf numFmtId="0" fontId="53" fillId="41" borderId="0" xfId="64" applyFont="1" applyFill="1" applyAlignment="1">
      <alignment vertical="center"/>
    </xf>
    <xf numFmtId="0" fontId="21" fillId="0" borderId="0" xfId="11" applyFill="1" applyBorder="1" applyAlignment="1">
      <alignment vertical="center"/>
    </xf>
    <xf numFmtId="14" fontId="18" fillId="41" borderId="9" xfId="64" applyNumberFormat="1" applyFont="1" applyFill="1" applyBorder="1" applyAlignment="1">
      <alignment horizontal="center"/>
    </xf>
    <xf numFmtId="49" fontId="18" fillId="41" borderId="9" xfId="64" applyNumberFormat="1" applyFont="1" applyFill="1" applyBorder="1" applyAlignment="1">
      <alignment horizontal="center"/>
    </xf>
    <xf numFmtId="0" fontId="18" fillId="41" borderId="9" xfId="64" applyFont="1" applyFill="1" applyBorder="1" applyAlignment="1">
      <alignment horizontal="center"/>
    </xf>
    <xf numFmtId="10" fontId="18" fillId="41" borderId="9" xfId="64" applyNumberFormat="1" applyFont="1" applyFill="1" applyBorder="1" applyAlignment="1">
      <alignment horizontal="center"/>
    </xf>
    <xf numFmtId="0" fontId="18" fillId="41" borderId="0" xfId="64" applyFont="1" applyFill="1" applyAlignment="1">
      <alignment horizontal="center"/>
    </xf>
    <xf numFmtId="49" fontId="18" fillId="41" borderId="0" xfId="64" applyNumberFormat="1" applyFont="1" applyFill="1" applyAlignment="1">
      <alignment horizontal="center"/>
    </xf>
    <xf numFmtId="10" fontId="18" fillId="41" borderId="0" xfId="64" applyNumberFormat="1" applyFont="1" applyFill="1" applyAlignment="1">
      <alignment horizontal="center"/>
    </xf>
    <xf numFmtId="0" fontId="18" fillId="0" borderId="0" xfId="0" applyFont="1" applyAlignment="1">
      <alignment horizontal="center"/>
    </xf>
    <xf numFmtId="166" fontId="18" fillId="0" borderId="8" xfId="64" applyNumberFormat="1" applyFont="1" applyBorder="1" applyAlignment="1">
      <alignment horizontal="center"/>
    </xf>
    <xf numFmtId="10" fontId="18" fillId="0" borderId="8" xfId="64" applyNumberFormat="1" applyFont="1" applyBorder="1" applyAlignment="1">
      <alignment horizontal="center"/>
    </xf>
    <xf numFmtId="3" fontId="18" fillId="42" borderId="0" xfId="64" applyNumberFormat="1" applyFont="1" applyFill="1" applyAlignment="1">
      <alignment horizontal="center"/>
    </xf>
    <xf numFmtId="0" fontId="6" fillId="0" borderId="0" xfId="6" applyProtection="1"/>
    <xf numFmtId="0" fontId="18" fillId="42" borderId="0" xfId="64" applyFont="1" applyFill="1" applyAlignment="1">
      <alignment horizontal="center" vertical="center"/>
    </xf>
    <xf numFmtId="0" fontId="18" fillId="42" borderId="0" xfId="64" applyFont="1" applyFill="1" applyAlignment="1">
      <alignment horizontal="center"/>
    </xf>
    <xf numFmtId="166" fontId="18" fillId="42" borderId="0" xfId="64" applyNumberFormat="1" applyFont="1" applyFill="1" applyAlignment="1">
      <alignment horizontal="center" vertical="center"/>
    </xf>
    <xf numFmtId="167" fontId="18" fillId="42" borderId="0" xfId="64" applyNumberFormat="1" applyFont="1" applyFill="1" applyAlignment="1">
      <alignment horizontal="center"/>
    </xf>
    <xf numFmtId="10" fontId="18" fillId="42" borderId="0" xfId="64" applyNumberFormat="1" applyFont="1" applyFill="1" applyAlignment="1">
      <alignment horizontal="center" vertical="center"/>
    </xf>
    <xf numFmtId="164" fontId="18" fillId="42" borderId="0" xfId="64" applyNumberFormat="1" applyFont="1" applyFill="1" applyAlignment="1">
      <alignment horizontal="center"/>
    </xf>
    <xf numFmtId="168" fontId="18" fillId="42" borderId="0" xfId="64" applyNumberFormat="1" applyFont="1" applyFill="1" applyAlignment="1">
      <alignment horizontal="center"/>
    </xf>
    <xf numFmtId="3" fontId="18" fillId="42" borderId="0" xfId="64" applyNumberFormat="1" applyFont="1" applyFill="1" applyAlignment="1">
      <alignment horizontal="center" vertical="center"/>
    </xf>
    <xf numFmtId="167" fontId="18" fillId="42" borderId="0" xfId="64" applyNumberFormat="1" applyFont="1" applyFill="1" applyAlignment="1">
      <alignment horizontal="center" vertical="center"/>
    </xf>
    <xf numFmtId="166" fontId="18" fillId="42" borderId="0" xfId="64" applyNumberFormat="1" applyFont="1" applyFill="1" applyAlignment="1">
      <alignment horizontal="center"/>
    </xf>
    <xf numFmtId="0" fontId="6" fillId="0" borderId="0" xfId="7" applyAlignment="1">
      <alignment horizontal="center"/>
    </xf>
    <xf numFmtId="164" fontId="17" fillId="4" borderId="0" xfId="7" applyNumberFormat="1" applyFont="1" applyFill="1" applyAlignment="1">
      <alignment horizontal="center"/>
    </xf>
    <xf numFmtId="165" fontId="6" fillId="5" borderId="5" xfId="7" applyNumberFormat="1" applyFill="1" applyBorder="1" applyAlignment="1">
      <alignment horizontal="center"/>
    </xf>
    <xf numFmtId="165" fontId="6" fillId="3" borderId="7" xfId="7" applyNumberFormat="1" applyFill="1" applyBorder="1" applyAlignment="1">
      <alignment horizontal="center"/>
    </xf>
    <xf numFmtId="3" fontId="52" fillId="0" borderId="0" xfId="7" applyNumberFormat="1" applyFont="1" applyAlignment="1">
      <alignment horizontal="center"/>
    </xf>
    <xf numFmtId="164" fontId="52" fillId="0" borderId="0" xfId="7" applyNumberFormat="1" applyFont="1" applyAlignment="1">
      <alignment horizontal="center"/>
    </xf>
    <xf numFmtId="165" fontId="52" fillId="0" borderId="0" xfId="7" applyNumberFormat="1" applyFont="1" applyAlignment="1">
      <alignment horizontal="center"/>
    </xf>
    <xf numFmtId="0" fontId="9" fillId="0" borderId="0" xfId="7" applyFont="1" applyAlignment="1">
      <alignment horizontal="center" vertical="center"/>
    </xf>
    <xf numFmtId="168" fontId="6" fillId="0" borderId="0" xfId="7" applyNumberFormat="1" applyAlignment="1">
      <alignment horizontal="center"/>
    </xf>
    <xf numFmtId="168" fontId="10" fillId="0" borderId="2" xfId="7" applyNumberFormat="1" applyFont="1" applyBorder="1" applyAlignment="1">
      <alignment horizontal="center" vertical="center" textRotation="90"/>
    </xf>
    <xf numFmtId="168" fontId="10" fillId="0" borderId="1" xfId="7" applyNumberFormat="1" applyFont="1" applyBorder="1" applyAlignment="1">
      <alignment horizontal="center" vertical="center" textRotation="90"/>
    </xf>
    <xf numFmtId="168" fontId="6" fillId="7" borderId="4" xfId="7" applyNumberFormat="1" applyFill="1" applyBorder="1" applyAlignment="1" applyProtection="1">
      <alignment horizontal="center"/>
      <protection locked="0"/>
    </xf>
    <xf numFmtId="168" fontId="6" fillId="0" borderId="0" xfId="7" applyNumberFormat="1" applyAlignment="1" applyProtection="1">
      <alignment horizontal="center"/>
      <protection locked="0"/>
    </xf>
    <xf numFmtId="168" fontId="9" fillId="0" borderId="8" xfId="7" applyNumberFormat="1" applyFont="1" applyBorder="1" applyAlignment="1">
      <alignment horizontal="center" vertical="center"/>
    </xf>
    <xf numFmtId="168" fontId="27" fillId="7" borderId="0" xfId="7" applyNumberFormat="1" applyFont="1" applyFill="1" applyAlignment="1">
      <alignment horizontal="left"/>
    </xf>
    <xf numFmtId="3" fontId="9" fillId="0" borderId="8" xfId="7" applyNumberFormat="1" applyFont="1" applyBorder="1" applyAlignment="1">
      <alignment horizontal="center" vertical="center"/>
    </xf>
    <xf numFmtId="3" fontId="10" fillId="0" borderId="2" xfId="7" applyNumberFormat="1" applyFont="1" applyBorder="1" applyAlignment="1">
      <alignment horizontal="center" vertical="center" textRotation="90" wrapText="1"/>
    </xf>
    <xf numFmtId="3" fontId="6" fillId="0" borderId="0" xfId="7" applyNumberFormat="1" applyProtection="1">
      <protection locked="0"/>
    </xf>
    <xf numFmtId="3" fontId="24" fillId="0" borderId="0" xfId="7" applyNumberFormat="1" applyFont="1" applyAlignment="1" applyProtection="1">
      <alignment horizontal="center"/>
      <protection locked="0"/>
    </xf>
    <xf numFmtId="3" fontId="27" fillId="7" borderId="0" xfId="7" applyNumberFormat="1" applyFont="1" applyFill="1"/>
    <xf numFmtId="3" fontId="27" fillId="7" borderId="0" xfId="7" applyNumberFormat="1" applyFont="1" applyFill="1" applyAlignment="1">
      <alignment horizontal="center"/>
    </xf>
    <xf numFmtId="3" fontId="28" fillId="7" borderId="0" xfId="7" applyNumberFormat="1" applyFont="1" applyFill="1" applyAlignment="1">
      <alignment horizontal="center"/>
    </xf>
    <xf numFmtId="3" fontId="29" fillId="7" borderId="0" xfId="7" applyNumberFormat="1" applyFont="1" applyFill="1"/>
    <xf numFmtId="3" fontId="6" fillId="0" borderId="0" xfId="7" applyNumberFormat="1" applyAlignment="1" applyProtection="1">
      <alignment horizontal="center" vertical="center"/>
      <protection locked="0"/>
    </xf>
    <xf numFmtId="3" fontId="24" fillId="0" borderId="0" xfId="7" applyNumberFormat="1" applyFont="1" applyAlignment="1" applyProtection="1">
      <alignment horizontal="center" vertical="center"/>
      <protection locked="0"/>
    </xf>
    <xf numFmtId="3" fontId="10" fillId="0" borderId="36" xfId="7" applyNumberFormat="1" applyFont="1" applyBorder="1" applyAlignment="1">
      <alignment horizontal="center" vertical="center" textRotation="90"/>
    </xf>
    <xf numFmtId="3" fontId="22" fillId="0" borderId="0" xfId="7" applyNumberFormat="1" applyFont="1" applyProtection="1">
      <protection locked="0"/>
    </xf>
    <xf numFmtId="167" fontId="6" fillId="0" borderId="0" xfId="7" applyNumberFormat="1" applyAlignment="1">
      <alignment horizontal="center"/>
    </xf>
    <xf numFmtId="167" fontId="6" fillId="0" borderId="0" xfId="7" applyNumberFormat="1" applyAlignment="1" applyProtection="1">
      <alignment horizontal="center"/>
      <protection locked="0"/>
    </xf>
    <xf numFmtId="164" fontId="17" fillId="0" borderId="0" xfId="7" applyNumberFormat="1" applyFont="1" applyAlignment="1">
      <alignment horizontal="center"/>
    </xf>
    <xf numFmtId="168" fontId="9" fillId="0" borderId="8" xfId="0" applyNumberFormat="1" applyFont="1" applyBorder="1" applyAlignment="1">
      <alignment horizontal="left" vertical="center"/>
    </xf>
    <xf numFmtId="168" fontId="0" fillId="0" borderId="0" xfId="0" applyNumberFormat="1" applyAlignment="1" applyProtection="1">
      <alignment horizontal="center"/>
      <protection locked="0"/>
    </xf>
    <xf numFmtId="3" fontId="9" fillId="0" borderId="8" xfId="0" applyNumberFormat="1" applyFont="1" applyBorder="1" applyAlignment="1">
      <alignment horizontal="left" vertical="center"/>
    </xf>
    <xf numFmtId="3" fontId="10" fillId="0" borderId="2" xfId="0" applyNumberFormat="1" applyFont="1" applyBorder="1" applyAlignment="1">
      <alignment horizontal="center" vertical="center" textRotation="90" wrapText="1"/>
    </xf>
    <xf numFmtId="3" fontId="10" fillId="0" borderId="1" xfId="0" applyNumberFormat="1" applyFont="1" applyBorder="1" applyAlignment="1">
      <alignment horizontal="center" vertical="center" textRotation="90" wrapText="1"/>
    </xf>
    <xf numFmtId="3" fontId="0" fillId="0" borderId="0" xfId="0" applyNumberFormat="1" applyAlignment="1" applyProtection="1">
      <alignment horizontal="center"/>
      <protection locked="0"/>
    </xf>
    <xf numFmtId="3" fontId="14" fillId="0" borderId="0" xfId="0" applyNumberFormat="1" applyFont="1" applyAlignment="1" applyProtection="1">
      <alignment horizontal="center"/>
      <protection locked="0"/>
    </xf>
    <xf numFmtId="3" fontId="0" fillId="0" borderId="0" xfId="0" applyNumberFormat="1" applyAlignment="1" applyProtection="1">
      <alignment horizontal="center" vertical="center"/>
      <protection locked="0"/>
    </xf>
    <xf numFmtId="164" fontId="9" fillId="0" borderId="8" xfId="0" applyNumberFormat="1" applyFont="1" applyBorder="1" applyAlignment="1">
      <alignment horizontal="left" vertical="center"/>
    </xf>
    <xf numFmtId="164" fontId="0" fillId="0" borderId="8" xfId="0" applyNumberFormat="1" applyBorder="1" applyAlignment="1">
      <alignment horizontal="left"/>
    </xf>
    <xf numFmtId="164" fontId="10" fillId="0" borderId="0" xfId="0" applyNumberFormat="1" applyFont="1" applyProtection="1">
      <protection locked="0"/>
    </xf>
    <xf numFmtId="0" fontId="10" fillId="0" borderId="0" xfId="0" applyFont="1" applyProtection="1">
      <protection locked="0"/>
    </xf>
    <xf numFmtId="166" fontId="10" fillId="0" borderId="0" xfId="0" applyNumberFormat="1" applyFont="1" applyProtection="1">
      <protection locked="0"/>
    </xf>
    <xf numFmtId="2" fontId="10" fillId="0" borderId="0" xfId="0" applyNumberFormat="1" applyFont="1" applyProtection="1">
      <protection locked="0"/>
    </xf>
    <xf numFmtId="0" fontId="54" fillId="43" borderId="0" xfId="7" applyFont="1" applyFill="1" applyAlignment="1">
      <alignment horizontal="left"/>
    </xf>
    <xf numFmtId="0" fontId="54" fillId="43" borderId="0" xfId="7" applyFont="1" applyFill="1"/>
    <xf numFmtId="0" fontId="54" fillId="43" borderId="0" xfId="7" applyFont="1" applyFill="1" applyAlignment="1">
      <alignment horizontal="center"/>
    </xf>
    <xf numFmtId="0" fontId="55" fillId="43" borderId="0" xfId="7" applyFont="1" applyFill="1" applyAlignment="1">
      <alignment horizontal="center"/>
    </xf>
    <xf numFmtId="0" fontId="55" fillId="43" borderId="0" xfId="7" applyFont="1" applyFill="1"/>
    <xf numFmtId="164" fontId="55" fillId="43" borderId="0" xfId="7" applyNumberFormat="1" applyFont="1" applyFill="1" applyAlignment="1">
      <alignment horizontal="center"/>
    </xf>
    <xf numFmtId="165" fontId="54" fillId="43" borderId="0" xfId="7" applyNumberFormat="1" applyFont="1" applyFill="1"/>
    <xf numFmtId="165" fontId="31" fillId="43" borderId="0" xfId="7" applyNumberFormat="1" applyFont="1" applyFill="1"/>
    <xf numFmtId="0" fontId="31" fillId="43" borderId="0" xfId="7" applyFont="1" applyFill="1" applyAlignment="1">
      <alignment horizontal="center"/>
    </xf>
    <xf numFmtId="164" fontId="6" fillId="7" borderId="0" xfId="7" applyNumberFormat="1" applyFill="1" applyProtection="1">
      <protection locked="0"/>
    </xf>
    <xf numFmtId="164" fontId="6" fillId="43" borderId="0" xfId="7" applyNumberFormat="1" applyFill="1" applyProtection="1">
      <protection locked="0"/>
    </xf>
    <xf numFmtId="168" fontId="6" fillId="7" borderId="5" xfId="7" applyNumberFormat="1" applyFill="1" applyBorder="1" applyAlignment="1" applyProtection="1">
      <alignment horizontal="center"/>
      <protection locked="0"/>
    </xf>
    <xf numFmtId="3" fontId="6" fillId="7" borderId="5" xfId="7" applyNumberFormat="1" applyFill="1" applyBorder="1" applyAlignment="1" applyProtection="1">
      <alignment horizontal="center"/>
      <protection locked="0"/>
    </xf>
    <xf numFmtId="3" fontId="6" fillId="7" borderId="9" xfId="7" applyNumberFormat="1" applyFill="1" applyBorder="1" applyAlignment="1" applyProtection="1">
      <alignment horizontal="center"/>
      <protection locked="0"/>
    </xf>
    <xf numFmtId="167" fontId="6" fillId="5" borderId="5" xfId="7" applyNumberFormat="1" applyFill="1" applyBorder="1" applyAlignment="1">
      <alignment horizontal="center"/>
    </xf>
    <xf numFmtId="164" fontId="6" fillId="5" borderId="5" xfId="7" applyNumberFormat="1" applyFill="1" applyBorder="1" applyAlignment="1">
      <alignment horizontal="center"/>
    </xf>
    <xf numFmtId="3" fontId="6" fillId="5" borderId="5" xfId="7" applyNumberFormat="1" applyFill="1" applyBorder="1" applyAlignment="1">
      <alignment horizontal="center"/>
    </xf>
    <xf numFmtId="3" fontId="6" fillId="7" borderId="4" xfId="7" applyNumberFormat="1" applyFill="1" applyBorder="1" applyAlignment="1" applyProtection="1">
      <alignment horizontal="center"/>
      <protection locked="0"/>
    </xf>
    <xf numFmtId="3" fontId="6" fillId="7" borderId="0" xfId="7" applyNumberFormat="1" applyFill="1" applyAlignment="1" applyProtection="1">
      <alignment horizontal="center"/>
      <protection locked="0"/>
    </xf>
    <xf numFmtId="168" fontId="6" fillId="7" borderId="7" xfId="7" applyNumberFormat="1" applyFill="1" applyBorder="1" applyAlignment="1" applyProtection="1">
      <alignment horizontal="center"/>
      <protection locked="0"/>
    </xf>
    <xf numFmtId="3" fontId="6" fillId="7" borderId="7" xfId="7" applyNumberFormat="1" applyFill="1" applyBorder="1" applyAlignment="1" applyProtection="1">
      <alignment horizontal="center"/>
      <protection locked="0"/>
    </xf>
    <xf numFmtId="3" fontId="6" fillId="7" borderId="8" xfId="7" applyNumberFormat="1" applyFill="1" applyBorder="1" applyAlignment="1" applyProtection="1">
      <alignment horizontal="center"/>
      <protection locked="0"/>
    </xf>
    <xf numFmtId="167" fontId="6" fillId="3" borderId="7" xfId="7" applyNumberFormat="1" applyFill="1" applyBorder="1" applyAlignment="1">
      <alignment horizontal="center"/>
    </xf>
    <xf numFmtId="164" fontId="6" fillId="3" borderId="7" xfId="7" applyNumberFormat="1" applyFill="1" applyBorder="1" applyAlignment="1">
      <alignment horizontal="center"/>
    </xf>
    <xf numFmtId="3" fontId="6" fillId="3" borderId="7" xfId="7" applyNumberFormat="1" applyFill="1" applyBorder="1" applyAlignment="1">
      <alignment horizontal="center"/>
    </xf>
    <xf numFmtId="165" fontId="6" fillId="5" borderId="3" xfId="7" applyNumberFormat="1" applyFill="1" applyBorder="1"/>
    <xf numFmtId="165" fontId="6" fillId="3" borderId="12" xfId="7" applyNumberFormat="1" applyFill="1" applyBorder="1"/>
    <xf numFmtId="164" fontId="10" fillId="0" borderId="1" xfId="0" applyNumberFormat="1" applyFont="1" applyBorder="1" applyAlignment="1">
      <alignment horizontal="center" vertical="center" textRotation="90" wrapText="1"/>
    </xf>
    <xf numFmtId="2" fontId="31" fillId="0" borderId="0" xfId="7" applyNumberFormat="1" applyFont="1" applyProtection="1">
      <protection locked="0"/>
    </xf>
    <xf numFmtId="2" fontId="31" fillId="0" borderId="0" xfId="7" applyNumberFormat="1" applyFont="1" applyAlignment="1" applyProtection="1">
      <alignment horizontal="right"/>
      <protection locked="0"/>
    </xf>
    <xf numFmtId="2" fontId="16" fillId="7" borderId="0" xfId="7" applyNumberFormat="1" applyFont="1" applyFill="1" applyProtection="1">
      <protection locked="0"/>
    </xf>
    <xf numFmtId="3" fontId="10" fillId="0" borderId="1" xfId="7" applyNumberFormat="1" applyFont="1" applyBorder="1" applyAlignment="1">
      <alignment horizontal="center" vertical="center" textRotation="90" wrapText="1"/>
    </xf>
    <xf numFmtId="0" fontId="18" fillId="0" borderId="9" xfId="64" applyFont="1" applyBorder="1" applyAlignment="1">
      <alignment horizontal="center"/>
    </xf>
    <xf numFmtId="0" fontId="18" fillId="0" borderId="2" xfId="64" applyFont="1" applyBorder="1" applyAlignment="1">
      <alignment horizontal="center"/>
    </xf>
    <xf numFmtId="166" fontId="18" fillId="0" borderId="2" xfId="64" applyNumberFormat="1" applyFont="1" applyBorder="1" applyAlignment="1">
      <alignment horizontal="center"/>
    </xf>
    <xf numFmtId="0" fontId="51" fillId="0" borderId="2" xfId="64" applyFont="1" applyBorder="1" applyAlignment="1">
      <alignment horizontal="center" wrapText="1"/>
    </xf>
    <xf numFmtId="169" fontId="18" fillId="0" borderId="2" xfId="64" applyNumberFormat="1" applyFont="1" applyBorder="1" applyAlignment="1">
      <alignment horizontal="center"/>
    </xf>
    <xf numFmtId="49" fontId="18" fillId="0" borderId="2" xfId="64" applyNumberFormat="1" applyFont="1" applyBorder="1" applyAlignment="1">
      <alignment horizontal="center"/>
    </xf>
    <xf numFmtId="0" fontId="51" fillId="0" borderId="2" xfId="64" applyFont="1" applyBorder="1" applyAlignment="1">
      <alignment horizontal="left"/>
    </xf>
    <xf numFmtId="0" fontId="51" fillId="0" borderId="9" xfId="0" applyFont="1" applyBorder="1" applyAlignment="1">
      <alignment horizontal="left"/>
    </xf>
    <xf numFmtId="10" fontId="18" fillId="0" borderId="0" xfId="0" applyNumberFormat="1" applyFont="1" applyAlignment="1">
      <alignment horizontal="center"/>
    </xf>
    <xf numFmtId="0" fontId="18" fillId="0" borderId="8" xfId="0" applyFont="1" applyBorder="1" applyAlignment="1">
      <alignment horizontal="center"/>
    </xf>
    <xf numFmtId="10" fontId="18" fillId="0" borderId="8" xfId="0" applyNumberFormat="1" applyFont="1" applyBorder="1" applyAlignment="1">
      <alignment horizontal="center"/>
    </xf>
    <xf numFmtId="0" fontId="51" fillId="0" borderId="2" xfId="64" applyFont="1" applyBorder="1"/>
    <xf numFmtId="0" fontId="18" fillId="41" borderId="9" xfId="64" applyFont="1" applyFill="1" applyBorder="1" applyAlignment="1">
      <alignment horizontal="center" vertical="center"/>
    </xf>
    <xf numFmtId="49" fontId="18" fillId="41" borderId="9" xfId="64" applyNumberFormat="1" applyFont="1" applyFill="1" applyBorder="1" applyAlignment="1">
      <alignment horizontal="center" vertical="center"/>
    </xf>
    <xf numFmtId="0" fontId="51" fillId="0" borderId="9" xfId="64" applyFont="1" applyBorder="1" applyAlignment="1">
      <alignment horizontal="left" vertical="center"/>
    </xf>
    <xf numFmtId="49" fontId="18" fillId="0" borderId="0" xfId="64" applyNumberFormat="1" applyFont="1" applyAlignment="1">
      <alignment horizontal="center" vertical="center"/>
    </xf>
    <xf numFmtId="0" fontId="51" fillId="0" borderId="0" xfId="64" applyFont="1" applyAlignment="1">
      <alignment horizontal="left" vertical="center"/>
    </xf>
    <xf numFmtId="49" fontId="18" fillId="0" borderId="0" xfId="0" applyNumberFormat="1" applyFont="1" applyAlignment="1">
      <alignment horizontal="center"/>
    </xf>
    <xf numFmtId="49" fontId="18" fillId="0" borderId="8" xfId="64" applyNumberFormat="1" applyFont="1" applyBorder="1" applyAlignment="1">
      <alignment horizontal="center"/>
    </xf>
    <xf numFmtId="10" fontId="18" fillId="41" borderId="9" xfId="64" applyNumberFormat="1" applyFont="1" applyFill="1" applyBorder="1" applyAlignment="1">
      <alignment horizontal="center" vertical="center"/>
    </xf>
    <xf numFmtId="0" fontId="18" fillId="0" borderId="0" xfId="64" applyFont="1"/>
    <xf numFmtId="14" fontId="18" fillId="0" borderId="8" xfId="64" applyNumberFormat="1" applyFont="1" applyBorder="1"/>
    <xf numFmtId="0" fontId="2" fillId="0" borderId="0" xfId="195"/>
    <xf numFmtId="0" fontId="52" fillId="40" borderId="10" xfId="195" applyFont="1" applyFill="1" applyBorder="1"/>
    <xf numFmtId="0" fontId="52" fillId="0" borderId="0" xfId="195" applyFont="1"/>
    <xf numFmtId="0" fontId="52" fillId="40" borderId="0" xfId="195" applyFont="1" applyFill="1"/>
    <xf numFmtId="0" fontId="53" fillId="41" borderId="24" xfId="195" applyFont="1" applyFill="1" applyBorder="1" applyAlignment="1">
      <alignment horizontal="center" vertical="center"/>
    </xf>
    <xf numFmtId="0" fontId="53" fillId="41" borderId="24" xfId="195" applyFont="1" applyFill="1" applyBorder="1" applyAlignment="1">
      <alignment vertical="center"/>
    </xf>
    <xf numFmtId="0" fontId="9" fillId="43" borderId="8" xfId="7" applyFont="1" applyFill="1" applyBorder="1" applyAlignment="1">
      <alignment horizontal="center" vertical="center"/>
    </xf>
    <xf numFmtId="0" fontId="10" fillId="0" borderId="1" xfId="7" applyFont="1" applyBorder="1" applyAlignment="1">
      <alignment horizontal="center" vertical="center" textRotation="90" wrapText="1"/>
    </xf>
    <xf numFmtId="168" fontId="10" fillId="0" borderId="2" xfId="7" applyNumberFormat="1" applyFont="1" applyBorder="1" applyAlignment="1">
      <alignment horizontal="center" vertical="center" textRotation="90" wrapText="1"/>
    </xf>
    <xf numFmtId="168" fontId="10" fillId="0" borderId="1" xfId="7" applyNumberFormat="1" applyFont="1" applyBorder="1" applyAlignment="1">
      <alignment horizontal="center" vertical="center" textRotation="90" wrapText="1"/>
    </xf>
    <xf numFmtId="164" fontId="10" fillId="0" borderId="1" xfId="7" applyNumberFormat="1" applyFont="1" applyBorder="1" applyAlignment="1">
      <alignment horizontal="center" vertical="center" textRotation="90" wrapText="1"/>
    </xf>
    <xf numFmtId="0" fontId="10" fillId="0" borderId="36" xfId="7" applyFont="1" applyBorder="1" applyAlignment="1">
      <alignment horizontal="center" vertical="center" textRotation="90" wrapText="1"/>
    </xf>
    <xf numFmtId="0" fontId="6" fillId="0" borderId="0" xfId="0" applyFont="1" applyAlignment="1" applyProtection="1">
      <alignment horizontal="center" vertical="center" wrapText="1"/>
      <protection locked="0"/>
    </xf>
    <xf numFmtId="164" fontId="6" fillId="0" borderId="0" xfId="0" applyNumberFormat="1" applyFont="1" applyAlignment="1" applyProtection="1">
      <alignment horizontal="center" vertical="center" wrapText="1"/>
      <protection locked="0"/>
    </xf>
    <xf numFmtId="0" fontId="11" fillId="0" borderId="0" xfId="0" applyFont="1" applyProtection="1">
      <protection locked="0"/>
    </xf>
    <xf numFmtId="0" fontId="15" fillId="0" borderId="0" xfId="0" applyFont="1" applyProtection="1">
      <protection locked="0"/>
    </xf>
    <xf numFmtId="10" fontId="15" fillId="0" borderId="0" xfId="0" applyNumberFormat="1" applyFont="1" applyProtection="1">
      <protection locked="0"/>
    </xf>
    <xf numFmtId="10" fontId="11" fillId="0" borderId="0" xfId="0" applyNumberFormat="1" applyFont="1" applyProtection="1">
      <protection locked="0"/>
    </xf>
    <xf numFmtId="164" fontId="15" fillId="0" borderId="0" xfId="0" applyNumberFormat="1" applyFont="1" applyProtection="1">
      <protection locked="0"/>
    </xf>
    <xf numFmtId="164" fontId="11" fillId="0" borderId="0" xfId="0" applyNumberFormat="1" applyFont="1" applyProtection="1">
      <protection locked="0"/>
    </xf>
    <xf numFmtId="3" fontId="10" fillId="0" borderId="36" xfId="7" applyNumberFormat="1" applyFont="1" applyBorder="1" applyAlignment="1">
      <alignment horizontal="center" vertical="center" textRotation="90" wrapText="1"/>
    </xf>
    <xf numFmtId="3" fontId="6" fillId="0" borderId="0" xfId="7" applyNumberFormat="1" applyAlignment="1">
      <alignment horizontal="center" wrapText="1"/>
    </xf>
    <xf numFmtId="3" fontId="6" fillId="0" borderId="0" xfId="7" applyNumberFormat="1" applyAlignment="1" applyProtection="1">
      <alignment horizontal="center" wrapText="1"/>
      <protection locked="0"/>
    </xf>
    <xf numFmtId="1" fontId="10" fillId="0" borderId="1" xfId="7" applyNumberFormat="1" applyFont="1" applyBorder="1" applyAlignment="1">
      <alignment horizontal="center" vertical="center" textRotation="90" wrapText="1"/>
    </xf>
    <xf numFmtId="0" fontId="2" fillId="0" borderId="0" xfId="195" applyAlignment="1">
      <alignment vertical="center"/>
    </xf>
    <xf numFmtId="0" fontId="2" fillId="41" borderId="0" xfId="195" applyFill="1" applyAlignment="1">
      <alignment vertical="center"/>
    </xf>
    <xf numFmtId="165" fontId="6" fillId="44" borderId="6" xfId="7" applyNumberFormat="1" applyFill="1" applyBorder="1"/>
    <xf numFmtId="167" fontId="6" fillId="44" borderId="10" xfId="7" applyNumberFormat="1" applyFill="1" applyBorder="1" applyAlignment="1">
      <alignment horizontal="center"/>
    </xf>
    <xf numFmtId="164" fontId="6" fillId="44" borderId="4" xfId="7" applyNumberFormat="1" applyFill="1" applyBorder="1" applyAlignment="1">
      <alignment horizontal="center"/>
    </xf>
    <xf numFmtId="3" fontId="6" fillId="44" borderId="4" xfId="7" applyNumberFormat="1" applyFill="1" applyBorder="1" applyAlignment="1">
      <alignment horizontal="center"/>
    </xf>
    <xf numFmtId="165" fontId="6" fillId="44" borderId="4" xfId="7" applyNumberFormat="1" applyFill="1" applyBorder="1" applyAlignment="1">
      <alignment horizontal="center"/>
    </xf>
    <xf numFmtId="0" fontId="1" fillId="40" borderId="3" xfId="195" applyFont="1" applyFill="1" applyBorder="1"/>
    <xf numFmtId="0" fontId="1" fillId="40" borderId="9" xfId="195" applyFont="1" applyFill="1" applyBorder="1"/>
    <xf numFmtId="0" fontId="1" fillId="40" borderId="22" xfId="195" applyFont="1" applyFill="1" applyBorder="1"/>
    <xf numFmtId="0" fontId="1" fillId="0" borderId="0" xfId="195" applyFont="1"/>
    <xf numFmtId="0" fontId="1" fillId="40" borderId="6" xfId="195" applyFont="1" applyFill="1" applyBorder="1"/>
    <xf numFmtId="0" fontId="1" fillId="40" borderId="0" xfId="195" applyFont="1" applyFill="1"/>
    <xf numFmtId="0" fontId="1" fillId="40" borderId="10" xfId="195" applyFont="1" applyFill="1" applyBorder="1"/>
    <xf numFmtId="0" fontId="1" fillId="40" borderId="12" xfId="195" applyFont="1" applyFill="1" applyBorder="1"/>
    <xf numFmtId="0" fontId="1" fillId="40" borderId="8" xfId="195" applyFont="1" applyFill="1" applyBorder="1"/>
    <xf numFmtId="0" fontId="1" fillId="40" borderId="11" xfId="195" applyFont="1" applyFill="1" applyBorder="1"/>
    <xf numFmtId="0" fontId="1" fillId="0" borderId="24" xfId="195" applyFont="1" applyBorder="1"/>
    <xf numFmtId="0" fontId="1" fillId="0" borderId="23" xfId="195" applyFont="1" applyBorder="1" applyAlignment="1">
      <alignment horizontal="left" vertical="center"/>
    </xf>
    <xf numFmtId="0" fontId="1" fillId="0" borderId="25" xfId="195" applyFont="1" applyBorder="1" applyAlignment="1">
      <alignment horizontal="left" vertical="center"/>
    </xf>
    <xf numFmtId="0" fontId="1" fillId="0" borderId="26" xfId="195" applyFont="1" applyBorder="1"/>
    <xf numFmtId="0" fontId="1" fillId="0" borderId="24" xfId="195" applyFont="1" applyBorder="1" applyAlignment="1">
      <alignment vertical="top"/>
    </xf>
    <xf numFmtId="0" fontId="1" fillId="0" borderId="0" xfId="195" applyFont="1" applyAlignment="1">
      <alignment horizontal="left" vertical="center"/>
    </xf>
    <xf numFmtId="0" fontId="1" fillId="0" borderId="8" xfId="195" applyFont="1" applyBorder="1" applyAlignment="1">
      <alignment horizontal="left" vertical="center"/>
    </xf>
    <xf numFmtId="0" fontId="1" fillId="0" borderId="8" xfId="195" applyFont="1" applyBorder="1"/>
    <xf numFmtId="0" fontId="1" fillId="0" borderId="0" xfId="195" applyFont="1" applyAlignment="1">
      <alignment horizontal="center" vertical="center" wrapText="1"/>
    </xf>
    <xf numFmtId="0" fontId="1" fillId="41" borderId="0" xfId="195" applyFont="1" applyFill="1" applyAlignment="1">
      <alignment vertical="center"/>
    </xf>
    <xf numFmtId="0" fontId="1" fillId="0" borderId="0" xfId="195" applyFont="1" applyAlignment="1">
      <alignment horizontal="center" vertical="center"/>
    </xf>
    <xf numFmtId="0" fontId="1" fillId="43" borderId="5" xfId="7" applyFont="1" applyFill="1" applyBorder="1" applyAlignment="1">
      <alignment horizontal="center"/>
    </xf>
    <xf numFmtId="168" fontId="1" fillId="7" borderId="5" xfId="7" applyNumberFormat="1" applyFont="1" applyFill="1" applyBorder="1" applyAlignment="1" applyProtection="1">
      <alignment horizontal="center"/>
      <protection locked="0"/>
    </xf>
    <xf numFmtId="3" fontId="1" fillId="7" borderId="5" xfId="7" applyNumberFormat="1" applyFont="1" applyFill="1" applyBorder="1" applyAlignment="1" applyProtection="1">
      <alignment horizontal="center"/>
      <protection locked="0"/>
    </xf>
    <xf numFmtId="3" fontId="1" fillId="43" borderId="5" xfId="7" applyNumberFormat="1" applyFont="1" applyFill="1" applyBorder="1" applyAlignment="1" applyProtection="1">
      <alignment horizontal="center" vertical="center"/>
      <protection locked="0"/>
    </xf>
    <xf numFmtId="3" fontId="1" fillId="43" borderId="4" xfId="7" applyNumberFormat="1" applyFont="1" applyFill="1" applyBorder="1" applyAlignment="1">
      <alignment horizontal="center"/>
    </xf>
    <xf numFmtId="165" fontId="1" fillId="43" borderId="5" xfId="7" applyNumberFormat="1" applyFont="1" applyFill="1" applyBorder="1" applyAlignment="1">
      <alignment horizontal="center"/>
    </xf>
    <xf numFmtId="3" fontId="1" fillId="43" borderId="5" xfId="7" applyNumberFormat="1" applyFont="1" applyFill="1" applyBorder="1" applyAlignment="1">
      <alignment horizontal="center"/>
    </xf>
    <xf numFmtId="164" fontId="1" fillId="43" borderId="5" xfId="7" applyNumberFormat="1" applyFont="1" applyFill="1" applyBorder="1" applyAlignment="1">
      <alignment horizontal="center"/>
    </xf>
    <xf numFmtId="2" fontId="1" fillId="7" borderId="5" xfId="7" applyNumberFormat="1" applyFont="1" applyFill="1" applyBorder="1" applyAlignment="1">
      <alignment horizontal="center"/>
    </xf>
    <xf numFmtId="0" fontId="1" fillId="43" borderId="4" xfId="7" applyFont="1" applyFill="1" applyBorder="1" applyAlignment="1">
      <alignment horizontal="center"/>
    </xf>
    <xf numFmtId="168" fontId="1" fillId="7" borderId="4" xfId="7" applyNumberFormat="1" applyFont="1" applyFill="1" applyBorder="1" applyAlignment="1" applyProtection="1">
      <alignment horizontal="center"/>
      <protection locked="0"/>
    </xf>
    <xf numFmtId="3" fontId="1" fillId="7" borderId="4" xfId="7" applyNumberFormat="1" applyFont="1" applyFill="1" applyBorder="1" applyAlignment="1" applyProtection="1">
      <alignment horizontal="center"/>
      <protection locked="0"/>
    </xf>
    <xf numFmtId="3" fontId="1" fillId="43" borderId="4" xfId="7" applyNumberFormat="1" applyFont="1" applyFill="1" applyBorder="1" applyAlignment="1" applyProtection="1">
      <alignment horizontal="center" vertical="center"/>
      <protection locked="0"/>
    </xf>
    <xf numFmtId="165" fontId="1" fillId="43" borderId="4" xfId="7" applyNumberFormat="1" applyFont="1" applyFill="1" applyBorder="1" applyAlignment="1">
      <alignment horizontal="center"/>
    </xf>
    <xf numFmtId="164" fontId="1" fillId="43" borderId="4" xfId="7" applyNumberFormat="1" applyFont="1" applyFill="1" applyBorder="1" applyAlignment="1">
      <alignment horizontal="center"/>
    </xf>
    <xf numFmtId="2" fontId="1" fillId="7" borderId="4" xfId="7" applyNumberFormat="1" applyFont="1" applyFill="1" applyBorder="1" applyAlignment="1">
      <alignment horizontal="center"/>
    </xf>
    <xf numFmtId="0" fontId="1" fillId="7" borderId="4" xfId="7" applyFont="1" applyFill="1" applyBorder="1" applyAlignment="1" applyProtection="1">
      <alignment horizontal="center"/>
      <protection locked="0"/>
    </xf>
    <xf numFmtId="3" fontId="1" fillId="43" borderId="4" xfId="7" applyNumberFormat="1" applyFont="1" applyFill="1" applyBorder="1" applyAlignment="1" applyProtection="1">
      <alignment horizontal="center"/>
      <protection locked="0"/>
    </xf>
    <xf numFmtId="0" fontId="1" fillId="43" borderId="7" xfId="7" applyFont="1" applyFill="1" applyBorder="1" applyAlignment="1">
      <alignment horizontal="center"/>
    </xf>
    <xf numFmtId="168" fontId="1" fillId="7" borderId="7" xfId="7" applyNumberFormat="1" applyFont="1" applyFill="1" applyBorder="1" applyAlignment="1" applyProtection="1">
      <alignment horizontal="center"/>
      <protection locked="0"/>
    </xf>
    <xf numFmtId="0" fontId="1" fillId="7" borderId="7" xfId="7" applyFont="1" applyFill="1" applyBorder="1" applyAlignment="1" applyProtection="1">
      <alignment horizontal="center"/>
      <protection locked="0"/>
    </xf>
    <xf numFmtId="3" fontId="1" fillId="43" borderId="7" xfId="7" applyNumberFormat="1" applyFont="1" applyFill="1" applyBorder="1" applyAlignment="1" applyProtection="1">
      <alignment horizontal="center"/>
      <protection locked="0"/>
    </xf>
    <xf numFmtId="3" fontId="1" fillId="43" borderId="7" xfId="7" applyNumberFormat="1" applyFont="1" applyFill="1" applyBorder="1" applyAlignment="1">
      <alignment horizontal="center"/>
    </xf>
    <xf numFmtId="165" fontId="1" fillId="43" borderId="7" xfId="7" applyNumberFormat="1" applyFont="1" applyFill="1" applyBorder="1" applyAlignment="1">
      <alignment horizontal="center"/>
    </xf>
    <xf numFmtId="164" fontId="1" fillId="43" borderId="7" xfId="7" applyNumberFormat="1" applyFont="1" applyFill="1" applyBorder="1" applyAlignment="1">
      <alignment horizontal="center"/>
    </xf>
    <xf numFmtId="2" fontId="1" fillId="7" borderId="7" xfId="7" applyNumberFormat="1" applyFont="1" applyFill="1" applyBorder="1" applyAlignment="1">
      <alignment horizontal="center"/>
    </xf>
    <xf numFmtId="0" fontId="1" fillId="43" borderId="27" xfId="7" applyFont="1" applyFill="1" applyBorder="1" applyAlignment="1">
      <alignment horizontal="center"/>
    </xf>
    <xf numFmtId="168" fontId="1" fillId="7" borderId="28" xfId="7" applyNumberFormat="1" applyFont="1" applyFill="1" applyBorder="1" applyAlignment="1" applyProtection="1">
      <alignment horizontal="center"/>
      <protection locked="0"/>
    </xf>
    <xf numFmtId="3" fontId="1" fillId="7" borderId="28" xfId="7" applyNumberFormat="1" applyFont="1" applyFill="1" applyBorder="1" applyAlignment="1" applyProtection="1">
      <alignment horizontal="center"/>
      <protection locked="0"/>
    </xf>
    <xf numFmtId="0" fontId="1" fillId="7" borderId="28" xfId="7" applyFont="1" applyFill="1" applyBorder="1" applyAlignment="1" applyProtection="1">
      <alignment horizontal="center" vertical="center"/>
      <protection locked="0"/>
    </xf>
    <xf numFmtId="3" fontId="1" fillId="43" borderId="28" xfId="7" applyNumberFormat="1" applyFont="1" applyFill="1" applyBorder="1" applyAlignment="1">
      <alignment horizontal="center"/>
    </xf>
    <xf numFmtId="165" fontId="1" fillId="43" borderId="28" xfId="7" applyNumberFormat="1" applyFont="1" applyFill="1" applyBorder="1" applyAlignment="1">
      <alignment horizontal="center"/>
    </xf>
    <xf numFmtId="164" fontId="1" fillId="43" borderId="28" xfId="7" applyNumberFormat="1" applyFont="1" applyFill="1" applyBorder="1" applyAlignment="1">
      <alignment horizontal="center"/>
    </xf>
    <xf numFmtId="3" fontId="1" fillId="7" borderId="29" xfId="7" applyNumberFormat="1" applyFont="1" applyFill="1" applyBorder="1" applyAlignment="1" applyProtection="1">
      <alignment horizontal="center"/>
      <protection locked="0"/>
    </xf>
    <xf numFmtId="0" fontId="1" fillId="43" borderId="30" xfId="7" applyFont="1" applyFill="1" applyBorder="1" applyAlignment="1">
      <alignment horizontal="center"/>
    </xf>
    <xf numFmtId="168" fontId="1" fillId="7" borderId="31" xfId="7" applyNumberFormat="1" applyFont="1" applyFill="1" applyBorder="1" applyAlignment="1" applyProtection="1">
      <alignment horizontal="center"/>
      <protection locked="0"/>
    </xf>
    <xf numFmtId="3" fontId="1" fillId="7" borderId="31" xfId="7" applyNumberFormat="1" applyFont="1" applyFill="1" applyBorder="1" applyAlignment="1" applyProtection="1">
      <alignment horizontal="center"/>
      <protection locked="0"/>
    </xf>
    <xf numFmtId="0" fontId="1" fillId="7" borderId="31" xfId="7" applyFont="1" applyFill="1" applyBorder="1" applyAlignment="1" applyProtection="1">
      <alignment horizontal="center" vertical="center"/>
      <protection locked="0"/>
    </xf>
    <xf numFmtId="3" fontId="1" fillId="43" borderId="31" xfId="7" applyNumberFormat="1" applyFont="1" applyFill="1" applyBorder="1" applyAlignment="1">
      <alignment horizontal="center"/>
    </xf>
    <xf numFmtId="165" fontId="1" fillId="43" borderId="31" xfId="7" applyNumberFormat="1" applyFont="1" applyFill="1" applyBorder="1" applyAlignment="1">
      <alignment horizontal="center"/>
    </xf>
    <xf numFmtId="164" fontId="1" fillId="43" borderId="31" xfId="7" applyNumberFormat="1" applyFont="1" applyFill="1" applyBorder="1" applyAlignment="1">
      <alignment horizontal="center"/>
    </xf>
    <xf numFmtId="3" fontId="1" fillId="7" borderId="32" xfId="7" applyNumberFormat="1" applyFont="1" applyFill="1" applyBorder="1" applyAlignment="1" applyProtection="1">
      <alignment horizontal="center"/>
      <protection locked="0"/>
    </xf>
    <xf numFmtId="0" fontId="1" fillId="7" borderId="31" xfId="7" applyFont="1" applyFill="1" applyBorder="1" applyAlignment="1" applyProtection="1">
      <alignment horizontal="center"/>
      <protection locked="0"/>
    </xf>
    <xf numFmtId="0" fontId="1" fillId="43" borderId="33" xfId="7" applyFont="1" applyFill="1" applyBorder="1" applyAlignment="1">
      <alignment horizontal="center"/>
    </xf>
    <xf numFmtId="168" fontId="1" fillId="7" borderId="34" xfId="7" applyNumberFormat="1" applyFont="1" applyFill="1" applyBorder="1" applyAlignment="1" applyProtection="1">
      <alignment horizontal="center"/>
      <protection locked="0"/>
    </xf>
    <xf numFmtId="3" fontId="1" fillId="7" borderId="34" xfId="7" applyNumberFormat="1" applyFont="1" applyFill="1" applyBorder="1" applyAlignment="1" applyProtection="1">
      <alignment horizontal="center"/>
      <protection locked="0"/>
    </xf>
    <xf numFmtId="0" fontId="1" fillId="7" borderId="34" xfId="7" applyFont="1" applyFill="1" applyBorder="1" applyAlignment="1" applyProtection="1">
      <alignment horizontal="center"/>
      <protection locked="0"/>
    </xf>
    <xf numFmtId="3" fontId="1" fillId="43" borderId="34" xfId="7" applyNumberFormat="1" applyFont="1" applyFill="1" applyBorder="1" applyAlignment="1">
      <alignment horizontal="center"/>
    </xf>
    <xf numFmtId="165" fontId="1" fillId="43" borderId="34" xfId="7" applyNumberFormat="1" applyFont="1" applyFill="1" applyBorder="1" applyAlignment="1">
      <alignment horizontal="center"/>
    </xf>
    <xf numFmtId="164" fontId="1" fillId="43" borderId="34" xfId="7" applyNumberFormat="1" applyFont="1" applyFill="1" applyBorder="1" applyAlignment="1">
      <alignment horizontal="center"/>
    </xf>
    <xf numFmtId="3" fontId="1" fillId="7" borderId="35" xfId="7" applyNumberFormat="1" applyFont="1" applyFill="1" applyBorder="1" applyAlignment="1" applyProtection="1">
      <alignment horizontal="center"/>
      <protection locked="0"/>
    </xf>
    <xf numFmtId="0" fontId="1" fillId="0" borderId="0" xfId="7" applyFont="1" applyAlignment="1" applyProtection="1">
      <alignment horizontal="center"/>
      <protection locked="0"/>
    </xf>
    <xf numFmtId="168" fontId="1" fillId="0" borderId="0" xfId="7" applyNumberFormat="1" applyFont="1" applyAlignment="1" applyProtection="1">
      <alignment horizontal="center"/>
      <protection locked="0"/>
    </xf>
    <xf numFmtId="3" fontId="1" fillId="0" borderId="0" xfId="7" applyNumberFormat="1" applyFont="1" applyAlignment="1" applyProtection="1">
      <alignment horizontal="center"/>
      <protection locked="0"/>
    </xf>
    <xf numFmtId="0" fontId="1" fillId="43" borderId="27" xfId="0" applyFont="1" applyFill="1" applyBorder="1" applyAlignment="1" applyProtection="1">
      <alignment horizontal="center"/>
      <protection locked="0"/>
    </xf>
    <xf numFmtId="168" fontId="1" fillId="43" borderId="28" xfId="7" applyNumberFormat="1" applyFont="1" applyFill="1" applyBorder="1" applyAlignment="1" applyProtection="1">
      <alignment horizontal="center"/>
      <protection locked="0"/>
    </xf>
    <xf numFmtId="3" fontId="1" fillId="43" borderId="28" xfId="7" applyNumberFormat="1" applyFont="1" applyFill="1" applyBorder="1" applyAlignment="1" applyProtection="1">
      <alignment horizontal="center"/>
      <protection locked="0"/>
    </xf>
    <xf numFmtId="3" fontId="1" fillId="7" borderId="28" xfId="0" applyNumberFormat="1" applyFont="1" applyFill="1" applyBorder="1" applyAlignment="1" applyProtection="1">
      <alignment horizontal="center"/>
      <protection locked="0"/>
    </xf>
    <xf numFmtId="164" fontId="1" fillId="43" borderId="28" xfId="0" applyNumberFormat="1" applyFont="1" applyFill="1" applyBorder="1" applyAlignment="1">
      <alignment horizontal="center"/>
    </xf>
    <xf numFmtId="3" fontId="1" fillId="43" borderId="28" xfId="0" applyNumberFormat="1" applyFont="1" applyFill="1" applyBorder="1" applyAlignment="1">
      <alignment horizontal="center"/>
    </xf>
    <xf numFmtId="164" fontId="1" fillId="43" borderId="29" xfId="7" applyNumberFormat="1" applyFont="1" applyFill="1" applyBorder="1" applyAlignment="1">
      <alignment horizontal="center"/>
    </xf>
    <xf numFmtId="0" fontId="1" fillId="43" borderId="30" xfId="0" applyFont="1" applyFill="1" applyBorder="1" applyAlignment="1" applyProtection="1">
      <alignment horizontal="center"/>
      <protection locked="0"/>
    </xf>
    <xf numFmtId="168" fontId="1" fillId="43" borderId="31" xfId="0" applyNumberFormat="1" applyFont="1" applyFill="1" applyBorder="1" applyAlignment="1" applyProtection="1">
      <alignment horizontal="center"/>
      <protection locked="0"/>
    </xf>
    <xf numFmtId="3" fontId="1" fillId="43" borderId="31" xfId="0" applyNumberFormat="1" applyFont="1" applyFill="1" applyBorder="1" applyAlignment="1" applyProtection="1">
      <alignment horizontal="center"/>
      <protection locked="0"/>
    </xf>
    <xf numFmtId="3" fontId="1" fillId="7" borderId="31" xfId="0" applyNumberFormat="1" applyFont="1" applyFill="1" applyBorder="1" applyAlignment="1" applyProtection="1">
      <alignment horizontal="center"/>
      <protection locked="0"/>
    </xf>
    <xf numFmtId="164" fontId="1" fillId="43" borderId="31" xfId="0" applyNumberFormat="1" applyFont="1" applyFill="1" applyBorder="1" applyAlignment="1">
      <alignment horizontal="center"/>
    </xf>
    <xf numFmtId="3" fontId="1" fillId="43" borderId="31" xfId="0" applyNumberFormat="1" applyFont="1" applyFill="1" applyBorder="1" applyAlignment="1">
      <alignment horizontal="center"/>
    </xf>
    <xf numFmtId="164" fontId="1" fillId="43" borderId="32" xfId="7" applyNumberFormat="1" applyFont="1" applyFill="1" applyBorder="1" applyAlignment="1">
      <alignment horizontal="center"/>
    </xf>
    <xf numFmtId="168" fontId="1" fillId="43" borderId="31" xfId="7" applyNumberFormat="1" applyFont="1" applyFill="1" applyBorder="1" applyAlignment="1" applyProtection="1">
      <alignment horizontal="center"/>
      <protection locked="0"/>
    </xf>
    <xf numFmtId="3" fontId="1" fillId="43" borderId="31" xfId="7" applyNumberFormat="1" applyFont="1" applyFill="1" applyBorder="1" applyAlignment="1" applyProtection="1">
      <alignment horizontal="center"/>
      <protection locked="0"/>
    </xf>
    <xf numFmtId="0" fontId="1" fillId="43" borderId="33" xfId="0" applyFont="1" applyFill="1" applyBorder="1" applyAlignment="1" applyProtection="1">
      <alignment horizontal="center"/>
      <protection locked="0"/>
    </xf>
    <xf numFmtId="168" fontId="1" fillId="43" borderId="34" xfId="0" applyNumberFormat="1" applyFont="1" applyFill="1" applyBorder="1" applyAlignment="1" applyProtection="1">
      <alignment horizontal="center"/>
      <protection locked="0"/>
    </xf>
    <xf numFmtId="3" fontId="1" fillId="43" borderId="34" xfId="0" applyNumberFormat="1" applyFont="1" applyFill="1" applyBorder="1" applyAlignment="1" applyProtection="1">
      <alignment horizontal="center"/>
      <protection locked="0"/>
    </xf>
    <xf numFmtId="3" fontId="1" fillId="7" borderId="34" xfId="0" applyNumberFormat="1" applyFont="1" applyFill="1" applyBorder="1" applyAlignment="1" applyProtection="1">
      <alignment horizontal="center"/>
      <protection locked="0"/>
    </xf>
    <xf numFmtId="164" fontId="1" fillId="43" borderId="34" xfId="0" applyNumberFormat="1" applyFont="1" applyFill="1" applyBorder="1" applyAlignment="1">
      <alignment horizontal="center"/>
    </xf>
    <xf numFmtId="3" fontId="1" fillId="43" borderId="34" xfId="0" applyNumberFormat="1" applyFont="1" applyFill="1" applyBorder="1" applyAlignment="1">
      <alignment horizontal="center"/>
    </xf>
    <xf numFmtId="164" fontId="1" fillId="43" borderId="35" xfId="7" applyNumberFormat="1" applyFont="1" applyFill="1" applyBorder="1" applyAlignment="1">
      <alignment horizontal="center"/>
    </xf>
    <xf numFmtId="165" fontId="6" fillId="44" borderId="4" xfId="7" applyNumberFormat="1" applyFill="1" applyBorder="1" applyAlignment="1">
      <alignment horizontal="left"/>
    </xf>
    <xf numFmtId="168" fontId="0" fillId="7" borderId="4" xfId="7" applyNumberFormat="1" applyFont="1" applyFill="1" applyBorder="1" applyAlignment="1" applyProtection="1">
      <alignment horizontal="center"/>
      <protection locked="0"/>
    </xf>
    <xf numFmtId="3" fontId="0" fillId="7" borderId="4" xfId="7" applyNumberFormat="1" applyFont="1" applyFill="1" applyBorder="1" applyAlignment="1" applyProtection="1">
      <alignment horizontal="center"/>
      <protection locked="0"/>
    </xf>
    <xf numFmtId="2" fontId="31" fillId="7" borderId="4" xfId="7" applyNumberFormat="1" applyFont="1" applyFill="1" applyBorder="1" applyAlignment="1">
      <alignment horizontal="center"/>
    </xf>
    <xf numFmtId="0" fontId="52" fillId="0" borderId="23" xfId="195" applyFont="1" applyBorder="1"/>
    <xf numFmtId="0" fontId="1" fillId="0" borderId="23" xfId="195" applyFont="1" applyBorder="1"/>
    <xf numFmtId="0" fontId="1" fillId="0" borderId="0" xfId="195" applyFont="1" applyAlignment="1">
      <alignment vertical="center"/>
    </xf>
    <xf numFmtId="0" fontId="53" fillId="41" borderId="0" xfId="195" applyFont="1" applyFill="1" applyAlignment="1">
      <alignment vertical="center"/>
    </xf>
    <xf numFmtId="0" fontId="52" fillId="0" borderId="23" xfId="195" applyFont="1" applyBorder="1" applyAlignment="1">
      <alignment vertical="center"/>
    </xf>
    <xf numFmtId="0" fontId="1" fillId="0" borderId="23" xfId="195" applyFont="1" applyBorder="1" applyAlignment="1">
      <alignment vertical="center"/>
    </xf>
    <xf numFmtId="0" fontId="6" fillId="0" borderId="0" xfId="6" applyAlignment="1" applyProtection="1">
      <alignment horizontal="left"/>
    </xf>
    <xf numFmtId="0" fontId="6" fillId="0" borderId="0" xfId="6" applyAlignment="1" applyProtection="1">
      <alignment horizontal="left"/>
    </xf>
    <xf numFmtId="0" fontId="1" fillId="0" borderId="0" xfId="195" applyFont="1" applyAlignment="1">
      <alignment vertical="center" wrapText="1"/>
    </xf>
    <xf numFmtId="0" fontId="1" fillId="0" borderId="0" xfId="195" applyFont="1" applyAlignment="1">
      <alignment vertical="center"/>
    </xf>
    <xf numFmtId="0" fontId="53" fillId="41" borderId="0" xfId="195" applyFont="1" applyFill="1" applyAlignment="1">
      <alignment vertical="center"/>
    </xf>
    <xf numFmtId="0" fontId="6" fillId="0" borderId="0" xfId="64" applyAlignment="1">
      <alignment vertical="center" wrapText="1"/>
    </xf>
    <xf numFmtId="0" fontId="52" fillId="0" borderId="23" xfId="195" applyFont="1" applyBorder="1" applyAlignment="1">
      <alignment vertical="center"/>
    </xf>
    <xf numFmtId="0" fontId="1" fillId="0" borderId="23" xfId="195" applyFont="1" applyBorder="1" applyAlignment="1">
      <alignment vertical="center"/>
    </xf>
    <xf numFmtId="0" fontId="52" fillId="0" borderId="23" xfId="195" applyFont="1" applyBorder="1"/>
    <xf numFmtId="0" fontId="1" fillId="0" borderId="23" xfId="195" applyFont="1" applyBorder="1"/>
    <xf numFmtId="0" fontId="1" fillId="0" borderId="24" xfId="195" applyFont="1" applyBorder="1" applyAlignment="1">
      <alignment vertical="center" wrapText="1"/>
    </xf>
    <xf numFmtId="0" fontId="31" fillId="0" borderId="23" xfId="195" applyFont="1" applyBorder="1" applyAlignment="1">
      <alignment vertical="center" wrapText="1"/>
    </xf>
    <xf numFmtId="0" fontId="2" fillId="0" borderId="25" xfId="195" applyBorder="1" applyAlignment="1">
      <alignment vertical="center" wrapText="1"/>
    </xf>
    <xf numFmtId="0" fontId="2" fillId="0" borderId="24" xfId="195" applyBorder="1" applyAlignment="1">
      <alignment vertical="center" wrapText="1"/>
    </xf>
    <xf numFmtId="0" fontId="2" fillId="0" borderId="0" xfId="195" applyAlignment="1">
      <alignment vertical="center" wrapText="1"/>
    </xf>
    <xf numFmtId="0" fontId="2" fillId="0" borderId="8" xfId="195" applyBorder="1" applyAlignment="1">
      <alignment vertical="center" wrapText="1"/>
    </xf>
  </cellXfs>
  <cellStyles count="196">
    <cellStyle name="20% - Accent1" xfId="35" builtinId="30" customBuiltin="1"/>
    <cellStyle name="20% - Accent1 2" xfId="70" xr:uid="{00000000-0005-0000-0000-000001000000}"/>
    <cellStyle name="20% - Accent1 2 2" xfId="149" xr:uid="{00000000-0005-0000-0000-000002000000}"/>
    <cellStyle name="20% - Accent1 3" xfId="86" xr:uid="{00000000-0005-0000-0000-000003000000}"/>
    <cellStyle name="20% - Accent2" xfId="39" builtinId="34" customBuiltin="1"/>
    <cellStyle name="20% - Accent2 2" xfId="72" xr:uid="{00000000-0005-0000-0000-000005000000}"/>
    <cellStyle name="20% - Accent2 2 2" xfId="151" xr:uid="{00000000-0005-0000-0000-000006000000}"/>
    <cellStyle name="20% - Accent2 3" xfId="88" xr:uid="{00000000-0005-0000-0000-000007000000}"/>
    <cellStyle name="20% - Accent3" xfId="43" builtinId="38" customBuiltin="1"/>
    <cellStyle name="20% - Accent3 2" xfId="74" xr:uid="{00000000-0005-0000-0000-000009000000}"/>
    <cellStyle name="20% - Accent3 2 2" xfId="153" xr:uid="{00000000-0005-0000-0000-00000A000000}"/>
    <cellStyle name="20% - Accent3 3" xfId="90" xr:uid="{00000000-0005-0000-0000-00000B000000}"/>
    <cellStyle name="20% - Accent4" xfId="47" builtinId="42" customBuiltin="1"/>
    <cellStyle name="20% - Accent4 2" xfId="76" xr:uid="{00000000-0005-0000-0000-00000D000000}"/>
    <cellStyle name="20% - Accent4 2 2" xfId="155" xr:uid="{00000000-0005-0000-0000-00000E000000}"/>
    <cellStyle name="20% - Accent4 3" xfId="92" xr:uid="{00000000-0005-0000-0000-00000F000000}"/>
    <cellStyle name="20% - Accent5" xfId="51" builtinId="46" customBuiltin="1"/>
    <cellStyle name="20% - Accent5 2" xfId="78" xr:uid="{00000000-0005-0000-0000-000011000000}"/>
    <cellStyle name="20% - Accent5 2 2" xfId="157" xr:uid="{00000000-0005-0000-0000-000012000000}"/>
    <cellStyle name="20% - Accent5 3" xfId="94" xr:uid="{00000000-0005-0000-0000-000013000000}"/>
    <cellStyle name="20% - Accent6" xfId="55" builtinId="50" customBuiltin="1"/>
    <cellStyle name="20% - Accent6 2" xfId="80" xr:uid="{00000000-0005-0000-0000-000015000000}"/>
    <cellStyle name="20% - Accent6 2 2" xfId="159" xr:uid="{00000000-0005-0000-0000-000016000000}"/>
    <cellStyle name="20% - Accent6 3" xfId="96" xr:uid="{00000000-0005-0000-0000-000017000000}"/>
    <cellStyle name="40% - Accent1" xfId="36" builtinId="31" customBuiltin="1"/>
    <cellStyle name="40% - Accent1 2" xfId="71" xr:uid="{00000000-0005-0000-0000-000019000000}"/>
    <cellStyle name="40% - Accent1 2 2" xfId="150" xr:uid="{00000000-0005-0000-0000-00001A000000}"/>
    <cellStyle name="40% - Accent1 3" xfId="87" xr:uid="{00000000-0005-0000-0000-00001B000000}"/>
    <cellStyle name="40% - Accent2" xfId="40" builtinId="35" customBuiltin="1"/>
    <cellStyle name="40% - Accent2 2" xfId="73" xr:uid="{00000000-0005-0000-0000-00001D000000}"/>
    <cellStyle name="40% - Accent2 2 2" xfId="152" xr:uid="{00000000-0005-0000-0000-00001E000000}"/>
    <cellStyle name="40% - Accent2 3" xfId="89" xr:uid="{00000000-0005-0000-0000-00001F000000}"/>
    <cellStyle name="40% - Accent3" xfId="44" builtinId="39" customBuiltin="1"/>
    <cellStyle name="40% - Accent3 2" xfId="75" xr:uid="{00000000-0005-0000-0000-000021000000}"/>
    <cellStyle name="40% - Accent3 2 2" xfId="154" xr:uid="{00000000-0005-0000-0000-000022000000}"/>
    <cellStyle name="40% - Accent3 3" xfId="91" xr:uid="{00000000-0005-0000-0000-000023000000}"/>
    <cellStyle name="40% - Accent4" xfId="48" builtinId="43" customBuiltin="1"/>
    <cellStyle name="40% - Accent4 2" xfId="77" xr:uid="{00000000-0005-0000-0000-000025000000}"/>
    <cellStyle name="40% - Accent4 2 2" xfId="156" xr:uid="{00000000-0005-0000-0000-000026000000}"/>
    <cellStyle name="40% - Accent4 3" xfId="93" xr:uid="{00000000-0005-0000-0000-000027000000}"/>
    <cellStyle name="40% - Accent5" xfId="52" builtinId="47" customBuiltin="1"/>
    <cellStyle name="40% - Accent5 2" xfId="79" xr:uid="{00000000-0005-0000-0000-000029000000}"/>
    <cellStyle name="40% - Accent5 2 2" xfId="158" xr:uid="{00000000-0005-0000-0000-00002A000000}"/>
    <cellStyle name="40% - Accent5 3" xfId="95" xr:uid="{00000000-0005-0000-0000-00002B000000}"/>
    <cellStyle name="40% - Accent6" xfId="56" builtinId="51" customBuiltin="1"/>
    <cellStyle name="40% - Accent6 2" xfId="81" xr:uid="{00000000-0005-0000-0000-00002D000000}"/>
    <cellStyle name="40% - Accent6 2 2" xfId="160" xr:uid="{00000000-0005-0000-0000-00002E000000}"/>
    <cellStyle name="40% - Accent6 3" xfId="97" xr:uid="{00000000-0005-0000-0000-00002F000000}"/>
    <cellStyle name="60% - Accent1" xfId="37" builtinId="32" customBuiltin="1"/>
    <cellStyle name="60% - Accent2" xfId="41" builtinId="36" customBuiltin="1"/>
    <cellStyle name="60% - Accent3" xfId="45" builtinId="40" customBuiltin="1"/>
    <cellStyle name="60% - Accent4" xfId="49" builtinId="44" customBuiltin="1"/>
    <cellStyle name="60% - Accent5" xfId="53" builtinId="48" customBuiltin="1"/>
    <cellStyle name="60% - Accent6" xfId="57" builtinId="52" customBuiltin="1"/>
    <cellStyle name="Accent1" xfId="34" builtinId="29" customBuiltin="1"/>
    <cellStyle name="Accent2" xfId="38" builtinId="33" customBuiltin="1"/>
    <cellStyle name="Accent3" xfId="42" builtinId="37" customBuiltin="1"/>
    <cellStyle name="Accent4" xfId="46" builtinId="41" customBuiltin="1"/>
    <cellStyle name="Accent5" xfId="50" builtinId="45" customBuiltin="1"/>
    <cellStyle name="Accent6" xfId="54" builtinId="49" customBuiltin="1"/>
    <cellStyle name="Bad" xfId="24" builtinId="27" customBuiltin="1"/>
    <cellStyle name="Calculation" xfId="28" builtinId="22" customBuiltin="1"/>
    <cellStyle name="Check Cell" xfId="30" builtinId="23" customBuiltin="1"/>
    <cellStyle name="Comma 2" xfId="5" xr:uid="{00000000-0005-0000-0000-00003F000000}"/>
    <cellStyle name="Comma 2 2" xfId="108" xr:uid="{00000000-0005-0000-0000-000040000000}"/>
    <cellStyle name="Comma 2 3" xfId="122" xr:uid="{00000000-0005-0000-0000-000041000000}"/>
    <cellStyle name="Comma 3" xfId="4" xr:uid="{00000000-0005-0000-0000-000042000000}"/>
    <cellStyle name="Comma 4" xfId="101" xr:uid="{00000000-0005-0000-0000-000043000000}"/>
    <cellStyle name="Explanatory Text" xfId="32" builtinId="53" customBuiltin="1"/>
    <cellStyle name="Good" xfId="23" builtinId="26" customBuiltin="1"/>
    <cellStyle name="Heading 1" xfId="19" builtinId="16" customBuiltin="1"/>
    <cellStyle name="Heading 2" xfId="20" builtinId="17" customBuiltin="1"/>
    <cellStyle name="Heading 3" xfId="21" builtinId="18" customBuiltin="1"/>
    <cellStyle name="Heading 4" xfId="22" builtinId="19" customBuiltin="1"/>
    <cellStyle name="Hyperlink" xfId="11" builtinId="8"/>
    <cellStyle name="Hyperlink 2" xfId="60" xr:uid="{00000000-0005-0000-0000-00004B000000}"/>
    <cellStyle name="Input" xfId="26" builtinId="20" customBuiltin="1"/>
    <cellStyle name="Linked Cell" xfId="29" builtinId="24" customBuiltin="1"/>
    <cellStyle name="Neutral" xfId="25" builtinId="28" customBuiltin="1"/>
    <cellStyle name="Normal" xfId="0" builtinId="0"/>
    <cellStyle name="Normal 10" xfId="117" xr:uid="{00000000-0005-0000-0000-000050000000}"/>
    <cellStyle name="Normal 10 2" xfId="132" xr:uid="{00000000-0005-0000-0000-000051000000}"/>
    <cellStyle name="Normal 11" xfId="121" xr:uid="{00000000-0005-0000-0000-000052000000}"/>
    <cellStyle name="Normal 11 2" xfId="141" xr:uid="{00000000-0005-0000-0000-000053000000}"/>
    <cellStyle name="Normal 12" xfId="100" xr:uid="{00000000-0005-0000-0000-000054000000}"/>
    <cellStyle name="Normal 12 2" xfId="147" xr:uid="{00000000-0005-0000-0000-000055000000}"/>
    <cellStyle name="Normal 13" xfId="172" xr:uid="{00000000-0005-0000-0000-000056000000}"/>
    <cellStyle name="Normal 14" xfId="173" xr:uid="{00000000-0005-0000-0000-000057000000}"/>
    <cellStyle name="Normal 15" xfId="84" xr:uid="{00000000-0005-0000-0000-000058000000}"/>
    <cellStyle name="Normal 16 2" xfId="194" xr:uid="{00000000-0005-0000-0000-000059000000}"/>
    <cellStyle name="Normal 16 2 2" xfId="195" xr:uid="{00000000-0005-0000-0000-00005A000000}"/>
    <cellStyle name="Normal 2" xfId="1" xr:uid="{00000000-0005-0000-0000-00005B000000}"/>
    <cellStyle name="Normal 2 2" xfId="6" xr:uid="{00000000-0005-0000-0000-00005C000000}"/>
    <cellStyle name="Normal 2 2 2" xfId="63" xr:uid="{00000000-0005-0000-0000-00005D000000}"/>
    <cellStyle name="Normal 2 2 2 2" xfId="144" xr:uid="{00000000-0005-0000-0000-00005E000000}"/>
    <cellStyle name="Normal 2 2 2 3" xfId="189" xr:uid="{00000000-0005-0000-0000-00005F000000}"/>
    <cellStyle name="Normal 2 2 2 4" xfId="130" xr:uid="{00000000-0005-0000-0000-000060000000}"/>
    <cellStyle name="Normal 2 2 3" xfId="82" xr:uid="{00000000-0005-0000-0000-000061000000}"/>
    <cellStyle name="Normal 2 2 3 2" xfId="174" xr:uid="{00000000-0005-0000-0000-000062000000}"/>
    <cellStyle name="Normal 2 2 3 3" xfId="187" xr:uid="{00000000-0005-0000-0000-000063000000}"/>
    <cellStyle name="Normal 2 2 3 4" xfId="120" xr:uid="{00000000-0005-0000-0000-000064000000}"/>
    <cellStyle name="Normal 2 2 4" xfId="109" xr:uid="{00000000-0005-0000-0000-000065000000}"/>
    <cellStyle name="Normal 2 2 5" xfId="164" xr:uid="{00000000-0005-0000-0000-000066000000}"/>
    <cellStyle name="Normal 2 2 6" xfId="162" xr:uid="{00000000-0005-0000-0000-000067000000}"/>
    <cellStyle name="Normal 2 2 7" xfId="98" xr:uid="{00000000-0005-0000-0000-000068000000}"/>
    <cellStyle name="Normal 2 3" xfId="64" xr:uid="{00000000-0005-0000-0000-000069000000}"/>
    <cellStyle name="Normal 2 3 2" xfId="135" xr:uid="{00000000-0005-0000-0000-00006A000000}"/>
    <cellStyle name="Normal 2 3 3" xfId="165" xr:uid="{00000000-0005-0000-0000-00006B000000}"/>
    <cellStyle name="Normal 2 3 4" xfId="161" xr:uid="{00000000-0005-0000-0000-00006C000000}"/>
    <cellStyle name="Normal 2 4" xfId="62" xr:uid="{00000000-0005-0000-0000-00006D000000}"/>
    <cellStyle name="Normal 2 5" xfId="59" xr:uid="{00000000-0005-0000-0000-00006E000000}"/>
    <cellStyle name="Normal 2 5 2" xfId="142" xr:uid="{00000000-0005-0000-0000-00006F000000}"/>
    <cellStyle name="Normal 2 5 3" xfId="180" xr:uid="{00000000-0005-0000-0000-000070000000}"/>
    <cellStyle name="Normal 2 5 4" xfId="184" xr:uid="{00000000-0005-0000-0000-000071000000}"/>
    <cellStyle name="Normal 2 5 5" xfId="123" xr:uid="{00000000-0005-0000-0000-000072000000}"/>
    <cellStyle name="Normal 2 6" xfId="102" xr:uid="{00000000-0005-0000-0000-000073000000}"/>
    <cellStyle name="Normal 2 7" xfId="163" xr:uid="{00000000-0005-0000-0000-000074000000}"/>
    <cellStyle name="Normal 2 8" xfId="178" xr:uid="{00000000-0005-0000-0000-000075000000}"/>
    <cellStyle name="Normal 2_Dec11" xfId="65" xr:uid="{00000000-0005-0000-0000-000076000000}"/>
    <cellStyle name="Normal 3" xfId="7" xr:uid="{00000000-0005-0000-0000-000077000000}"/>
    <cellStyle name="Normal 3 2" xfId="66" xr:uid="{00000000-0005-0000-0000-000078000000}"/>
    <cellStyle name="Normal 3 2 2" xfId="175" xr:uid="{00000000-0005-0000-0000-000079000000}"/>
    <cellStyle name="Normal 3 2 3" xfId="183" xr:uid="{00000000-0005-0000-0000-00007A000000}"/>
    <cellStyle name="Normal 3 2 4" xfId="110" xr:uid="{00000000-0005-0000-0000-00007B000000}"/>
    <cellStyle name="Normal 3 3" xfId="83" xr:uid="{00000000-0005-0000-0000-00007C000000}"/>
    <cellStyle name="Normal 3 3 2" xfId="138" xr:uid="{00000000-0005-0000-0000-00007D000000}"/>
    <cellStyle name="Normal 3 3 3" xfId="171" xr:uid="{00000000-0005-0000-0000-00007E000000}"/>
    <cellStyle name="Normal 3 3 4" xfId="124" xr:uid="{00000000-0005-0000-0000-00007F000000}"/>
    <cellStyle name="Normal 3 4" xfId="134" xr:uid="{00000000-0005-0000-0000-000080000000}"/>
    <cellStyle name="Normal 3 5" xfId="179" xr:uid="{00000000-0005-0000-0000-000081000000}"/>
    <cellStyle name="Normal 3 6" xfId="103" xr:uid="{00000000-0005-0000-0000-000082000000}"/>
    <cellStyle name="Normal 3 7" xfId="99" xr:uid="{00000000-0005-0000-0000-000083000000}"/>
    <cellStyle name="Normal 4" xfId="8" xr:uid="{00000000-0005-0000-0000-000084000000}"/>
    <cellStyle name="Normal 4 2" xfId="111" xr:uid="{00000000-0005-0000-0000-000085000000}"/>
    <cellStyle name="Normal 4 3" xfId="125" xr:uid="{00000000-0005-0000-0000-000086000000}"/>
    <cellStyle name="Normal 4 4" xfId="191" xr:uid="{00000000-0005-0000-0000-000087000000}"/>
    <cellStyle name="Normal 5" xfId="3" xr:uid="{00000000-0005-0000-0000-000088000000}"/>
    <cellStyle name="Normal 5 2" xfId="12" xr:uid="{00000000-0005-0000-0000-000089000000}"/>
    <cellStyle name="Normal 5 2 2" xfId="139" xr:uid="{00000000-0005-0000-0000-00008A000000}"/>
    <cellStyle name="Normal 5 2 3" xfId="169" xr:uid="{00000000-0005-0000-0000-00008B000000}"/>
    <cellStyle name="Normal 5 2 4" xfId="114" xr:uid="{00000000-0005-0000-0000-00008C000000}"/>
    <cellStyle name="Normal 5 3" xfId="14" xr:uid="{00000000-0005-0000-0000-00008D000000}"/>
    <cellStyle name="Normal 5 3 2" xfId="145" xr:uid="{00000000-0005-0000-0000-00008E000000}"/>
    <cellStyle name="Normal 5 3 3" xfId="188" xr:uid="{00000000-0005-0000-0000-00008F000000}"/>
    <cellStyle name="Normal 5 3 4" xfId="127" xr:uid="{00000000-0005-0000-0000-000090000000}"/>
    <cellStyle name="Normal 5 4" xfId="16" xr:uid="{00000000-0005-0000-0000-000091000000}"/>
    <cellStyle name="Normal 5 4 2" xfId="176" xr:uid="{00000000-0005-0000-0000-000092000000}"/>
    <cellStyle name="Normal 5 4 3" xfId="186" xr:uid="{00000000-0005-0000-0000-000093000000}"/>
    <cellStyle name="Normal 5 4 4" xfId="119" xr:uid="{00000000-0005-0000-0000-000094000000}"/>
    <cellStyle name="Normal 5 5" xfId="67" xr:uid="{00000000-0005-0000-0000-000095000000}"/>
    <cellStyle name="Normal 5 5 2" xfId="177" xr:uid="{00000000-0005-0000-0000-000096000000}"/>
    <cellStyle name="Normal 5 5 3" xfId="190" xr:uid="{00000000-0005-0000-0000-000097000000}"/>
    <cellStyle name="Normal 5 5 4" xfId="136" xr:uid="{00000000-0005-0000-0000-000098000000}"/>
    <cellStyle name="Normal 5 6" xfId="166" xr:uid="{00000000-0005-0000-0000-000099000000}"/>
    <cellStyle name="Normal 5 6 2" xfId="181" xr:uid="{00000000-0005-0000-0000-00009A000000}"/>
    <cellStyle name="Normal 5 6 3" xfId="192" xr:uid="{00000000-0005-0000-0000-00009B000000}"/>
    <cellStyle name="Normal 6" xfId="10" xr:uid="{00000000-0005-0000-0000-00009C000000}"/>
    <cellStyle name="Normal 6 2" xfId="13" xr:uid="{00000000-0005-0000-0000-00009D000000}"/>
    <cellStyle name="Normal 6 2 2" xfId="140" xr:uid="{00000000-0005-0000-0000-00009E000000}"/>
    <cellStyle name="Normal 6 2 3" xfId="170" xr:uid="{00000000-0005-0000-0000-00009F000000}"/>
    <cellStyle name="Normal 6 2 4" xfId="115" xr:uid="{00000000-0005-0000-0000-0000A0000000}"/>
    <cellStyle name="Normal 6 3" xfId="15" xr:uid="{00000000-0005-0000-0000-0000A1000000}"/>
    <cellStyle name="Normal 6 4" xfId="17" xr:uid="{00000000-0005-0000-0000-0000A2000000}"/>
    <cellStyle name="Normal 6 4 2" xfId="182" xr:uid="{00000000-0005-0000-0000-0000A3000000}"/>
    <cellStyle name="Normal 6 4 3" xfId="193" xr:uid="{00000000-0005-0000-0000-0000A4000000}"/>
    <cellStyle name="Normal 6 4 4" xfId="167" xr:uid="{00000000-0005-0000-0000-0000A5000000}"/>
    <cellStyle name="Normal 6 5" xfId="185" xr:uid="{00000000-0005-0000-0000-0000A6000000}"/>
    <cellStyle name="Normal 6 6" xfId="105" xr:uid="{00000000-0005-0000-0000-0000A7000000}"/>
    <cellStyle name="Normal 7" xfId="58" xr:uid="{00000000-0005-0000-0000-0000A8000000}"/>
    <cellStyle name="Normal 7 2" xfId="129" xr:uid="{00000000-0005-0000-0000-0000A9000000}"/>
    <cellStyle name="Normal 7 2 2" xfId="146" xr:uid="{00000000-0005-0000-0000-0000AA000000}"/>
    <cellStyle name="Normal 7 3" xfId="137" xr:uid="{00000000-0005-0000-0000-0000AB000000}"/>
    <cellStyle name="Normal 7 4" xfId="168" xr:uid="{00000000-0005-0000-0000-0000AC000000}"/>
    <cellStyle name="Normal 7 5" xfId="107" xr:uid="{00000000-0005-0000-0000-0000AD000000}"/>
    <cellStyle name="Normal 8" xfId="68" xr:uid="{00000000-0005-0000-0000-0000AE000000}"/>
    <cellStyle name="Normal 8 2" xfId="131" xr:uid="{00000000-0005-0000-0000-0000AF000000}"/>
    <cellStyle name="Normal 8 3" xfId="116" xr:uid="{00000000-0005-0000-0000-0000B0000000}"/>
    <cellStyle name="Normal 9" xfId="106" xr:uid="{00000000-0005-0000-0000-0000B1000000}"/>
    <cellStyle name="Normal 9 2" xfId="128" xr:uid="{00000000-0005-0000-0000-0000B2000000}"/>
    <cellStyle name="Note 2" xfId="61" xr:uid="{00000000-0005-0000-0000-0000B3000000}"/>
    <cellStyle name="Note 2 2" xfId="143" xr:uid="{00000000-0005-0000-0000-0000B4000000}"/>
    <cellStyle name="Note 3" xfId="69" xr:uid="{00000000-0005-0000-0000-0000B5000000}"/>
    <cellStyle name="Note 3 2" xfId="148" xr:uid="{00000000-0005-0000-0000-0000B6000000}"/>
    <cellStyle name="Note 4" xfId="85" xr:uid="{00000000-0005-0000-0000-0000B7000000}"/>
    <cellStyle name="Output" xfId="27" builtinId="21" customBuiltin="1"/>
    <cellStyle name="Percent" xfId="2" builtinId="5"/>
    <cellStyle name="Percent 2" xfId="9" xr:uid="{00000000-0005-0000-0000-0000BA000000}"/>
    <cellStyle name="Percent 2 2" xfId="113" xr:uid="{00000000-0005-0000-0000-0000BB000000}"/>
    <cellStyle name="Percent 2 3" xfId="126" xr:uid="{00000000-0005-0000-0000-0000BC000000}"/>
    <cellStyle name="Percent 3" xfId="112" xr:uid="{00000000-0005-0000-0000-0000BD000000}"/>
    <cellStyle name="Percent 4" xfId="118" xr:uid="{00000000-0005-0000-0000-0000BE000000}"/>
    <cellStyle name="Percent 4 2" xfId="133" xr:uid="{00000000-0005-0000-0000-0000BF000000}"/>
    <cellStyle name="Percent 5" xfId="104" xr:uid="{00000000-0005-0000-0000-0000C0000000}"/>
    <cellStyle name="Title" xfId="18" builtinId="15" customBuiltin="1"/>
    <cellStyle name="Total" xfId="33" builtinId="25" customBuiltin="1"/>
    <cellStyle name="Warning Text" xfId="31" builtinId="11" customBuiltin="1"/>
  </cellStyles>
  <dxfs count="0"/>
  <tableStyles count="0" defaultTableStyle="TableStyleMedium9" defaultPivotStyle="PivotStyleLight16"/>
  <colors>
    <mruColors>
      <color rgb="FF00FFFF"/>
      <color rgb="FFCCFFCC"/>
      <color rgb="FFFF00FF"/>
      <color rgb="FF99FF66"/>
      <color rgb="FFFF6600"/>
      <color rgb="FFFF5050"/>
      <color rgb="FF800080"/>
      <color rgb="FFFF4B6D"/>
      <color rgb="FF5BADFF"/>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Upper Clear Creek Chinook Salmon Efficiency Trials 2025-2026</a:t>
            </a:r>
          </a:p>
        </c:rich>
      </c:tx>
      <c:layout>
        <c:manualLayout>
          <c:xMode val="edge"/>
          <c:yMode val="edge"/>
          <c:x val="0.16330334150201839"/>
          <c:y val="2.1595326284212756E-2"/>
        </c:manualLayout>
      </c:layout>
      <c:overlay val="0"/>
    </c:title>
    <c:autoTitleDeleted val="0"/>
    <c:plotArea>
      <c:layout>
        <c:manualLayout>
          <c:layoutTarget val="inner"/>
          <c:xMode val="edge"/>
          <c:yMode val="edge"/>
          <c:x val="0.10387540782869614"/>
          <c:y val="2.6417504870839277E-2"/>
          <c:w val="0.88643739905929775"/>
          <c:h val="0.81620556690971569"/>
        </c:manualLayout>
      </c:layout>
      <c:lineChart>
        <c:grouping val="standard"/>
        <c:varyColors val="0"/>
        <c:ser>
          <c:idx val="1"/>
          <c:order val="0"/>
          <c:tx>
            <c:strRef>
              <c:f>'UCC CHN 25-26'!$AB$1</c:f>
              <c:strCache>
                <c:ptCount val="1"/>
                <c:pt idx="0">
                  <c:v>Upper Clear Creek Chinook Salmon</c:v>
                </c:pt>
              </c:strCache>
            </c:strRef>
          </c:tx>
          <c:spPr>
            <a:ln w="12700">
              <a:solidFill>
                <a:schemeClr val="tx1"/>
              </a:solidFill>
            </a:ln>
          </c:spPr>
          <c:marker>
            <c:symbol val="square"/>
            <c:size val="6"/>
            <c:spPr>
              <a:noFill/>
              <a:ln w="0">
                <a:solidFill>
                  <a:schemeClr val="tx1"/>
                </a:solidFill>
              </a:ln>
            </c:spPr>
          </c:marker>
          <c:cat>
            <c:numRef>
              <c:f>'UCC CHN 25-26'!$C$3:$C$14</c:f>
              <c:numCache>
                <c:formatCode>mm/dd/yy;@</c:formatCode>
                <c:ptCount val="12"/>
                <c:pt idx="0">
                  <c:v>45983</c:v>
                </c:pt>
                <c:pt idx="1">
                  <c:v>45990</c:v>
                </c:pt>
                <c:pt idx="2">
                  <c:v>45994</c:v>
                </c:pt>
                <c:pt idx="3">
                  <c:v>45997</c:v>
                </c:pt>
                <c:pt idx="4">
                  <c:v>46001</c:v>
                </c:pt>
                <c:pt idx="5">
                  <c:v>46004</c:v>
                </c:pt>
                <c:pt idx="6">
                  <c:v>46039</c:v>
                </c:pt>
                <c:pt idx="7">
                  <c:v>46043</c:v>
                </c:pt>
                <c:pt idx="8">
                  <c:v>46046</c:v>
                </c:pt>
                <c:pt idx="9">
                  <c:v>46053</c:v>
                </c:pt>
                <c:pt idx="10">
                  <c:v>46057</c:v>
                </c:pt>
                <c:pt idx="11">
                  <c:v>46060</c:v>
                </c:pt>
              </c:numCache>
            </c:numRef>
          </c:cat>
          <c:val>
            <c:numRef>
              <c:f>'UCC CHN 25-26'!$X$3:$X$14</c:f>
              <c:numCache>
                <c:formatCode>0.0000</c:formatCode>
                <c:ptCount val="12"/>
                <c:pt idx="0">
                  <c:v>0.17567567567567569</c:v>
                </c:pt>
                <c:pt idx="1">
                  <c:v>0.26359832635983266</c:v>
                </c:pt>
                <c:pt idx="2">
                  <c:v>0.24107142857142858</c:v>
                </c:pt>
                <c:pt idx="3">
                  <c:v>0.34337349397590361</c:v>
                </c:pt>
                <c:pt idx="4">
                  <c:v>0.35044642857142855</c:v>
                </c:pt>
                <c:pt idx="5">
                  <c:v>0.28082191780821919</c:v>
                </c:pt>
                <c:pt idx="6">
                  <c:v>0.1130952380952381</c:v>
                </c:pt>
                <c:pt idx="7">
                  <c:v>0.17723880597014927</c:v>
                </c:pt>
                <c:pt idx="8">
                  <c:v>0.18664047151277013</c:v>
                </c:pt>
                <c:pt idx="9">
                  <c:v>0.2180293501048218</c:v>
                </c:pt>
                <c:pt idx="10">
                  <c:v>0.21887550200803213</c:v>
                </c:pt>
                <c:pt idx="11">
                  <c:v>0.14688128772635814</c:v>
                </c:pt>
              </c:numCache>
            </c:numRef>
          </c:val>
          <c:smooth val="0"/>
          <c:extLst>
            <c:ext xmlns:c16="http://schemas.microsoft.com/office/drawing/2014/chart" uri="{C3380CC4-5D6E-409C-BE32-E72D297353CC}">
              <c16:uniqueId val="{00000000-DFEE-40A7-A0E6-78897FAD0126}"/>
            </c:ext>
          </c:extLst>
        </c:ser>
        <c:dLbls>
          <c:showLegendKey val="0"/>
          <c:showVal val="0"/>
          <c:showCatName val="0"/>
          <c:showSerName val="0"/>
          <c:showPercent val="0"/>
          <c:showBubbleSize val="0"/>
        </c:dLbls>
        <c:marker val="1"/>
        <c:smooth val="0"/>
        <c:axId val="129028864"/>
        <c:axId val="129030400"/>
      </c:lineChart>
      <c:dateAx>
        <c:axId val="129028864"/>
        <c:scaling>
          <c:orientation val="minMax"/>
        </c:scaling>
        <c:delete val="0"/>
        <c:axPos val="b"/>
        <c:title>
          <c:tx>
            <c:rich>
              <a:bodyPr/>
              <a:lstStyle/>
              <a:p>
                <a:pPr>
                  <a:defRPr b="0"/>
                </a:pPr>
                <a:r>
                  <a:rPr lang="en-US" b="0"/>
                  <a:t>Date</a:t>
                </a:r>
              </a:p>
            </c:rich>
          </c:tx>
          <c:layout>
            <c:manualLayout>
              <c:xMode val="edge"/>
              <c:yMode val="edge"/>
              <c:x val="0.51455195535159604"/>
              <c:y val="0.96140794129676599"/>
            </c:manualLayout>
          </c:layout>
          <c:overlay val="0"/>
        </c:title>
        <c:numFmt formatCode="[$-409]d\-mmm\-yy;@" sourceLinked="0"/>
        <c:majorTickMark val="out"/>
        <c:minorTickMark val="none"/>
        <c:tickLblPos val="nextTo"/>
        <c:txPr>
          <a:bodyPr rot="-4320000" vert="horz"/>
          <a:lstStyle/>
          <a:p>
            <a:pPr>
              <a:defRPr/>
            </a:pPr>
            <a:endParaRPr lang="en-US"/>
          </a:p>
        </c:txPr>
        <c:crossAx val="129030400"/>
        <c:crosses val="autoZero"/>
        <c:auto val="1"/>
        <c:lblOffset val="100"/>
        <c:baseTimeUnit val="days"/>
        <c:minorUnit val="1"/>
        <c:minorTimeUnit val="days"/>
      </c:dateAx>
      <c:valAx>
        <c:axId val="129030400"/>
        <c:scaling>
          <c:orientation val="minMax"/>
          <c:max val="0.4"/>
        </c:scaling>
        <c:delete val="0"/>
        <c:axPos val="l"/>
        <c:title>
          <c:tx>
            <c:rich>
              <a:bodyPr rot="-5400000" vert="horz"/>
              <a:lstStyle/>
              <a:p>
                <a:pPr>
                  <a:defRPr b="0"/>
                </a:pPr>
                <a:r>
                  <a:rPr lang="en-US" b="0"/>
                  <a:t>Efficiency</a:t>
                </a:r>
              </a:p>
            </c:rich>
          </c:tx>
          <c:layout>
            <c:manualLayout>
              <c:xMode val="edge"/>
              <c:yMode val="edge"/>
              <c:x val="6.9598765538899559E-4"/>
              <c:y val="0.39750644197515317"/>
            </c:manualLayout>
          </c:layout>
          <c:overlay val="0"/>
        </c:title>
        <c:numFmt formatCode="0.000" sourceLinked="0"/>
        <c:majorTickMark val="out"/>
        <c:minorTickMark val="none"/>
        <c:tickLblPos val="nextTo"/>
        <c:txPr>
          <a:bodyPr rot="0" vert="horz"/>
          <a:lstStyle/>
          <a:p>
            <a:pPr>
              <a:defRPr/>
            </a:pPr>
            <a:endParaRPr lang="en-US"/>
          </a:p>
        </c:txPr>
        <c:crossAx val="129028864"/>
        <c:crossesAt val="40909"/>
        <c:crossBetween val="between"/>
      </c:valAx>
      <c:spPr>
        <a:ln>
          <a:noFill/>
        </a:ln>
      </c:spPr>
    </c:plotArea>
    <c:legend>
      <c:legendPos val="r"/>
      <c:layout>
        <c:manualLayout>
          <c:xMode val="edge"/>
          <c:yMode val="edge"/>
          <c:x val="0.11673814554469857"/>
          <c:y val="0.79137398695130323"/>
          <c:w val="0.2842952703982401"/>
          <c:h val="3.8706872479106112E-2"/>
        </c:manualLayout>
      </c:layout>
      <c:overlay val="0"/>
      <c:spPr>
        <a:ln>
          <a:solidFill>
            <a:schemeClr val="tx1"/>
          </a:solidFill>
        </a:ln>
      </c:spPr>
      <c:txPr>
        <a:bodyPr/>
        <a:lstStyle/>
        <a:p>
          <a:pPr>
            <a:defRPr sz="1000"/>
          </a:pPr>
          <a:endParaRPr lang="en-US"/>
        </a:p>
      </c:txPr>
    </c:legend>
    <c:plotVisOnly val="1"/>
    <c:dispBlanksAs val="gap"/>
    <c:showDLblsOverMax val="0"/>
  </c:chart>
  <c:spPr>
    <a:ln>
      <a:noFill/>
    </a:ln>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Lower Clear Creek Chinook Salmon Efficiency Trials 2025-2026</a:t>
            </a:r>
          </a:p>
        </c:rich>
      </c:tx>
      <c:layout>
        <c:manualLayout>
          <c:xMode val="edge"/>
          <c:yMode val="edge"/>
          <c:x val="0.16596371875435981"/>
          <c:y val="2.1595326284212756E-2"/>
        </c:manualLayout>
      </c:layout>
      <c:overlay val="0"/>
    </c:title>
    <c:autoTitleDeleted val="0"/>
    <c:plotArea>
      <c:layout>
        <c:manualLayout>
          <c:layoutTarget val="inner"/>
          <c:xMode val="edge"/>
          <c:yMode val="edge"/>
          <c:x val="0.10387540782869614"/>
          <c:y val="2.6417504870839277E-2"/>
          <c:w val="0.88643739905929775"/>
          <c:h val="0.79600979192945032"/>
        </c:manualLayout>
      </c:layout>
      <c:lineChart>
        <c:grouping val="standard"/>
        <c:varyColors val="0"/>
        <c:ser>
          <c:idx val="1"/>
          <c:order val="0"/>
          <c:tx>
            <c:strRef>
              <c:f>'LCC CHN 25-26'!$AB$1</c:f>
              <c:strCache>
                <c:ptCount val="1"/>
                <c:pt idx="0">
                  <c:v>Lower Clear Creek Chinook Salmon</c:v>
                </c:pt>
              </c:strCache>
            </c:strRef>
          </c:tx>
          <c:spPr>
            <a:ln w="12700">
              <a:solidFill>
                <a:schemeClr val="tx1"/>
              </a:solidFill>
            </a:ln>
          </c:spPr>
          <c:marker>
            <c:symbol val="square"/>
            <c:size val="6"/>
            <c:spPr>
              <a:noFill/>
              <a:ln w="0">
                <a:solidFill>
                  <a:schemeClr val="tx1"/>
                </a:solidFill>
              </a:ln>
            </c:spPr>
          </c:marker>
          <c:cat>
            <c:numRef>
              <c:f>'LCC CHN 25-26'!$C$3:$C$18</c:f>
              <c:numCache>
                <c:formatCode>mm/dd/yy;@</c:formatCode>
                <c:ptCount val="16"/>
                <c:pt idx="0">
                  <c:v>45990</c:v>
                </c:pt>
                <c:pt idx="1">
                  <c:v>45994</c:v>
                </c:pt>
                <c:pt idx="2">
                  <c:v>45997</c:v>
                </c:pt>
                <c:pt idx="3">
                  <c:v>46001</c:v>
                </c:pt>
                <c:pt idx="4">
                  <c:v>46004</c:v>
                </c:pt>
                <c:pt idx="5">
                  <c:v>46039</c:v>
                </c:pt>
                <c:pt idx="6">
                  <c:v>46043</c:v>
                </c:pt>
                <c:pt idx="7">
                  <c:v>46046</c:v>
                </c:pt>
                <c:pt idx="8">
                  <c:v>46053</c:v>
                </c:pt>
                <c:pt idx="9">
                  <c:v>46057</c:v>
                </c:pt>
                <c:pt idx="10">
                  <c:v>46060</c:v>
                </c:pt>
                <c:pt idx="11">
                  <c:v>46063</c:v>
                </c:pt>
                <c:pt idx="12">
                  <c:v>46063</c:v>
                </c:pt>
                <c:pt idx="13">
                  <c:v>46066</c:v>
                </c:pt>
                <c:pt idx="14">
                  <c:v>46066</c:v>
                </c:pt>
                <c:pt idx="15">
                  <c:v>46091</c:v>
                </c:pt>
              </c:numCache>
            </c:numRef>
          </c:cat>
          <c:val>
            <c:numRef>
              <c:f>'LCC CHN 25-26'!$X$3:$X$18</c:f>
              <c:numCache>
                <c:formatCode>0.0000</c:formatCode>
                <c:ptCount val="16"/>
                <c:pt idx="0">
                  <c:v>0.14801444043321299</c:v>
                </c:pt>
                <c:pt idx="1">
                  <c:v>0.17518248175182483</c:v>
                </c:pt>
                <c:pt idx="2">
                  <c:v>6.9943289224952743E-2</c:v>
                </c:pt>
                <c:pt idx="3">
                  <c:v>6.8669527896995708E-2</c:v>
                </c:pt>
                <c:pt idx="4">
                  <c:v>4.4265593561368208E-2</c:v>
                </c:pt>
                <c:pt idx="5">
                  <c:v>1.7857142857142856E-2</c:v>
                </c:pt>
                <c:pt idx="6">
                  <c:v>1.6917293233082706E-2</c:v>
                </c:pt>
                <c:pt idx="7">
                  <c:v>1.5873015873015872E-2</c:v>
                </c:pt>
                <c:pt idx="8">
                  <c:v>2.3809523809523808E-2</c:v>
                </c:pt>
                <c:pt idx="9">
                  <c:v>1.4028056112224449E-2</c:v>
                </c:pt>
                <c:pt idx="10">
                  <c:v>6.0975609756097563E-3</c:v>
                </c:pt>
                <c:pt idx="11">
                  <c:v>1.6826923076923076E-2</c:v>
                </c:pt>
                <c:pt idx="12">
                  <c:v>1.5151515151515152E-2</c:v>
                </c:pt>
                <c:pt idx="13">
                  <c:v>2.1526418786692758E-2</c:v>
                </c:pt>
                <c:pt idx="14">
                  <c:v>1.7543859649122806E-2</c:v>
                </c:pt>
                <c:pt idx="15">
                  <c:v>9.4736842105263161E-2</c:v>
                </c:pt>
              </c:numCache>
            </c:numRef>
          </c:val>
          <c:smooth val="0"/>
          <c:extLst>
            <c:ext xmlns:c16="http://schemas.microsoft.com/office/drawing/2014/chart" uri="{C3380CC4-5D6E-409C-BE32-E72D297353CC}">
              <c16:uniqueId val="{00000000-15AC-46E3-A372-999C63ED2E8D}"/>
            </c:ext>
          </c:extLst>
        </c:ser>
        <c:dLbls>
          <c:showLegendKey val="0"/>
          <c:showVal val="0"/>
          <c:showCatName val="0"/>
          <c:showSerName val="0"/>
          <c:showPercent val="0"/>
          <c:showBubbleSize val="0"/>
        </c:dLbls>
        <c:marker val="1"/>
        <c:smooth val="0"/>
        <c:axId val="129028864"/>
        <c:axId val="129030400"/>
      </c:lineChart>
      <c:dateAx>
        <c:axId val="129028864"/>
        <c:scaling>
          <c:orientation val="minMax"/>
          <c:min val="45981"/>
        </c:scaling>
        <c:delete val="0"/>
        <c:axPos val="b"/>
        <c:title>
          <c:tx>
            <c:rich>
              <a:bodyPr/>
              <a:lstStyle/>
              <a:p>
                <a:pPr>
                  <a:defRPr b="0"/>
                </a:pPr>
                <a:r>
                  <a:rPr lang="en-US" b="0"/>
                  <a:t>Date</a:t>
                </a:r>
              </a:p>
            </c:rich>
          </c:tx>
          <c:layout>
            <c:manualLayout>
              <c:xMode val="edge"/>
              <c:yMode val="edge"/>
              <c:x val="0.51455195535159604"/>
              <c:y val="0.96140794129676599"/>
            </c:manualLayout>
          </c:layout>
          <c:overlay val="0"/>
        </c:title>
        <c:numFmt formatCode="[$-409]d\-mmm\-yy;@" sourceLinked="0"/>
        <c:majorTickMark val="out"/>
        <c:minorTickMark val="none"/>
        <c:tickLblPos val="nextTo"/>
        <c:txPr>
          <a:bodyPr rot="-4320000" vert="horz"/>
          <a:lstStyle/>
          <a:p>
            <a:pPr>
              <a:defRPr/>
            </a:pPr>
            <a:endParaRPr lang="en-US"/>
          </a:p>
        </c:txPr>
        <c:crossAx val="129030400"/>
        <c:crosses val="autoZero"/>
        <c:auto val="1"/>
        <c:lblOffset val="100"/>
        <c:baseTimeUnit val="days"/>
        <c:majorUnit val="7"/>
        <c:majorTimeUnit val="days"/>
        <c:minorUnit val="1"/>
        <c:minorTimeUnit val="days"/>
      </c:dateAx>
      <c:valAx>
        <c:axId val="129030400"/>
        <c:scaling>
          <c:orientation val="minMax"/>
        </c:scaling>
        <c:delete val="0"/>
        <c:axPos val="l"/>
        <c:title>
          <c:tx>
            <c:rich>
              <a:bodyPr rot="-5400000" vert="horz"/>
              <a:lstStyle/>
              <a:p>
                <a:pPr>
                  <a:defRPr b="0"/>
                </a:pPr>
                <a:r>
                  <a:rPr lang="en-US" b="0"/>
                  <a:t>Efficiency</a:t>
                </a:r>
              </a:p>
            </c:rich>
          </c:tx>
          <c:layout>
            <c:manualLayout>
              <c:xMode val="edge"/>
              <c:yMode val="edge"/>
              <c:x val="6.9598765538899559E-4"/>
              <c:y val="0.39750644197515317"/>
            </c:manualLayout>
          </c:layout>
          <c:overlay val="0"/>
        </c:title>
        <c:numFmt formatCode="0.0000" sourceLinked="0"/>
        <c:majorTickMark val="out"/>
        <c:minorTickMark val="none"/>
        <c:tickLblPos val="nextTo"/>
        <c:txPr>
          <a:bodyPr rot="0" vert="horz"/>
          <a:lstStyle/>
          <a:p>
            <a:pPr>
              <a:defRPr/>
            </a:pPr>
            <a:endParaRPr lang="en-US"/>
          </a:p>
        </c:txPr>
        <c:crossAx val="129028864"/>
        <c:crossesAt val="40909"/>
        <c:crossBetween val="between"/>
      </c:valAx>
      <c:spPr>
        <a:ln>
          <a:noFill/>
        </a:ln>
      </c:spPr>
    </c:plotArea>
    <c:legend>
      <c:legendPos val="r"/>
      <c:layout>
        <c:manualLayout>
          <c:xMode val="edge"/>
          <c:yMode val="edge"/>
          <c:x val="0.12406251016471861"/>
          <c:y val="7.8463130147934906E-2"/>
          <c:w val="0.29015476209425617"/>
          <c:h val="3.8706872479106112E-2"/>
        </c:manualLayout>
      </c:layout>
      <c:overlay val="0"/>
      <c:spPr>
        <a:ln>
          <a:solidFill>
            <a:schemeClr val="tx1"/>
          </a:solidFill>
        </a:ln>
      </c:spPr>
      <c:txPr>
        <a:bodyPr/>
        <a:lstStyle/>
        <a:p>
          <a:pPr>
            <a:defRPr sz="1000"/>
          </a:pPr>
          <a:endParaRPr lang="en-US"/>
        </a:p>
      </c:txPr>
    </c:legend>
    <c:plotVisOnly val="1"/>
    <c:dispBlanksAs val="gap"/>
    <c:showDLblsOverMax val="0"/>
  </c:chart>
  <c:spPr>
    <a:ln>
      <a:noFill/>
    </a:ln>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Lower Clear Creek Rainbow Trout/steelhead Efficiency Trials 2025-2026</a:t>
            </a:r>
          </a:p>
        </c:rich>
      </c:tx>
      <c:layout>
        <c:manualLayout>
          <c:xMode val="edge"/>
          <c:yMode val="edge"/>
          <c:x val="8.2735330681797989E-2"/>
          <c:y val="1.399551303947369E-3"/>
        </c:manualLayout>
      </c:layout>
      <c:overlay val="0"/>
    </c:title>
    <c:autoTitleDeleted val="0"/>
    <c:plotArea>
      <c:layout>
        <c:manualLayout>
          <c:layoutTarget val="inner"/>
          <c:xMode val="edge"/>
          <c:yMode val="edge"/>
          <c:x val="0.10094566198068813"/>
          <c:y val="7.8926519819529292E-2"/>
          <c:w val="0.84835070303519355"/>
          <c:h val="0.72532457949852136"/>
        </c:manualLayout>
      </c:layout>
      <c:lineChart>
        <c:grouping val="standard"/>
        <c:varyColors val="0"/>
        <c:ser>
          <c:idx val="1"/>
          <c:order val="0"/>
          <c:tx>
            <c:strRef>
              <c:f>'LCC RBT 25-26'!$AC$1</c:f>
              <c:strCache>
                <c:ptCount val="1"/>
              </c:strCache>
            </c:strRef>
          </c:tx>
          <c:spPr>
            <a:ln w="12700">
              <a:solidFill>
                <a:schemeClr val="tx1"/>
              </a:solidFill>
              <a:prstDash val="lgDash"/>
            </a:ln>
          </c:spPr>
          <c:marker>
            <c:symbol val="triangle"/>
            <c:size val="6"/>
            <c:spPr>
              <a:solidFill>
                <a:schemeClr val="bg1"/>
              </a:solidFill>
              <a:ln w="0">
                <a:solidFill>
                  <a:schemeClr val="tx1"/>
                </a:solidFill>
              </a:ln>
            </c:spPr>
          </c:marker>
          <c:cat>
            <c:numRef>
              <c:f>'LCC RBT 25-26'!$C$3:$C$9</c:f>
              <c:numCache>
                <c:formatCode>mm/dd/yy;@</c:formatCode>
                <c:ptCount val="7"/>
              </c:numCache>
            </c:numRef>
          </c:cat>
          <c:val>
            <c:numRef>
              <c:f>'LCC RBT 25-26'!$AA$3:$AA$9</c:f>
              <c:numCache>
                <c:formatCode>#,##0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A14A-467D-A339-2218EAE2AED9}"/>
            </c:ext>
          </c:extLst>
        </c:ser>
        <c:dLbls>
          <c:showLegendKey val="0"/>
          <c:showVal val="0"/>
          <c:showCatName val="0"/>
          <c:showSerName val="0"/>
          <c:showPercent val="0"/>
          <c:showBubbleSize val="0"/>
        </c:dLbls>
        <c:marker val="1"/>
        <c:smooth val="0"/>
        <c:axId val="129260544"/>
        <c:axId val="129295488"/>
      </c:lineChart>
      <c:dateAx>
        <c:axId val="129260544"/>
        <c:scaling>
          <c:orientation val="minMax"/>
        </c:scaling>
        <c:delete val="0"/>
        <c:axPos val="b"/>
        <c:title>
          <c:tx>
            <c:rich>
              <a:bodyPr/>
              <a:lstStyle/>
              <a:p>
                <a:pPr>
                  <a:defRPr b="0"/>
                </a:pPr>
                <a:r>
                  <a:rPr lang="en-US" b="0"/>
                  <a:t>Date</a:t>
                </a:r>
              </a:p>
            </c:rich>
          </c:tx>
          <c:layout>
            <c:manualLayout>
              <c:xMode val="edge"/>
              <c:yMode val="edge"/>
              <c:x val="0.50063566257355796"/>
              <c:y val="0.96138615530328331"/>
            </c:manualLayout>
          </c:layout>
          <c:overlay val="0"/>
        </c:title>
        <c:numFmt formatCode="[$-409]d\-mmm\-yy;@" sourceLinked="0"/>
        <c:majorTickMark val="out"/>
        <c:minorTickMark val="none"/>
        <c:tickLblPos val="nextTo"/>
        <c:txPr>
          <a:bodyPr rot="-4320000" vert="horz"/>
          <a:lstStyle/>
          <a:p>
            <a:pPr>
              <a:defRPr/>
            </a:pPr>
            <a:endParaRPr lang="en-US"/>
          </a:p>
        </c:txPr>
        <c:crossAx val="129295488"/>
        <c:crosses val="autoZero"/>
        <c:auto val="1"/>
        <c:lblOffset val="100"/>
        <c:baseTimeUnit val="days"/>
        <c:minorUnit val="1"/>
        <c:minorTimeUnit val="days"/>
      </c:dateAx>
      <c:valAx>
        <c:axId val="129295488"/>
        <c:scaling>
          <c:orientation val="minMax"/>
        </c:scaling>
        <c:delete val="0"/>
        <c:axPos val="l"/>
        <c:title>
          <c:tx>
            <c:rich>
              <a:bodyPr rot="-5400000" vert="horz"/>
              <a:lstStyle/>
              <a:p>
                <a:pPr>
                  <a:defRPr b="0"/>
                </a:pPr>
                <a:r>
                  <a:rPr lang="en-US" b="0"/>
                  <a:t>Efficiency</a:t>
                </a:r>
              </a:p>
            </c:rich>
          </c:tx>
          <c:layout>
            <c:manualLayout>
              <c:xMode val="edge"/>
              <c:yMode val="edge"/>
              <c:x val="6.9598765538899049E-4"/>
              <c:y val="0.38740855448502048"/>
            </c:manualLayout>
          </c:layout>
          <c:overlay val="0"/>
        </c:title>
        <c:numFmt formatCode="0.000" sourceLinked="0"/>
        <c:majorTickMark val="out"/>
        <c:minorTickMark val="none"/>
        <c:tickLblPos val="nextTo"/>
        <c:txPr>
          <a:bodyPr rot="0" vert="horz"/>
          <a:lstStyle/>
          <a:p>
            <a:pPr>
              <a:defRPr/>
            </a:pPr>
            <a:endParaRPr lang="en-US"/>
          </a:p>
        </c:txPr>
        <c:crossAx val="129260544"/>
        <c:crossesAt val="40909"/>
        <c:crossBetween val="between"/>
      </c:valAx>
      <c:spPr>
        <a:ln>
          <a:noFill/>
        </a:ln>
      </c:spPr>
    </c:plotArea>
    <c:legend>
      <c:legendPos val="r"/>
      <c:layout>
        <c:manualLayout>
          <c:xMode val="edge"/>
          <c:yMode val="edge"/>
          <c:x val="0.10794890800067455"/>
          <c:y val="0.7550215919868255"/>
          <c:w val="0.37365251876248456"/>
          <c:h val="3.8706872479106112E-2"/>
        </c:manualLayout>
      </c:layout>
      <c:overlay val="0"/>
      <c:spPr>
        <a:ln>
          <a:solidFill>
            <a:schemeClr val="tx1"/>
          </a:solidFill>
        </a:ln>
      </c:spPr>
      <c:txPr>
        <a:bodyPr/>
        <a:lstStyle/>
        <a:p>
          <a:pPr>
            <a:defRPr sz="1000"/>
          </a:pPr>
          <a:endParaRPr lang="en-US"/>
        </a:p>
      </c:txPr>
    </c:legend>
    <c:plotVisOnly val="1"/>
    <c:dispBlanksAs val="gap"/>
    <c:showDLblsOverMax val="0"/>
  </c:chart>
  <c:spPr>
    <a:ln>
      <a:noFill/>
    </a:ln>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UCC Releases captured at LCC 2025-2026</a:t>
            </a:r>
          </a:p>
        </c:rich>
      </c:tx>
      <c:layout>
        <c:manualLayout>
          <c:xMode val="edge"/>
          <c:yMode val="edge"/>
          <c:x val="0.17062770612203848"/>
          <c:y val="1.7556171288159679E-2"/>
        </c:manualLayout>
      </c:layout>
      <c:overlay val="0"/>
    </c:title>
    <c:autoTitleDeleted val="0"/>
    <c:plotArea>
      <c:layout>
        <c:manualLayout>
          <c:layoutTarget val="inner"/>
          <c:xMode val="edge"/>
          <c:yMode val="edge"/>
          <c:x val="0.10094566198068813"/>
          <c:y val="2.2378349874786201E-2"/>
          <c:w val="0.899054338019312"/>
          <c:h val="0.7939902144314237"/>
        </c:manualLayout>
      </c:layout>
      <c:lineChart>
        <c:grouping val="standard"/>
        <c:varyColors val="0"/>
        <c:ser>
          <c:idx val="0"/>
          <c:order val="0"/>
          <c:tx>
            <c:strRef>
              <c:f>'LCC with UCC Fish'!$T$22</c:f>
              <c:strCache>
                <c:ptCount val="1"/>
                <c:pt idx="0">
                  <c:v>LCC with UCC Chinook Salmon efficiency</c:v>
                </c:pt>
              </c:strCache>
            </c:strRef>
          </c:tx>
          <c:spPr>
            <a:ln w="12700">
              <a:solidFill>
                <a:schemeClr val="tx1"/>
              </a:solidFill>
            </a:ln>
          </c:spPr>
          <c:marker>
            <c:symbol val="square"/>
            <c:size val="6"/>
            <c:spPr>
              <a:solidFill>
                <a:schemeClr val="bg1"/>
              </a:solidFill>
              <a:ln>
                <a:solidFill>
                  <a:schemeClr val="tx1"/>
                </a:solidFill>
              </a:ln>
            </c:spPr>
          </c:marker>
          <c:cat>
            <c:numRef>
              <c:f>'LCC with UCC Fish'!$C$3:$C$14</c:f>
              <c:numCache>
                <c:formatCode>mm/dd/yy;@</c:formatCode>
                <c:ptCount val="12"/>
                <c:pt idx="0">
                  <c:v>45983</c:v>
                </c:pt>
                <c:pt idx="1">
                  <c:v>45990</c:v>
                </c:pt>
                <c:pt idx="2">
                  <c:v>45994</c:v>
                </c:pt>
                <c:pt idx="3">
                  <c:v>45997</c:v>
                </c:pt>
                <c:pt idx="4">
                  <c:v>46001</c:v>
                </c:pt>
                <c:pt idx="5">
                  <c:v>46004</c:v>
                </c:pt>
                <c:pt idx="6">
                  <c:v>46039</c:v>
                </c:pt>
                <c:pt idx="7">
                  <c:v>46043</c:v>
                </c:pt>
                <c:pt idx="8">
                  <c:v>46046</c:v>
                </c:pt>
                <c:pt idx="9">
                  <c:v>46053</c:v>
                </c:pt>
                <c:pt idx="10">
                  <c:v>46057</c:v>
                </c:pt>
                <c:pt idx="11">
                  <c:v>46060</c:v>
                </c:pt>
              </c:numCache>
            </c:numRef>
          </c:cat>
          <c:val>
            <c:numRef>
              <c:f>'LCC with UCC Fish'!$P$3:$P$5</c:f>
              <c:numCache>
                <c:formatCode>0.0000</c:formatCode>
                <c:ptCount val="3"/>
                <c:pt idx="0">
                  <c:v>6.7567567567567571E-2</c:v>
                </c:pt>
                <c:pt idx="1">
                  <c:v>2.0920502092050208E-2</c:v>
                </c:pt>
                <c:pt idx="2">
                  <c:v>1.488095238095238E-2</c:v>
                </c:pt>
              </c:numCache>
            </c:numRef>
          </c:val>
          <c:smooth val="0"/>
          <c:extLst>
            <c:ext xmlns:c16="http://schemas.microsoft.com/office/drawing/2014/chart" uri="{C3380CC4-5D6E-409C-BE32-E72D297353CC}">
              <c16:uniqueId val="{00000001-38A1-460B-B1FC-CF1503306929}"/>
            </c:ext>
          </c:extLst>
        </c:ser>
        <c:ser>
          <c:idx val="2"/>
          <c:order val="1"/>
          <c:tx>
            <c:strRef>
              <c:f>'LCC with UCC Fish'!$T$23</c:f>
              <c:strCache>
                <c:ptCount val="1"/>
                <c:pt idx="0">
                  <c:v>UCC with UCC Chinook Salmon efficiency</c:v>
                </c:pt>
              </c:strCache>
            </c:strRef>
          </c:tx>
          <c:spPr>
            <a:ln w="12700">
              <a:solidFill>
                <a:schemeClr val="tx1"/>
              </a:solidFill>
              <a:prstDash val="dash"/>
            </a:ln>
          </c:spPr>
          <c:marker>
            <c:symbol val="circle"/>
            <c:size val="6"/>
            <c:spPr>
              <a:solidFill>
                <a:schemeClr val="bg1"/>
              </a:solidFill>
              <a:ln w="0">
                <a:solidFill>
                  <a:schemeClr val="tx1"/>
                </a:solidFill>
              </a:ln>
            </c:spPr>
          </c:marker>
          <c:cat>
            <c:numRef>
              <c:f>'LCC with UCC Fish'!$C$3:$C$14</c:f>
              <c:numCache>
                <c:formatCode>mm/dd/yy;@</c:formatCode>
                <c:ptCount val="12"/>
                <c:pt idx="0">
                  <c:v>45983</c:v>
                </c:pt>
                <c:pt idx="1">
                  <c:v>45990</c:v>
                </c:pt>
                <c:pt idx="2">
                  <c:v>45994</c:v>
                </c:pt>
                <c:pt idx="3">
                  <c:v>45997</c:v>
                </c:pt>
                <c:pt idx="4">
                  <c:v>46001</c:v>
                </c:pt>
                <c:pt idx="5">
                  <c:v>46004</c:v>
                </c:pt>
                <c:pt idx="6">
                  <c:v>46039</c:v>
                </c:pt>
                <c:pt idx="7">
                  <c:v>46043</c:v>
                </c:pt>
                <c:pt idx="8">
                  <c:v>46046</c:v>
                </c:pt>
                <c:pt idx="9">
                  <c:v>46053</c:v>
                </c:pt>
                <c:pt idx="10">
                  <c:v>46057</c:v>
                </c:pt>
                <c:pt idx="11">
                  <c:v>46060</c:v>
                </c:pt>
              </c:numCache>
            </c:numRef>
          </c:cat>
          <c:val>
            <c:numRef>
              <c:f>'LCC with UCC Fish'!$P$3:$P$14</c:f>
              <c:numCache>
                <c:formatCode>0.0000</c:formatCode>
                <c:ptCount val="12"/>
                <c:pt idx="0">
                  <c:v>6.7567567567567571E-2</c:v>
                </c:pt>
                <c:pt idx="1">
                  <c:v>2.0920502092050208E-2</c:v>
                </c:pt>
                <c:pt idx="2">
                  <c:v>1.488095238095238E-2</c:v>
                </c:pt>
                <c:pt idx="3">
                  <c:v>3.8152610441767071E-2</c:v>
                </c:pt>
                <c:pt idx="4">
                  <c:v>4.9107142857142856E-2</c:v>
                </c:pt>
                <c:pt idx="5">
                  <c:v>4.3378995433789952E-2</c:v>
                </c:pt>
                <c:pt idx="6">
                  <c:v>1.1904761904761904E-2</c:v>
                </c:pt>
                <c:pt idx="7">
                  <c:v>7.462686567164179E-3</c:v>
                </c:pt>
                <c:pt idx="8">
                  <c:v>1.9646365422396855E-3</c:v>
                </c:pt>
                <c:pt idx="9">
                  <c:v>2.0964360587002098E-3</c:v>
                </c:pt>
                <c:pt idx="10">
                  <c:v>1.6064257028112448E-2</c:v>
                </c:pt>
                <c:pt idx="11">
                  <c:v>2.012072434607646E-3</c:v>
                </c:pt>
              </c:numCache>
            </c:numRef>
          </c:val>
          <c:smooth val="0"/>
          <c:extLst>
            <c:ext xmlns:c16="http://schemas.microsoft.com/office/drawing/2014/chart" uri="{C3380CC4-5D6E-409C-BE32-E72D297353CC}">
              <c16:uniqueId val="{00000002-38A1-460B-B1FC-CF1503306929}"/>
            </c:ext>
          </c:extLst>
        </c:ser>
        <c:dLbls>
          <c:showLegendKey val="0"/>
          <c:showVal val="0"/>
          <c:showCatName val="0"/>
          <c:showSerName val="0"/>
          <c:showPercent val="0"/>
          <c:showBubbleSize val="0"/>
        </c:dLbls>
        <c:marker val="1"/>
        <c:smooth val="0"/>
        <c:axId val="129417600"/>
        <c:axId val="129419520"/>
      </c:lineChart>
      <c:dateAx>
        <c:axId val="129417600"/>
        <c:scaling>
          <c:orientation val="minMax"/>
        </c:scaling>
        <c:delete val="0"/>
        <c:axPos val="b"/>
        <c:title>
          <c:tx>
            <c:rich>
              <a:bodyPr/>
              <a:lstStyle/>
              <a:p>
                <a:pPr>
                  <a:defRPr b="0"/>
                </a:pPr>
                <a:r>
                  <a:rPr lang="en-US" b="0"/>
                  <a:t>Date</a:t>
                </a:r>
              </a:p>
            </c:rich>
          </c:tx>
          <c:overlay val="0"/>
        </c:title>
        <c:numFmt formatCode="[$-409]d\-mmm\-yy;@" sourceLinked="0"/>
        <c:majorTickMark val="out"/>
        <c:minorTickMark val="none"/>
        <c:tickLblPos val="nextTo"/>
        <c:txPr>
          <a:bodyPr rot="-4320000" vert="horz"/>
          <a:lstStyle/>
          <a:p>
            <a:pPr>
              <a:defRPr/>
            </a:pPr>
            <a:endParaRPr lang="en-US"/>
          </a:p>
        </c:txPr>
        <c:crossAx val="129419520"/>
        <c:crosses val="autoZero"/>
        <c:auto val="0"/>
        <c:lblOffset val="100"/>
        <c:baseTimeUnit val="days"/>
        <c:minorUnit val="1"/>
        <c:minorTimeUnit val="days"/>
      </c:dateAx>
      <c:valAx>
        <c:axId val="129419520"/>
        <c:scaling>
          <c:orientation val="minMax"/>
        </c:scaling>
        <c:delete val="0"/>
        <c:axPos val="l"/>
        <c:title>
          <c:tx>
            <c:rich>
              <a:bodyPr rot="-5400000" vert="horz"/>
              <a:lstStyle/>
              <a:p>
                <a:pPr>
                  <a:defRPr b="0"/>
                </a:pPr>
                <a:r>
                  <a:rPr lang="en-US" b="0"/>
                  <a:t>Bailey's efficiency</a:t>
                </a:r>
              </a:p>
            </c:rich>
          </c:tx>
          <c:layout>
            <c:manualLayout>
              <c:xMode val="edge"/>
              <c:yMode val="edge"/>
              <c:x val="3.6257335033970106E-3"/>
              <c:y val="0.33071901411541549"/>
            </c:manualLayout>
          </c:layout>
          <c:overlay val="0"/>
        </c:title>
        <c:numFmt formatCode="0.000" sourceLinked="0"/>
        <c:majorTickMark val="out"/>
        <c:minorTickMark val="none"/>
        <c:tickLblPos val="nextTo"/>
        <c:txPr>
          <a:bodyPr rot="0" vert="horz"/>
          <a:lstStyle/>
          <a:p>
            <a:pPr>
              <a:defRPr/>
            </a:pPr>
            <a:endParaRPr lang="en-US"/>
          </a:p>
        </c:txPr>
        <c:crossAx val="129417600"/>
        <c:crosses val="autoZero"/>
        <c:crossBetween val="between"/>
      </c:valAx>
      <c:spPr>
        <a:ln>
          <a:noFill/>
        </a:ln>
      </c:spPr>
    </c:plotArea>
    <c:legend>
      <c:legendPos val="r"/>
      <c:layout>
        <c:manualLayout>
          <c:xMode val="edge"/>
          <c:yMode val="edge"/>
          <c:x val="0.12113276431671063"/>
          <c:y val="7.6443552649908306E-2"/>
          <c:w val="0.34152047350229431"/>
          <c:h val="0.10338153603657757"/>
        </c:manualLayout>
      </c:layout>
      <c:overlay val="0"/>
      <c:spPr>
        <a:ln>
          <a:solidFill>
            <a:schemeClr val="tx1"/>
          </a:solidFill>
        </a:ln>
      </c:spPr>
      <c:txPr>
        <a:bodyPr/>
        <a:lstStyle/>
        <a:p>
          <a:pPr>
            <a:defRPr sz="1000"/>
          </a:pPr>
          <a:endParaRPr lang="en-US"/>
        </a:p>
      </c:txPr>
    </c:legend>
    <c:plotVisOnly val="1"/>
    <c:dispBlanksAs val="gap"/>
    <c:showDLblsOverMax val="0"/>
  </c:chart>
  <c:spPr>
    <a:ln>
      <a:noFill/>
    </a:ln>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581925818350521E-2"/>
          <c:y val="2.3421167469575246E-2"/>
          <c:w val="0.83319713277915186"/>
          <c:h val="0.76967871737811422"/>
        </c:manualLayout>
      </c:layout>
      <c:scatterChart>
        <c:scatterStyle val="lineMarker"/>
        <c:varyColors val="0"/>
        <c:ser>
          <c:idx val="0"/>
          <c:order val="0"/>
          <c:tx>
            <c:strRef>
              <c:f>'LCC Tables &amp; Figures '!$AD$1</c:f>
              <c:strCache>
                <c:ptCount val="1"/>
                <c:pt idx="0">
                  <c:v>Lower clip</c:v>
                </c:pt>
              </c:strCache>
            </c:strRef>
          </c:tx>
          <c:spPr>
            <a:ln>
              <a:noFill/>
            </a:ln>
          </c:spPr>
          <c:marker>
            <c:symbol val="triangle"/>
            <c:size val="6"/>
            <c:spPr>
              <a:solidFill>
                <a:schemeClr val="bg1"/>
              </a:solidFill>
              <a:ln w="0">
                <a:solidFill>
                  <a:schemeClr val="tx1"/>
                </a:solidFill>
              </a:ln>
            </c:spPr>
          </c:marker>
          <c:xVal>
            <c:numRef>
              <c:f>'LCC Tables &amp; Figures '!$AB$2:$AB$8</c:f>
              <c:numCache>
                <c:formatCode>mm/dd/yy;@</c:formatCode>
                <c:ptCount val="7"/>
                <c:pt idx="0">
                  <c:v>43112</c:v>
                </c:pt>
                <c:pt idx="1">
                  <c:v>43116</c:v>
                </c:pt>
                <c:pt idx="2">
                  <c:v>43122</c:v>
                </c:pt>
                <c:pt idx="3">
                  <c:v>43132</c:v>
                </c:pt>
                <c:pt idx="4">
                  <c:v>43138</c:v>
                </c:pt>
                <c:pt idx="5">
                  <c:v>43145</c:v>
                </c:pt>
                <c:pt idx="6">
                  <c:v>43176</c:v>
                </c:pt>
              </c:numCache>
            </c:numRef>
          </c:xVal>
          <c:yVal>
            <c:numRef>
              <c:f>'LCC Tables &amp; Figures '!$AD$2:$AD$8</c:f>
              <c:numCache>
                <c:formatCode>General</c:formatCode>
                <c:ptCount val="7"/>
              </c:numCache>
            </c:numRef>
          </c:yVal>
          <c:smooth val="0"/>
          <c:extLst>
            <c:ext xmlns:c16="http://schemas.microsoft.com/office/drawing/2014/chart" uri="{C3380CC4-5D6E-409C-BE32-E72D297353CC}">
              <c16:uniqueId val="{00000000-EA0B-48B6-BDF2-C437631DC68B}"/>
            </c:ext>
          </c:extLst>
        </c:ser>
        <c:ser>
          <c:idx val="1"/>
          <c:order val="1"/>
          <c:tx>
            <c:strRef>
              <c:f>'LCC Tables &amp; Figures '!$AC$1</c:f>
              <c:strCache>
                <c:ptCount val="1"/>
                <c:pt idx="0">
                  <c:v>Upper clip</c:v>
                </c:pt>
              </c:strCache>
            </c:strRef>
          </c:tx>
          <c:spPr>
            <a:ln w="19050">
              <a:noFill/>
            </a:ln>
          </c:spPr>
          <c:marker>
            <c:symbol val="square"/>
            <c:size val="6"/>
            <c:spPr>
              <a:solidFill>
                <a:schemeClr val="bg1"/>
              </a:solidFill>
              <a:ln w="0">
                <a:solidFill>
                  <a:schemeClr val="tx1"/>
                </a:solidFill>
              </a:ln>
            </c:spPr>
          </c:marker>
          <c:xVal>
            <c:numRef>
              <c:f>'LCC Tables &amp; Figures '!$AB$2:$AB$8</c:f>
              <c:numCache>
                <c:formatCode>mm/dd/yy;@</c:formatCode>
                <c:ptCount val="7"/>
                <c:pt idx="0">
                  <c:v>43112</c:v>
                </c:pt>
                <c:pt idx="1">
                  <c:v>43116</c:v>
                </c:pt>
                <c:pt idx="2">
                  <c:v>43122</c:v>
                </c:pt>
                <c:pt idx="3">
                  <c:v>43132</c:v>
                </c:pt>
                <c:pt idx="4">
                  <c:v>43138</c:v>
                </c:pt>
                <c:pt idx="5">
                  <c:v>43145</c:v>
                </c:pt>
                <c:pt idx="6">
                  <c:v>43176</c:v>
                </c:pt>
              </c:numCache>
            </c:numRef>
          </c:xVal>
          <c:yVal>
            <c:numRef>
              <c:f>'LCC Tables &amp; Figures '!$AC$2:$AC$8</c:f>
              <c:numCache>
                <c:formatCode>General</c:formatCode>
                <c:ptCount val="7"/>
              </c:numCache>
            </c:numRef>
          </c:yVal>
          <c:smooth val="0"/>
          <c:extLst>
            <c:ext xmlns:c16="http://schemas.microsoft.com/office/drawing/2014/chart" uri="{C3380CC4-5D6E-409C-BE32-E72D297353CC}">
              <c16:uniqueId val="{00000001-EA0B-48B6-BDF2-C437631DC68B}"/>
            </c:ext>
          </c:extLst>
        </c:ser>
        <c:ser>
          <c:idx val="6"/>
          <c:order val="2"/>
          <c:tx>
            <c:strRef>
              <c:f>'LCC Tables &amp; Figures '!$AE$1</c:f>
              <c:strCache>
                <c:ptCount val="1"/>
                <c:pt idx="0">
                  <c:v>No clip</c:v>
                </c:pt>
              </c:strCache>
            </c:strRef>
          </c:tx>
          <c:spPr>
            <a:ln w="19050">
              <a:noFill/>
            </a:ln>
          </c:spPr>
          <c:marker>
            <c:symbol val="diamond"/>
            <c:size val="6"/>
            <c:spPr>
              <a:solidFill>
                <a:schemeClr val="bg1"/>
              </a:solidFill>
              <a:ln w="0">
                <a:solidFill>
                  <a:schemeClr val="tx1"/>
                </a:solidFill>
              </a:ln>
            </c:spPr>
          </c:marker>
          <c:xVal>
            <c:numRef>
              <c:f>'LCC Tables &amp; Figures '!$AB$2:$AB$8</c:f>
              <c:numCache>
                <c:formatCode>mm/dd/yy;@</c:formatCode>
                <c:ptCount val="7"/>
                <c:pt idx="0">
                  <c:v>43112</c:v>
                </c:pt>
                <c:pt idx="1">
                  <c:v>43116</c:v>
                </c:pt>
                <c:pt idx="2">
                  <c:v>43122</c:v>
                </c:pt>
                <c:pt idx="3">
                  <c:v>43132</c:v>
                </c:pt>
                <c:pt idx="4">
                  <c:v>43138</c:v>
                </c:pt>
                <c:pt idx="5">
                  <c:v>43145</c:v>
                </c:pt>
                <c:pt idx="6">
                  <c:v>43176</c:v>
                </c:pt>
              </c:numCache>
            </c:numRef>
          </c:xVal>
          <c:yVal>
            <c:numRef>
              <c:f>'LCC Tables &amp; Figures '!$AE$2:$AE$8</c:f>
              <c:numCache>
                <c:formatCode>0.0000</c:formatCode>
                <c:ptCount val="7"/>
                <c:pt idx="0">
                  <c:v>3.6630036630036632E-2</c:v>
                </c:pt>
                <c:pt idx="1">
                  <c:v>4.9019607843137254E-2</c:v>
                </c:pt>
                <c:pt idx="2">
                  <c:v>4.3564356435643561E-2</c:v>
                </c:pt>
                <c:pt idx="3">
                  <c:v>6.2626262626262627E-2</c:v>
                </c:pt>
                <c:pt idx="4">
                  <c:v>2.4144869215291749E-2</c:v>
                </c:pt>
                <c:pt idx="5">
                  <c:v>5.4878048780487805E-2</c:v>
                </c:pt>
                <c:pt idx="6">
                  <c:v>4.0948275862068964E-2</c:v>
                </c:pt>
              </c:numCache>
            </c:numRef>
          </c:yVal>
          <c:smooth val="0"/>
          <c:extLst>
            <c:ext xmlns:c16="http://schemas.microsoft.com/office/drawing/2014/chart" uri="{C3380CC4-5D6E-409C-BE32-E72D297353CC}">
              <c16:uniqueId val="{00000002-EA0B-48B6-BDF2-C437631DC68B}"/>
            </c:ext>
          </c:extLst>
        </c:ser>
        <c:ser>
          <c:idx val="2"/>
          <c:order val="3"/>
          <c:tx>
            <c:strRef>
              <c:f>'LCC Tables &amp; Figures '!$AF$1</c:f>
              <c:strCache>
                <c:ptCount val="1"/>
                <c:pt idx="0">
                  <c:v>Trial efficiency</c:v>
                </c:pt>
              </c:strCache>
            </c:strRef>
          </c:tx>
          <c:spPr>
            <a:ln w="12700">
              <a:solidFill>
                <a:schemeClr val="tx1"/>
              </a:solidFill>
            </a:ln>
          </c:spPr>
          <c:marker>
            <c:symbol val="none"/>
          </c:marker>
          <c:xVal>
            <c:numRef>
              <c:f>'LCC Tables &amp; Figures '!$AB$2:$AB$8</c:f>
              <c:numCache>
                <c:formatCode>mm/dd/yy;@</c:formatCode>
                <c:ptCount val="7"/>
                <c:pt idx="0">
                  <c:v>43112</c:v>
                </c:pt>
                <c:pt idx="1">
                  <c:v>43116</c:v>
                </c:pt>
                <c:pt idx="2">
                  <c:v>43122</c:v>
                </c:pt>
                <c:pt idx="3">
                  <c:v>43132</c:v>
                </c:pt>
                <c:pt idx="4">
                  <c:v>43138</c:v>
                </c:pt>
                <c:pt idx="5">
                  <c:v>43145</c:v>
                </c:pt>
                <c:pt idx="6">
                  <c:v>43176</c:v>
                </c:pt>
              </c:numCache>
            </c:numRef>
          </c:xVal>
          <c:yVal>
            <c:numRef>
              <c:f>'LCC Tables &amp; Figures '!$AF$2:$AF$8</c:f>
              <c:numCache>
                <c:formatCode>0.0000</c:formatCode>
                <c:ptCount val="7"/>
                <c:pt idx="0">
                  <c:v>3.6630036630036632E-2</c:v>
                </c:pt>
                <c:pt idx="1">
                  <c:v>4.9019607843137254E-2</c:v>
                </c:pt>
                <c:pt idx="2">
                  <c:v>4.3564356435643561E-2</c:v>
                </c:pt>
                <c:pt idx="3">
                  <c:v>6.2626262626262627E-2</c:v>
                </c:pt>
                <c:pt idx="4">
                  <c:v>2.4144869215291749E-2</c:v>
                </c:pt>
                <c:pt idx="5">
                  <c:v>5.4878048780487805E-2</c:v>
                </c:pt>
                <c:pt idx="6">
                  <c:v>4.0948275862068964E-2</c:v>
                </c:pt>
              </c:numCache>
            </c:numRef>
          </c:yVal>
          <c:smooth val="0"/>
          <c:extLst>
            <c:ext xmlns:c16="http://schemas.microsoft.com/office/drawing/2014/chart" uri="{C3380CC4-5D6E-409C-BE32-E72D297353CC}">
              <c16:uniqueId val="{00000003-EA0B-48B6-BDF2-C437631DC68B}"/>
            </c:ext>
          </c:extLst>
        </c:ser>
        <c:ser>
          <c:idx val="3"/>
          <c:order val="4"/>
          <c:tx>
            <c:strRef>
              <c:f>'LCC Tables &amp; Figures '!$X$1</c:f>
              <c:strCache>
                <c:ptCount val="1"/>
                <c:pt idx="0">
                  <c:v>Season average</c:v>
                </c:pt>
              </c:strCache>
            </c:strRef>
          </c:tx>
          <c:spPr>
            <a:ln w="12700">
              <a:solidFill>
                <a:schemeClr val="tx1"/>
              </a:solidFill>
              <a:prstDash val="dash"/>
            </a:ln>
          </c:spPr>
          <c:marker>
            <c:symbol val="none"/>
          </c:marker>
          <c:xVal>
            <c:numRef>
              <c:f>'LCC Tables &amp; Figures '!$W$2:$W$73</c:f>
              <c:numCache>
                <c:formatCode>mm/dd/yy;@</c:formatCode>
                <c:ptCount val="72"/>
                <c:pt idx="0">
                  <c:v>43111</c:v>
                </c:pt>
                <c:pt idx="1">
                  <c:v>43112</c:v>
                </c:pt>
                <c:pt idx="2">
                  <c:v>43113</c:v>
                </c:pt>
                <c:pt idx="3">
                  <c:v>43114</c:v>
                </c:pt>
                <c:pt idx="4">
                  <c:v>43115</c:v>
                </c:pt>
                <c:pt idx="5">
                  <c:v>43116</c:v>
                </c:pt>
                <c:pt idx="6">
                  <c:v>43117</c:v>
                </c:pt>
                <c:pt idx="7">
                  <c:v>43118</c:v>
                </c:pt>
                <c:pt idx="8">
                  <c:v>43119</c:v>
                </c:pt>
                <c:pt idx="9">
                  <c:v>43120</c:v>
                </c:pt>
                <c:pt idx="10">
                  <c:v>43121</c:v>
                </c:pt>
                <c:pt idx="11">
                  <c:v>43122</c:v>
                </c:pt>
                <c:pt idx="12">
                  <c:v>43123</c:v>
                </c:pt>
                <c:pt idx="13">
                  <c:v>43124</c:v>
                </c:pt>
                <c:pt idx="14">
                  <c:v>43125</c:v>
                </c:pt>
                <c:pt idx="15">
                  <c:v>43126</c:v>
                </c:pt>
                <c:pt idx="16">
                  <c:v>43127</c:v>
                </c:pt>
                <c:pt idx="17">
                  <c:v>43128</c:v>
                </c:pt>
                <c:pt idx="18">
                  <c:v>43129</c:v>
                </c:pt>
                <c:pt idx="19">
                  <c:v>43130</c:v>
                </c:pt>
                <c:pt idx="20">
                  <c:v>43131</c:v>
                </c:pt>
                <c:pt idx="21">
                  <c:v>43132</c:v>
                </c:pt>
                <c:pt idx="22">
                  <c:v>43133</c:v>
                </c:pt>
                <c:pt idx="23">
                  <c:v>43134</c:v>
                </c:pt>
                <c:pt idx="24">
                  <c:v>43135</c:v>
                </c:pt>
                <c:pt idx="25">
                  <c:v>43136</c:v>
                </c:pt>
                <c:pt idx="26">
                  <c:v>43137</c:v>
                </c:pt>
                <c:pt idx="27">
                  <c:v>43138</c:v>
                </c:pt>
                <c:pt idx="28">
                  <c:v>43139</c:v>
                </c:pt>
                <c:pt idx="29">
                  <c:v>43140</c:v>
                </c:pt>
                <c:pt idx="30">
                  <c:v>43141</c:v>
                </c:pt>
                <c:pt idx="31">
                  <c:v>43142</c:v>
                </c:pt>
                <c:pt idx="32">
                  <c:v>43143</c:v>
                </c:pt>
                <c:pt idx="33">
                  <c:v>43144</c:v>
                </c:pt>
                <c:pt idx="34">
                  <c:v>43145</c:v>
                </c:pt>
                <c:pt idx="35">
                  <c:v>43146</c:v>
                </c:pt>
                <c:pt idx="36">
                  <c:v>43147</c:v>
                </c:pt>
                <c:pt idx="37">
                  <c:v>43148</c:v>
                </c:pt>
                <c:pt idx="38">
                  <c:v>43149</c:v>
                </c:pt>
                <c:pt idx="39">
                  <c:v>43150</c:v>
                </c:pt>
                <c:pt idx="40">
                  <c:v>43151</c:v>
                </c:pt>
                <c:pt idx="41">
                  <c:v>43152</c:v>
                </c:pt>
                <c:pt idx="42">
                  <c:v>43153</c:v>
                </c:pt>
                <c:pt idx="43">
                  <c:v>43154</c:v>
                </c:pt>
                <c:pt idx="44">
                  <c:v>43155</c:v>
                </c:pt>
                <c:pt idx="45">
                  <c:v>43156</c:v>
                </c:pt>
                <c:pt idx="46">
                  <c:v>43157</c:v>
                </c:pt>
                <c:pt idx="47">
                  <c:v>43158</c:v>
                </c:pt>
                <c:pt idx="48">
                  <c:v>43159</c:v>
                </c:pt>
                <c:pt idx="49">
                  <c:v>43160</c:v>
                </c:pt>
                <c:pt idx="50">
                  <c:v>43161</c:v>
                </c:pt>
                <c:pt idx="51">
                  <c:v>43162</c:v>
                </c:pt>
                <c:pt idx="52">
                  <c:v>43163</c:v>
                </c:pt>
                <c:pt idx="53">
                  <c:v>43164</c:v>
                </c:pt>
                <c:pt idx="54">
                  <c:v>43165</c:v>
                </c:pt>
                <c:pt idx="55">
                  <c:v>43166</c:v>
                </c:pt>
                <c:pt idx="56">
                  <c:v>43167</c:v>
                </c:pt>
                <c:pt idx="57">
                  <c:v>43168</c:v>
                </c:pt>
                <c:pt idx="58">
                  <c:v>43169</c:v>
                </c:pt>
                <c:pt idx="59">
                  <c:v>43170</c:v>
                </c:pt>
                <c:pt idx="60">
                  <c:v>43171</c:v>
                </c:pt>
                <c:pt idx="61">
                  <c:v>43172</c:v>
                </c:pt>
                <c:pt idx="62">
                  <c:v>43173</c:v>
                </c:pt>
                <c:pt idx="63">
                  <c:v>43174</c:v>
                </c:pt>
                <c:pt idx="64">
                  <c:v>43175</c:v>
                </c:pt>
                <c:pt idx="65">
                  <c:v>43176</c:v>
                </c:pt>
                <c:pt idx="66">
                  <c:v>43177</c:v>
                </c:pt>
                <c:pt idx="67">
                  <c:v>43178</c:v>
                </c:pt>
                <c:pt idx="68">
                  <c:v>43179</c:v>
                </c:pt>
                <c:pt idx="69">
                  <c:v>43180</c:v>
                </c:pt>
                <c:pt idx="70">
                  <c:v>43181</c:v>
                </c:pt>
                <c:pt idx="71">
                  <c:v>43182</c:v>
                </c:pt>
              </c:numCache>
            </c:numRef>
          </c:xVal>
          <c:yVal>
            <c:numRef>
              <c:f>'LCC Tables &amp; Figures '!$X$2:$X$73</c:f>
              <c:numCache>
                <c:formatCode>0.0000</c:formatCode>
                <c:ptCount val="72"/>
                <c:pt idx="0">
                  <c:v>4.3383947939262472E-2</c:v>
                </c:pt>
                <c:pt idx="1">
                  <c:v>4.3383947939262472E-2</c:v>
                </c:pt>
                <c:pt idx="2">
                  <c:v>4.3383947939262472E-2</c:v>
                </c:pt>
                <c:pt idx="3">
                  <c:v>4.3383947939262472E-2</c:v>
                </c:pt>
                <c:pt idx="4">
                  <c:v>4.3383947939262472E-2</c:v>
                </c:pt>
                <c:pt idx="5">
                  <c:v>4.3383947939262472E-2</c:v>
                </c:pt>
                <c:pt idx="6">
                  <c:v>4.3383947939262472E-2</c:v>
                </c:pt>
                <c:pt idx="7">
                  <c:v>4.3383947939262472E-2</c:v>
                </c:pt>
                <c:pt idx="8">
                  <c:v>4.3383947939262472E-2</c:v>
                </c:pt>
                <c:pt idx="9">
                  <c:v>4.3383947939262472E-2</c:v>
                </c:pt>
                <c:pt idx="10">
                  <c:v>4.3383947939262472E-2</c:v>
                </c:pt>
                <c:pt idx="11">
                  <c:v>4.3383947939262472E-2</c:v>
                </c:pt>
                <c:pt idx="12">
                  <c:v>4.3383947939262472E-2</c:v>
                </c:pt>
                <c:pt idx="13">
                  <c:v>4.3383947939262472E-2</c:v>
                </c:pt>
                <c:pt idx="14">
                  <c:v>4.3383947939262472E-2</c:v>
                </c:pt>
                <c:pt idx="15">
                  <c:v>4.3383947939262472E-2</c:v>
                </c:pt>
                <c:pt idx="16">
                  <c:v>4.3383947939262472E-2</c:v>
                </c:pt>
                <c:pt idx="17">
                  <c:v>4.3383947939262472E-2</c:v>
                </c:pt>
                <c:pt idx="18">
                  <c:v>4.3383947939262472E-2</c:v>
                </c:pt>
                <c:pt idx="19">
                  <c:v>4.3383947939262472E-2</c:v>
                </c:pt>
                <c:pt idx="20">
                  <c:v>4.3383947939262472E-2</c:v>
                </c:pt>
                <c:pt idx="21">
                  <c:v>4.3383947939262472E-2</c:v>
                </c:pt>
                <c:pt idx="22">
                  <c:v>4.3383947939262472E-2</c:v>
                </c:pt>
                <c:pt idx="23">
                  <c:v>4.3383947939262472E-2</c:v>
                </c:pt>
                <c:pt idx="24">
                  <c:v>4.3383947939262472E-2</c:v>
                </c:pt>
                <c:pt idx="25">
                  <c:v>4.3383947939262472E-2</c:v>
                </c:pt>
                <c:pt idx="26">
                  <c:v>4.3383947939262472E-2</c:v>
                </c:pt>
                <c:pt idx="27">
                  <c:v>4.3383947939262472E-2</c:v>
                </c:pt>
                <c:pt idx="28">
                  <c:v>4.3383947939262472E-2</c:v>
                </c:pt>
                <c:pt idx="29">
                  <c:v>4.3383947939262472E-2</c:v>
                </c:pt>
                <c:pt idx="30">
                  <c:v>4.3383947939262472E-2</c:v>
                </c:pt>
                <c:pt idx="31">
                  <c:v>4.3383947939262472E-2</c:v>
                </c:pt>
                <c:pt idx="32">
                  <c:v>4.3383947939262472E-2</c:v>
                </c:pt>
                <c:pt idx="33">
                  <c:v>4.3383947939262472E-2</c:v>
                </c:pt>
                <c:pt idx="34">
                  <c:v>4.3383947939262472E-2</c:v>
                </c:pt>
                <c:pt idx="35">
                  <c:v>4.3383947939262472E-2</c:v>
                </c:pt>
                <c:pt idx="36">
                  <c:v>4.3383947939262472E-2</c:v>
                </c:pt>
                <c:pt idx="37">
                  <c:v>4.3383947939262472E-2</c:v>
                </c:pt>
                <c:pt idx="38">
                  <c:v>4.3383947939262472E-2</c:v>
                </c:pt>
                <c:pt idx="39">
                  <c:v>4.3383947939262472E-2</c:v>
                </c:pt>
                <c:pt idx="40">
                  <c:v>4.3383947939262472E-2</c:v>
                </c:pt>
                <c:pt idx="41">
                  <c:v>4.3383947939262472E-2</c:v>
                </c:pt>
                <c:pt idx="42">
                  <c:v>4.3383947939262472E-2</c:v>
                </c:pt>
                <c:pt idx="43">
                  <c:v>4.3383947939262472E-2</c:v>
                </c:pt>
                <c:pt idx="44">
                  <c:v>4.3383947939262472E-2</c:v>
                </c:pt>
                <c:pt idx="45">
                  <c:v>4.3383947939262472E-2</c:v>
                </c:pt>
                <c:pt idx="46">
                  <c:v>4.3383947939262472E-2</c:v>
                </c:pt>
                <c:pt idx="47">
                  <c:v>4.3383947939262472E-2</c:v>
                </c:pt>
                <c:pt idx="48">
                  <c:v>4.3383947939262472E-2</c:v>
                </c:pt>
                <c:pt idx="49">
                  <c:v>4.3383947939262472E-2</c:v>
                </c:pt>
                <c:pt idx="50">
                  <c:v>4.3383947939262472E-2</c:v>
                </c:pt>
                <c:pt idx="51">
                  <c:v>4.3383947939262472E-2</c:v>
                </c:pt>
                <c:pt idx="52">
                  <c:v>4.3383947939262472E-2</c:v>
                </c:pt>
                <c:pt idx="53">
                  <c:v>4.3383947939262472E-2</c:v>
                </c:pt>
                <c:pt idx="54">
                  <c:v>4.3383947939262472E-2</c:v>
                </c:pt>
                <c:pt idx="55">
                  <c:v>4.3383947939262472E-2</c:v>
                </c:pt>
                <c:pt idx="56">
                  <c:v>4.3383947939262472E-2</c:v>
                </c:pt>
                <c:pt idx="57">
                  <c:v>4.3383947939262472E-2</c:v>
                </c:pt>
                <c:pt idx="58">
                  <c:v>4.3383947939262472E-2</c:v>
                </c:pt>
                <c:pt idx="59">
                  <c:v>4.3383947939262472E-2</c:v>
                </c:pt>
                <c:pt idx="60">
                  <c:v>4.3383947939262472E-2</c:v>
                </c:pt>
                <c:pt idx="61">
                  <c:v>4.3383947939262472E-2</c:v>
                </c:pt>
                <c:pt idx="62">
                  <c:v>4.3383947939262472E-2</c:v>
                </c:pt>
                <c:pt idx="63">
                  <c:v>4.3383947939262472E-2</c:v>
                </c:pt>
                <c:pt idx="64">
                  <c:v>4.3383947939262472E-2</c:v>
                </c:pt>
                <c:pt idx="65">
                  <c:v>4.3383947939262472E-2</c:v>
                </c:pt>
                <c:pt idx="66">
                  <c:v>4.3383947939262472E-2</c:v>
                </c:pt>
                <c:pt idx="67">
                  <c:v>4.3383947939262472E-2</c:v>
                </c:pt>
                <c:pt idx="68">
                  <c:v>4.3383947939262472E-2</c:v>
                </c:pt>
                <c:pt idx="69">
                  <c:v>4.3383947939262472E-2</c:v>
                </c:pt>
                <c:pt idx="70">
                  <c:v>4.3383947939262472E-2</c:v>
                </c:pt>
                <c:pt idx="71">
                  <c:v>4.3383947939262472E-2</c:v>
                </c:pt>
              </c:numCache>
            </c:numRef>
          </c:yVal>
          <c:smooth val="0"/>
          <c:extLst>
            <c:ext xmlns:c16="http://schemas.microsoft.com/office/drawing/2014/chart" uri="{C3380CC4-5D6E-409C-BE32-E72D297353CC}">
              <c16:uniqueId val="{00000004-EA0B-48B6-BDF2-C437631DC68B}"/>
            </c:ext>
          </c:extLst>
        </c:ser>
        <c:dLbls>
          <c:showLegendKey val="0"/>
          <c:showVal val="0"/>
          <c:showCatName val="0"/>
          <c:showSerName val="0"/>
          <c:showPercent val="0"/>
          <c:showBubbleSize val="0"/>
        </c:dLbls>
        <c:axId val="409477120"/>
        <c:axId val="409478656"/>
      </c:scatterChart>
      <c:scatterChart>
        <c:scatterStyle val="lineMarker"/>
        <c:varyColors val="0"/>
        <c:ser>
          <c:idx val="4"/>
          <c:order val="5"/>
          <c:tx>
            <c:strRef>
              <c:f>'LCC Tables &amp; Figures '!$Y$1</c:f>
              <c:strCache>
                <c:ptCount val="1"/>
                <c:pt idx="0">
                  <c:v>Number released</c:v>
                </c:pt>
              </c:strCache>
            </c:strRef>
          </c:tx>
          <c:spPr>
            <a:ln w="19050">
              <a:noFill/>
            </a:ln>
          </c:spPr>
          <c:marker>
            <c:symbol val="circle"/>
            <c:size val="5"/>
            <c:spPr>
              <a:solidFill>
                <a:schemeClr val="tx1"/>
              </a:solidFill>
              <a:ln>
                <a:solidFill>
                  <a:schemeClr val="tx1"/>
                </a:solidFill>
              </a:ln>
            </c:spPr>
          </c:marker>
          <c:xVal>
            <c:numRef>
              <c:f>'LCC Tables &amp; Figures '!$W$2:$W$73</c:f>
              <c:numCache>
                <c:formatCode>mm/dd/yy;@</c:formatCode>
                <c:ptCount val="72"/>
                <c:pt idx="0">
                  <c:v>43111</c:v>
                </c:pt>
                <c:pt idx="1">
                  <c:v>43112</c:v>
                </c:pt>
                <c:pt idx="2">
                  <c:v>43113</c:v>
                </c:pt>
                <c:pt idx="3">
                  <c:v>43114</c:v>
                </c:pt>
                <c:pt idx="4">
                  <c:v>43115</c:v>
                </c:pt>
                <c:pt idx="5">
                  <c:v>43116</c:v>
                </c:pt>
                <c:pt idx="6">
                  <c:v>43117</c:v>
                </c:pt>
                <c:pt idx="7">
                  <c:v>43118</c:v>
                </c:pt>
                <c:pt idx="8">
                  <c:v>43119</c:v>
                </c:pt>
                <c:pt idx="9">
                  <c:v>43120</c:v>
                </c:pt>
                <c:pt idx="10">
                  <c:v>43121</c:v>
                </c:pt>
                <c:pt idx="11">
                  <c:v>43122</c:v>
                </c:pt>
                <c:pt idx="12">
                  <c:v>43123</c:v>
                </c:pt>
                <c:pt idx="13">
                  <c:v>43124</c:v>
                </c:pt>
                <c:pt idx="14">
                  <c:v>43125</c:v>
                </c:pt>
                <c:pt idx="15">
                  <c:v>43126</c:v>
                </c:pt>
                <c:pt idx="16">
                  <c:v>43127</c:v>
                </c:pt>
                <c:pt idx="17">
                  <c:v>43128</c:v>
                </c:pt>
                <c:pt idx="18">
                  <c:v>43129</c:v>
                </c:pt>
                <c:pt idx="19">
                  <c:v>43130</c:v>
                </c:pt>
                <c:pt idx="20">
                  <c:v>43131</c:v>
                </c:pt>
                <c:pt idx="21">
                  <c:v>43132</c:v>
                </c:pt>
                <c:pt idx="22">
                  <c:v>43133</c:v>
                </c:pt>
                <c:pt idx="23">
                  <c:v>43134</c:v>
                </c:pt>
                <c:pt idx="24">
                  <c:v>43135</c:v>
                </c:pt>
                <c:pt idx="25">
                  <c:v>43136</c:v>
                </c:pt>
                <c:pt idx="26">
                  <c:v>43137</c:v>
                </c:pt>
                <c:pt idx="27">
                  <c:v>43138</c:v>
                </c:pt>
                <c:pt idx="28">
                  <c:v>43139</c:v>
                </c:pt>
                <c:pt idx="29">
                  <c:v>43140</c:v>
                </c:pt>
                <c:pt idx="30">
                  <c:v>43141</c:v>
                </c:pt>
                <c:pt idx="31">
                  <c:v>43142</c:v>
                </c:pt>
                <c:pt idx="32">
                  <c:v>43143</c:v>
                </c:pt>
                <c:pt idx="33">
                  <c:v>43144</c:v>
                </c:pt>
                <c:pt idx="34">
                  <c:v>43145</c:v>
                </c:pt>
                <c:pt idx="35">
                  <c:v>43146</c:v>
                </c:pt>
                <c:pt idx="36">
                  <c:v>43147</c:v>
                </c:pt>
                <c:pt idx="37">
                  <c:v>43148</c:v>
                </c:pt>
                <c:pt idx="38">
                  <c:v>43149</c:v>
                </c:pt>
                <c:pt idx="39">
                  <c:v>43150</c:v>
                </c:pt>
                <c:pt idx="40">
                  <c:v>43151</c:v>
                </c:pt>
                <c:pt idx="41">
                  <c:v>43152</c:v>
                </c:pt>
                <c:pt idx="42">
                  <c:v>43153</c:v>
                </c:pt>
                <c:pt idx="43">
                  <c:v>43154</c:v>
                </c:pt>
                <c:pt idx="44">
                  <c:v>43155</c:v>
                </c:pt>
                <c:pt idx="45">
                  <c:v>43156</c:v>
                </c:pt>
                <c:pt idx="46">
                  <c:v>43157</c:v>
                </c:pt>
                <c:pt idx="47">
                  <c:v>43158</c:v>
                </c:pt>
                <c:pt idx="48">
                  <c:v>43159</c:v>
                </c:pt>
                <c:pt idx="49">
                  <c:v>43160</c:v>
                </c:pt>
                <c:pt idx="50">
                  <c:v>43161</c:v>
                </c:pt>
                <c:pt idx="51">
                  <c:v>43162</c:v>
                </c:pt>
                <c:pt idx="52">
                  <c:v>43163</c:v>
                </c:pt>
                <c:pt idx="53">
                  <c:v>43164</c:v>
                </c:pt>
                <c:pt idx="54">
                  <c:v>43165</c:v>
                </c:pt>
                <c:pt idx="55">
                  <c:v>43166</c:v>
                </c:pt>
                <c:pt idx="56">
                  <c:v>43167</c:v>
                </c:pt>
                <c:pt idx="57">
                  <c:v>43168</c:v>
                </c:pt>
                <c:pt idx="58">
                  <c:v>43169</c:v>
                </c:pt>
                <c:pt idx="59">
                  <c:v>43170</c:v>
                </c:pt>
                <c:pt idx="60">
                  <c:v>43171</c:v>
                </c:pt>
                <c:pt idx="61">
                  <c:v>43172</c:v>
                </c:pt>
                <c:pt idx="62">
                  <c:v>43173</c:v>
                </c:pt>
                <c:pt idx="63">
                  <c:v>43174</c:v>
                </c:pt>
                <c:pt idx="64">
                  <c:v>43175</c:v>
                </c:pt>
                <c:pt idx="65">
                  <c:v>43176</c:v>
                </c:pt>
                <c:pt idx="66">
                  <c:v>43177</c:v>
                </c:pt>
                <c:pt idx="67">
                  <c:v>43178</c:v>
                </c:pt>
                <c:pt idx="68">
                  <c:v>43179</c:v>
                </c:pt>
                <c:pt idx="69">
                  <c:v>43180</c:v>
                </c:pt>
                <c:pt idx="70">
                  <c:v>43181</c:v>
                </c:pt>
                <c:pt idx="71">
                  <c:v>43182</c:v>
                </c:pt>
              </c:numCache>
            </c:numRef>
          </c:xVal>
          <c:yVal>
            <c:numRef>
              <c:f>'LCC Tables &amp; Figures '!$Y$2:$Y$73</c:f>
              <c:numCache>
                <c:formatCode>General</c:formatCode>
                <c:ptCount val="72"/>
                <c:pt idx="1">
                  <c:v>272</c:v>
                </c:pt>
                <c:pt idx="5">
                  <c:v>509</c:v>
                </c:pt>
                <c:pt idx="11">
                  <c:v>504</c:v>
                </c:pt>
                <c:pt idx="21">
                  <c:v>494</c:v>
                </c:pt>
                <c:pt idx="27">
                  <c:v>496</c:v>
                </c:pt>
                <c:pt idx="34">
                  <c:v>491</c:v>
                </c:pt>
                <c:pt idx="65">
                  <c:v>463</c:v>
                </c:pt>
              </c:numCache>
            </c:numRef>
          </c:yVal>
          <c:smooth val="0"/>
          <c:extLst>
            <c:ext xmlns:c16="http://schemas.microsoft.com/office/drawing/2014/chart" uri="{C3380CC4-5D6E-409C-BE32-E72D297353CC}">
              <c16:uniqueId val="{00000005-EA0B-48B6-BDF2-C437631DC68B}"/>
            </c:ext>
          </c:extLst>
        </c:ser>
        <c:ser>
          <c:idx val="5"/>
          <c:order val="6"/>
          <c:tx>
            <c:strRef>
              <c:f>'LCC Tables &amp; Figures '!$Z$1</c:f>
              <c:strCache>
                <c:ptCount val="1"/>
                <c:pt idx="0">
                  <c:v>Mean daily flow</c:v>
                </c:pt>
              </c:strCache>
            </c:strRef>
          </c:tx>
          <c:spPr>
            <a:ln w="12700">
              <a:solidFill>
                <a:schemeClr val="tx1"/>
              </a:solidFill>
              <a:prstDash val="sysDot"/>
            </a:ln>
          </c:spPr>
          <c:marker>
            <c:symbol val="none"/>
          </c:marker>
          <c:xVal>
            <c:numRef>
              <c:f>'LCC Tables &amp; Figures '!$W$2:$W$73</c:f>
              <c:numCache>
                <c:formatCode>mm/dd/yy;@</c:formatCode>
                <c:ptCount val="72"/>
                <c:pt idx="0">
                  <c:v>43111</c:v>
                </c:pt>
                <c:pt idx="1">
                  <c:v>43112</c:v>
                </c:pt>
                <c:pt idx="2">
                  <c:v>43113</c:v>
                </c:pt>
                <c:pt idx="3">
                  <c:v>43114</c:v>
                </c:pt>
                <c:pt idx="4">
                  <c:v>43115</c:v>
                </c:pt>
                <c:pt idx="5">
                  <c:v>43116</c:v>
                </c:pt>
                <c:pt idx="6">
                  <c:v>43117</c:v>
                </c:pt>
                <c:pt idx="7">
                  <c:v>43118</c:v>
                </c:pt>
                <c:pt idx="8">
                  <c:v>43119</c:v>
                </c:pt>
                <c:pt idx="9">
                  <c:v>43120</c:v>
                </c:pt>
                <c:pt idx="10">
                  <c:v>43121</c:v>
                </c:pt>
                <c:pt idx="11">
                  <c:v>43122</c:v>
                </c:pt>
                <c:pt idx="12">
                  <c:v>43123</c:v>
                </c:pt>
                <c:pt idx="13">
                  <c:v>43124</c:v>
                </c:pt>
                <c:pt idx="14">
                  <c:v>43125</c:v>
                </c:pt>
                <c:pt idx="15">
                  <c:v>43126</c:v>
                </c:pt>
                <c:pt idx="16">
                  <c:v>43127</c:v>
                </c:pt>
                <c:pt idx="17">
                  <c:v>43128</c:v>
                </c:pt>
                <c:pt idx="18">
                  <c:v>43129</c:v>
                </c:pt>
                <c:pt idx="19">
                  <c:v>43130</c:v>
                </c:pt>
                <c:pt idx="20">
                  <c:v>43131</c:v>
                </c:pt>
                <c:pt idx="21">
                  <c:v>43132</c:v>
                </c:pt>
                <c:pt idx="22">
                  <c:v>43133</c:v>
                </c:pt>
                <c:pt idx="23">
                  <c:v>43134</c:v>
                </c:pt>
                <c:pt idx="24">
                  <c:v>43135</c:v>
                </c:pt>
                <c:pt idx="25">
                  <c:v>43136</c:v>
                </c:pt>
                <c:pt idx="26">
                  <c:v>43137</c:v>
                </c:pt>
                <c:pt idx="27">
                  <c:v>43138</c:v>
                </c:pt>
                <c:pt idx="28">
                  <c:v>43139</c:v>
                </c:pt>
                <c:pt idx="29">
                  <c:v>43140</c:v>
                </c:pt>
                <c:pt idx="30">
                  <c:v>43141</c:v>
                </c:pt>
                <c:pt idx="31">
                  <c:v>43142</c:v>
                </c:pt>
                <c:pt idx="32">
                  <c:v>43143</c:v>
                </c:pt>
                <c:pt idx="33">
                  <c:v>43144</c:v>
                </c:pt>
                <c:pt idx="34">
                  <c:v>43145</c:v>
                </c:pt>
                <c:pt idx="35">
                  <c:v>43146</c:v>
                </c:pt>
                <c:pt idx="36">
                  <c:v>43147</c:v>
                </c:pt>
                <c:pt idx="37">
                  <c:v>43148</c:v>
                </c:pt>
                <c:pt idx="38">
                  <c:v>43149</c:v>
                </c:pt>
                <c:pt idx="39">
                  <c:v>43150</c:v>
                </c:pt>
                <c:pt idx="40">
                  <c:v>43151</c:v>
                </c:pt>
                <c:pt idx="41">
                  <c:v>43152</c:v>
                </c:pt>
                <c:pt idx="42">
                  <c:v>43153</c:v>
                </c:pt>
                <c:pt idx="43">
                  <c:v>43154</c:v>
                </c:pt>
                <c:pt idx="44">
                  <c:v>43155</c:v>
                </c:pt>
                <c:pt idx="45">
                  <c:v>43156</c:v>
                </c:pt>
                <c:pt idx="46">
                  <c:v>43157</c:v>
                </c:pt>
                <c:pt idx="47">
                  <c:v>43158</c:v>
                </c:pt>
                <c:pt idx="48">
                  <c:v>43159</c:v>
                </c:pt>
                <c:pt idx="49">
                  <c:v>43160</c:v>
                </c:pt>
                <c:pt idx="50">
                  <c:v>43161</c:v>
                </c:pt>
                <c:pt idx="51">
                  <c:v>43162</c:v>
                </c:pt>
                <c:pt idx="52">
                  <c:v>43163</c:v>
                </c:pt>
                <c:pt idx="53">
                  <c:v>43164</c:v>
                </c:pt>
                <c:pt idx="54">
                  <c:v>43165</c:v>
                </c:pt>
                <c:pt idx="55">
                  <c:v>43166</c:v>
                </c:pt>
                <c:pt idx="56">
                  <c:v>43167</c:v>
                </c:pt>
                <c:pt idx="57">
                  <c:v>43168</c:v>
                </c:pt>
                <c:pt idx="58">
                  <c:v>43169</c:v>
                </c:pt>
                <c:pt idx="59">
                  <c:v>43170</c:v>
                </c:pt>
                <c:pt idx="60">
                  <c:v>43171</c:v>
                </c:pt>
                <c:pt idx="61">
                  <c:v>43172</c:v>
                </c:pt>
                <c:pt idx="62">
                  <c:v>43173</c:v>
                </c:pt>
                <c:pt idx="63">
                  <c:v>43174</c:v>
                </c:pt>
                <c:pt idx="64">
                  <c:v>43175</c:v>
                </c:pt>
                <c:pt idx="65">
                  <c:v>43176</c:v>
                </c:pt>
                <c:pt idx="66">
                  <c:v>43177</c:v>
                </c:pt>
                <c:pt idx="67">
                  <c:v>43178</c:v>
                </c:pt>
                <c:pt idx="68">
                  <c:v>43179</c:v>
                </c:pt>
                <c:pt idx="69">
                  <c:v>43180</c:v>
                </c:pt>
                <c:pt idx="70">
                  <c:v>43181</c:v>
                </c:pt>
                <c:pt idx="71">
                  <c:v>43182</c:v>
                </c:pt>
              </c:numCache>
            </c:numRef>
          </c:xVal>
          <c:yVal>
            <c:numRef>
              <c:f>'LCC Tables &amp; Figures '!$Z$2:$Z$73</c:f>
              <c:numCache>
                <c:formatCode>#,##0</c:formatCode>
                <c:ptCount val="72"/>
              </c:numCache>
            </c:numRef>
          </c:yVal>
          <c:smooth val="0"/>
          <c:extLst>
            <c:ext xmlns:c16="http://schemas.microsoft.com/office/drawing/2014/chart" uri="{C3380CC4-5D6E-409C-BE32-E72D297353CC}">
              <c16:uniqueId val="{00000006-EA0B-48B6-BDF2-C437631DC68B}"/>
            </c:ext>
          </c:extLst>
        </c:ser>
        <c:dLbls>
          <c:showLegendKey val="0"/>
          <c:showVal val="0"/>
          <c:showCatName val="0"/>
          <c:showSerName val="0"/>
          <c:showPercent val="0"/>
          <c:showBubbleSize val="0"/>
        </c:dLbls>
        <c:axId val="409966464"/>
        <c:axId val="409936640"/>
      </c:scatterChart>
      <c:valAx>
        <c:axId val="409477120"/>
        <c:scaling>
          <c:orientation val="minMax"/>
        </c:scaling>
        <c:delete val="0"/>
        <c:axPos val="b"/>
        <c:title>
          <c:tx>
            <c:rich>
              <a:bodyPr/>
              <a:lstStyle/>
              <a:p>
                <a:pPr>
                  <a:defRPr b="0"/>
                </a:pPr>
                <a:r>
                  <a:rPr lang="en-US" b="0"/>
                  <a:t>Date</a:t>
                </a:r>
              </a:p>
            </c:rich>
          </c:tx>
          <c:overlay val="0"/>
        </c:title>
        <c:numFmt formatCode="[$-409]d\-mmm\-yy;@" sourceLinked="0"/>
        <c:majorTickMark val="out"/>
        <c:minorTickMark val="none"/>
        <c:tickLblPos val="nextTo"/>
        <c:spPr>
          <a:ln>
            <a:solidFill>
              <a:schemeClr val="tx1"/>
            </a:solidFill>
          </a:ln>
        </c:spPr>
        <c:txPr>
          <a:bodyPr rot="-4320000"/>
          <a:lstStyle/>
          <a:p>
            <a:pPr>
              <a:defRPr/>
            </a:pPr>
            <a:endParaRPr lang="en-US"/>
          </a:p>
        </c:txPr>
        <c:crossAx val="409478656"/>
        <c:crosses val="autoZero"/>
        <c:crossBetween val="midCat"/>
        <c:majorUnit val="7"/>
      </c:valAx>
      <c:valAx>
        <c:axId val="409478656"/>
        <c:scaling>
          <c:orientation val="minMax"/>
        </c:scaling>
        <c:delete val="0"/>
        <c:axPos val="l"/>
        <c:majorGridlines>
          <c:spPr>
            <a:ln>
              <a:noFill/>
            </a:ln>
          </c:spPr>
        </c:majorGridlines>
        <c:title>
          <c:tx>
            <c:rich>
              <a:bodyPr rot="-5400000" vert="horz"/>
              <a:lstStyle/>
              <a:p>
                <a:pPr>
                  <a:defRPr b="0"/>
                </a:pPr>
                <a:r>
                  <a:rPr lang="en-US" b="0"/>
                  <a:t>Efficiency</a:t>
                </a:r>
              </a:p>
            </c:rich>
          </c:tx>
          <c:layout>
            <c:manualLayout>
              <c:xMode val="edge"/>
              <c:yMode val="edge"/>
              <c:x val="7.3639430056076163E-4"/>
              <c:y val="0.3671309357404916"/>
            </c:manualLayout>
          </c:layout>
          <c:overlay val="0"/>
        </c:title>
        <c:numFmt formatCode="General" sourceLinked="1"/>
        <c:majorTickMark val="out"/>
        <c:minorTickMark val="none"/>
        <c:tickLblPos val="nextTo"/>
        <c:spPr>
          <a:ln>
            <a:solidFill>
              <a:schemeClr val="tx1"/>
            </a:solidFill>
          </a:ln>
        </c:spPr>
        <c:crossAx val="409477120"/>
        <c:crosses val="autoZero"/>
        <c:crossBetween val="midCat"/>
      </c:valAx>
      <c:valAx>
        <c:axId val="409936640"/>
        <c:scaling>
          <c:orientation val="minMax"/>
        </c:scaling>
        <c:delete val="0"/>
        <c:axPos val="r"/>
        <c:title>
          <c:tx>
            <c:rich>
              <a:bodyPr rot="-5400000" vert="horz"/>
              <a:lstStyle/>
              <a:p>
                <a:pPr>
                  <a:defRPr b="0"/>
                </a:pPr>
                <a:r>
                  <a:rPr lang="en-US" b="0"/>
                  <a:t>Number of fish released and mean daily flow (cfs)</a:t>
                </a:r>
              </a:p>
            </c:rich>
          </c:tx>
          <c:layout>
            <c:manualLayout>
              <c:xMode val="edge"/>
              <c:yMode val="edge"/>
              <c:x val="0.97498670014951305"/>
              <c:y val="0.10447021145273998"/>
            </c:manualLayout>
          </c:layout>
          <c:overlay val="0"/>
        </c:title>
        <c:numFmt formatCode="#,##0" sourceLinked="0"/>
        <c:majorTickMark val="out"/>
        <c:minorTickMark val="none"/>
        <c:tickLblPos val="nextTo"/>
        <c:spPr>
          <a:ln>
            <a:solidFill>
              <a:schemeClr val="tx1"/>
            </a:solidFill>
          </a:ln>
        </c:spPr>
        <c:crossAx val="409966464"/>
        <c:crosses val="max"/>
        <c:crossBetween val="midCat"/>
      </c:valAx>
      <c:valAx>
        <c:axId val="409966464"/>
        <c:scaling>
          <c:orientation val="minMax"/>
        </c:scaling>
        <c:delete val="1"/>
        <c:axPos val="b"/>
        <c:numFmt formatCode="mm/dd/yy;@" sourceLinked="1"/>
        <c:majorTickMark val="out"/>
        <c:minorTickMark val="none"/>
        <c:tickLblPos val="nextTo"/>
        <c:crossAx val="409936640"/>
        <c:crosses val="autoZero"/>
        <c:crossBetween val="midCat"/>
      </c:valAx>
      <c:spPr>
        <a:ln>
          <a:noFill/>
        </a:ln>
      </c:spPr>
    </c:plotArea>
    <c:legend>
      <c:legendPos val="l"/>
      <c:layout>
        <c:manualLayout>
          <c:xMode val="edge"/>
          <c:yMode val="edge"/>
          <c:x val="8.5654869510187304E-2"/>
          <c:y val="0.72412766401810347"/>
          <c:w val="0.81472256890078953"/>
          <c:h val="5.2223077457033758E-2"/>
        </c:manualLayout>
      </c:layout>
      <c:overlay val="1"/>
      <c:spPr>
        <a:ln w="6350">
          <a:solidFill>
            <a:schemeClr val="tx1"/>
          </a:solidFill>
        </a:ln>
      </c:spPr>
      <c:txPr>
        <a:bodyPr/>
        <a:lstStyle/>
        <a:p>
          <a:pPr>
            <a:defRPr sz="1000"/>
          </a:pPr>
          <a:endParaRPr lang="en-US"/>
        </a:p>
      </c:txPr>
    </c:legend>
    <c:plotVisOnly val="1"/>
    <c:dispBlanksAs val="gap"/>
    <c:showDLblsOverMax val="0"/>
  </c:chart>
  <c:spPr>
    <a:ln>
      <a:noFill/>
    </a:ln>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581925818350521E-2"/>
          <c:y val="7.57274425836304E-2"/>
          <c:w val="0.85112860892388453"/>
          <c:h val="0.69573503850925578"/>
        </c:manualLayout>
      </c:layout>
      <c:scatterChart>
        <c:scatterStyle val="lineMarker"/>
        <c:varyColors val="0"/>
        <c:ser>
          <c:idx val="0"/>
          <c:order val="0"/>
          <c:tx>
            <c:strRef>
              <c:f>'UCC Tables &amp; Figures '!$AD$1</c:f>
              <c:strCache>
                <c:ptCount val="1"/>
                <c:pt idx="0">
                  <c:v>Lower clip</c:v>
                </c:pt>
              </c:strCache>
            </c:strRef>
          </c:tx>
          <c:spPr>
            <a:ln>
              <a:noFill/>
            </a:ln>
          </c:spPr>
          <c:marker>
            <c:symbol val="triangle"/>
            <c:size val="6"/>
            <c:spPr>
              <a:solidFill>
                <a:schemeClr val="bg1"/>
              </a:solidFill>
              <a:ln w="0">
                <a:solidFill>
                  <a:schemeClr val="tx1"/>
                </a:solidFill>
              </a:ln>
            </c:spPr>
          </c:marker>
          <c:xVal>
            <c:numRef>
              <c:f>'UCC Tables &amp; Figures '!$AB$2:$AB$5</c:f>
              <c:numCache>
                <c:formatCode>mm/dd/yy;@</c:formatCode>
                <c:ptCount val="4"/>
                <c:pt idx="0">
                  <c:v>43076</c:v>
                </c:pt>
                <c:pt idx="1">
                  <c:v>43081</c:v>
                </c:pt>
                <c:pt idx="2">
                  <c:v>43084</c:v>
                </c:pt>
                <c:pt idx="3">
                  <c:v>43088</c:v>
                </c:pt>
              </c:numCache>
            </c:numRef>
          </c:xVal>
          <c:yVal>
            <c:numRef>
              <c:f>'UCC Tables &amp; Figures '!$AD$2:$AD$5</c:f>
              <c:numCache>
                <c:formatCode>General</c:formatCode>
                <c:ptCount val="4"/>
              </c:numCache>
            </c:numRef>
          </c:yVal>
          <c:smooth val="0"/>
          <c:extLst>
            <c:ext xmlns:c16="http://schemas.microsoft.com/office/drawing/2014/chart" uri="{C3380CC4-5D6E-409C-BE32-E72D297353CC}">
              <c16:uniqueId val="{00000000-FCEB-4283-9438-F2BB7521FA8C}"/>
            </c:ext>
          </c:extLst>
        </c:ser>
        <c:ser>
          <c:idx val="1"/>
          <c:order val="1"/>
          <c:tx>
            <c:strRef>
              <c:f>'UCC Tables &amp; Figures '!$AC$1</c:f>
              <c:strCache>
                <c:ptCount val="1"/>
                <c:pt idx="0">
                  <c:v>Upper clip</c:v>
                </c:pt>
              </c:strCache>
            </c:strRef>
          </c:tx>
          <c:spPr>
            <a:ln w="19050">
              <a:noFill/>
            </a:ln>
          </c:spPr>
          <c:marker>
            <c:symbol val="square"/>
            <c:size val="6"/>
            <c:spPr>
              <a:solidFill>
                <a:schemeClr val="bg1"/>
              </a:solidFill>
              <a:ln w="0">
                <a:solidFill>
                  <a:schemeClr val="tx1"/>
                </a:solidFill>
              </a:ln>
            </c:spPr>
          </c:marker>
          <c:xVal>
            <c:numRef>
              <c:f>'UCC Tables &amp; Figures '!$AB$2:$AB$5</c:f>
              <c:numCache>
                <c:formatCode>mm/dd/yy;@</c:formatCode>
                <c:ptCount val="4"/>
                <c:pt idx="0">
                  <c:v>43076</c:v>
                </c:pt>
                <c:pt idx="1">
                  <c:v>43081</c:v>
                </c:pt>
                <c:pt idx="2">
                  <c:v>43084</c:v>
                </c:pt>
                <c:pt idx="3">
                  <c:v>43088</c:v>
                </c:pt>
              </c:numCache>
            </c:numRef>
          </c:xVal>
          <c:yVal>
            <c:numRef>
              <c:f>'UCC Tables &amp; Figures '!$AC$1:$AC$5</c:f>
              <c:numCache>
                <c:formatCode>General</c:formatCode>
                <c:ptCount val="5"/>
                <c:pt idx="0">
                  <c:v>0</c:v>
                </c:pt>
              </c:numCache>
            </c:numRef>
          </c:yVal>
          <c:smooth val="0"/>
          <c:extLst>
            <c:ext xmlns:c16="http://schemas.microsoft.com/office/drawing/2014/chart" uri="{C3380CC4-5D6E-409C-BE32-E72D297353CC}">
              <c16:uniqueId val="{00000001-FCEB-4283-9438-F2BB7521FA8C}"/>
            </c:ext>
          </c:extLst>
        </c:ser>
        <c:ser>
          <c:idx val="6"/>
          <c:order val="2"/>
          <c:tx>
            <c:strRef>
              <c:f>'UCC Tables &amp; Figures '!$AE$1</c:f>
              <c:strCache>
                <c:ptCount val="1"/>
                <c:pt idx="0">
                  <c:v>No clip</c:v>
                </c:pt>
              </c:strCache>
            </c:strRef>
          </c:tx>
          <c:spPr>
            <a:ln w="19050">
              <a:noFill/>
            </a:ln>
          </c:spPr>
          <c:marker>
            <c:symbol val="diamond"/>
            <c:size val="6"/>
            <c:spPr>
              <a:solidFill>
                <a:schemeClr val="bg1"/>
              </a:solidFill>
              <a:ln w="0">
                <a:solidFill>
                  <a:schemeClr val="tx1"/>
                </a:solidFill>
              </a:ln>
            </c:spPr>
          </c:marker>
          <c:xVal>
            <c:numRef>
              <c:f>'UCC Tables &amp; Figures '!$AB$2:$AB$5</c:f>
              <c:numCache>
                <c:formatCode>mm/dd/yy;@</c:formatCode>
                <c:ptCount val="4"/>
                <c:pt idx="0">
                  <c:v>43076</c:v>
                </c:pt>
                <c:pt idx="1">
                  <c:v>43081</c:v>
                </c:pt>
                <c:pt idx="2">
                  <c:v>43084</c:v>
                </c:pt>
                <c:pt idx="3">
                  <c:v>43088</c:v>
                </c:pt>
              </c:numCache>
            </c:numRef>
          </c:xVal>
          <c:yVal>
            <c:numRef>
              <c:f>'UCC Tables &amp; Figures '!$AE$2:$AE$5</c:f>
              <c:numCache>
                <c:formatCode>0.0000</c:formatCode>
                <c:ptCount val="4"/>
                <c:pt idx="0">
                  <c:v>0.12977099236641221</c:v>
                </c:pt>
                <c:pt idx="1">
                  <c:v>8.3333333333333329E-2</c:v>
                </c:pt>
                <c:pt idx="2">
                  <c:v>9.5588235294117641E-2</c:v>
                </c:pt>
                <c:pt idx="3">
                  <c:v>0.1092436974789916</c:v>
                </c:pt>
              </c:numCache>
            </c:numRef>
          </c:yVal>
          <c:smooth val="0"/>
          <c:extLst>
            <c:ext xmlns:c16="http://schemas.microsoft.com/office/drawing/2014/chart" uri="{C3380CC4-5D6E-409C-BE32-E72D297353CC}">
              <c16:uniqueId val="{00000002-FCEB-4283-9438-F2BB7521FA8C}"/>
            </c:ext>
          </c:extLst>
        </c:ser>
        <c:ser>
          <c:idx val="2"/>
          <c:order val="3"/>
          <c:tx>
            <c:strRef>
              <c:f>'UCC Tables &amp; Figures '!$AF$1</c:f>
              <c:strCache>
                <c:ptCount val="1"/>
                <c:pt idx="0">
                  <c:v>Trial efficiency</c:v>
                </c:pt>
              </c:strCache>
            </c:strRef>
          </c:tx>
          <c:spPr>
            <a:ln w="12700">
              <a:solidFill>
                <a:schemeClr val="tx1"/>
              </a:solidFill>
            </a:ln>
          </c:spPr>
          <c:marker>
            <c:symbol val="none"/>
          </c:marker>
          <c:xVal>
            <c:numRef>
              <c:f>'UCC Tables &amp; Figures '!$AB$2:$AB$5</c:f>
              <c:numCache>
                <c:formatCode>mm/dd/yy;@</c:formatCode>
                <c:ptCount val="4"/>
                <c:pt idx="0">
                  <c:v>43076</c:v>
                </c:pt>
                <c:pt idx="1">
                  <c:v>43081</c:v>
                </c:pt>
                <c:pt idx="2">
                  <c:v>43084</c:v>
                </c:pt>
                <c:pt idx="3">
                  <c:v>43088</c:v>
                </c:pt>
              </c:numCache>
            </c:numRef>
          </c:xVal>
          <c:yVal>
            <c:numRef>
              <c:f>'UCC Tables &amp; Figures '!$AF$2:$AF$5</c:f>
              <c:numCache>
                <c:formatCode>0.0000</c:formatCode>
                <c:ptCount val="4"/>
                <c:pt idx="0">
                  <c:v>0.12977099236641221</c:v>
                </c:pt>
                <c:pt idx="1">
                  <c:v>8.3333333333333329E-2</c:v>
                </c:pt>
                <c:pt idx="2">
                  <c:v>9.5588235294117641E-2</c:v>
                </c:pt>
                <c:pt idx="3">
                  <c:v>0.1092436974789916</c:v>
                </c:pt>
              </c:numCache>
            </c:numRef>
          </c:yVal>
          <c:smooth val="0"/>
          <c:extLst>
            <c:ext xmlns:c16="http://schemas.microsoft.com/office/drawing/2014/chart" uri="{C3380CC4-5D6E-409C-BE32-E72D297353CC}">
              <c16:uniqueId val="{00000003-FCEB-4283-9438-F2BB7521FA8C}"/>
            </c:ext>
          </c:extLst>
        </c:ser>
        <c:ser>
          <c:idx val="3"/>
          <c:order val="4"/>
          <c:tx>
            <c:strRef>
              <c:f>'UCC Tables &amp; Figures '!$X$1</c:f>
              <c:strCache>
                <c:ptCount val="1"/>
                <c:pt idx="0">
                  <c:v>Season average</c:v>
                </c:pt>
              </c:strCache>
            </c:strRef>
          </c:tx>
          <c:spPr>
            <a:ln w="9525">
              <a:solidFill>
                <a:schemeClr val="tx1"/>
              </a:solidFill>
              <a:prstDash val="dash"/>
            </a:ln>
          </c:spPr>
          <c:marker>
            <c:symbol val="none"/>
          </c:marker>
          <c:xVal>
            <c:numRef>
              <c:f>'UCC Tables &amp; Figures '!$W$2:$W$42</c:f>
              <c:numCache>
                <c:formatCode>mm/dd/yy;@</c:formatCode>
                <c:ptCount val="41"/>
                <c:pt idx="0">
                  <c:v>43076</c:v>
                </c:pt>
                <c:pt idx="1">
                  <c:v>43077</c:v>
                </c:pt>
                <c:pt idx="2">
                  <c:v>43078</c:v>
                </c:pt>
                <c:pt idx="3">
                  <c:v>43079</c:v>
                </c:pt>
                <c:pt idx="4">
                  <c:v>43080</c:v>
                </c:pt>
                <c:pt idx="5">
                  <c:v>43081</c:v>
                </c:pt>
                <c:pt idx="6">
                  <c:v>43082</c:v>
                </c:pt>
                <c:pt idx="7">
                  <c:v>43083</c:v>
                </c:pt>
                <c:pt idx="8">
                  <c:v>43084</c:v>
                </c:pt>
                <c:pt idx="9">
                  <c:v>43085</c:v>
                </c:pt>
                <c:pt idx="10">
                  <c:v>43086</c:v>
                </c:pt>
                <c:pt idx="11">
                  <c:v>43087</c:v>
                </c:pt>
                <c:pt idx="12">
                  <c:v>43088</c:v>
                </c:pt>
                <c:pt idx="13">
                  <c:v>43089</c:v>
                </c:pt>
                <c:pt idx="14">
                  <c:v>43090</c:v>
                </c:pt>
                <c:pt idx="15">
                  <c:v>43091</c:v>
                </c:pt>
                <c:pt idx="16">
                  <c:v>43092</c:v>
                </c:pt>
                <c:pt idx="17">
                  <c:v>43093</c:v>
                </c:pt>
                <c:pt idx="18">
                  <c:v>43094</c:v>
                </c:pt>
                <c:pt idx="19">
                  <c:v>43095</c:v>
                </c:pt>
              </c:numCache>
            </c:numRef>
          </c:xVal>
          <c:yVal>
            <c:numRef>
              <c:f>'UCC Tables &amp; Figures '!$X$2:$X$42</c:f>
              <c:numCache>
                <c:formatCode>0.0000</c:formatCode>
                <c:ptCount val="41"/>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numCache>
            </c:numRef>
          </c:yVal>
          <c:smooth val="0"/>
          <c:extLst>
            <c:ext xmlns:c16="http://schemas.microsoft.com/office/drawing/2014/chart" uri="{C3380CC4-5D6E-409C-BE32-E72D297353CC}">
              <c16:uniqueId val="{00000004-FCEB-4283-9438-F2BB7521FA8C}"/>
            </c:ext>
          </c:extLst>
        </c:ser>
        <c:dLbls>
          <c:showLegendKey val="0"/>
          <c:showVal val="0"/>
          <c:showCatName val="0"/>
          <c:showSerName val="0"/>
          <c:showPercent val="0"/>
          <c:showBubbleSize val="0"/>
        </c:dLbls>
        <c:axId val="409477120"/>
        <c:axId val="409478656"/>
      </c:scatterChart>
      <c:scatterChart>
        <c:scatterStyle val="lineMarker"/>
        <c:varyColors val="0"/>
        <c:ser>
          <c:idx val="4"/>
          <c:order val="5"/>
          <c:tx>
            <c:strRef>
              <c:f>'UCC Tables &amp; Figures '!$Y$1</c:f>
              <c:strCache>
                <c:ptCount val="1"/>
                <c:pt idx="0">
                  <c:v>Number released</c:v>
                </c:pt>
              </c:strCache>
            </c:strRef>
          </c:tx>
          <c:spPr>
            <a:ln w="19050">
              <a:noFill/>
            </a:ln>
          </c:spPr>
          <c:marker>
            <c:symbol val="circle"/>
            <c:size val="5"/>
            <c:spPr>
              <a:solidFill>
                <a:schemeClr val="tx1"/>
              </a:solidFill>
              <a:ln>
                <a:solidFill>
                  <a:schemeClr val="tx1"/>
                </a:solidFill>
              </a:ln>
            </c:spPr>
          </c:marker>
          <c:xVal>
            <c:numRef>
              <c:f>'UCC Tables &amp; Figures '!$W$2:$W$42</c:f>
              <c:numCache>
                <c:formatCode>mm/dd/yy;@</c:formatCode>
                <c:ptCount val="41"/>
                <c:pt idx="0">
                  <c:v>43076</c:v>
                </c:pt>
                <c:pt idx="1">
                  <c:v>43077</c:v>
                </c:pt>
                <c:pt idx="2">
                  <c:v>43078</c:v>
                </c:pt>
                <c:pt idx="3">
                  <c:v>43079</c:v>
                </c:pt>
                <c:pt idx="4">
                  <c:v>43080</c:v>
                </c:pt>
                <c:pt idx="5">
                  <c:v>43081</c:v>
                </c:pt>
                <c:pt idx="6">
                  <c:v>43082</c:v>
                </c:pt>
                <c:pt idx="7">
                  <c:v>43083</c:v>
                </c:pt>
                <c:pt idx="8">
                  <c:v>43084</c:v>
                </c:pt>
                <c:pt idx="9">
                  <c:v>43085</c:v>
                </c:pt>
                <c:pt idx="10">
                  <c:v>43086</c:v>
                </c:pt>
                <c:pt idx="11">
                  <c:v>43087</c:v>
                </c:pt>
                <c:pt idx="12">
                  <c:v>43088</c:v>
                </c:pt>
                <c:pt idx="13">
                  <c:v>43089</c:v>
                </c:pt>
                <c:pt idx="14">
                  <c:v>43090</c:v>
                </c:pt>
                <c:pt idx="15">
                  <c:v>43091</c:v>
                </c:pt>
                <c:pt idx="16">
                  <c:v>43092</c:v>
                </c:pt>
                <c:pt idx="17">
                  <c:v>43093</c:v>
                </c:pt>
                <c:pt idx="18">
                  <c:v>43094</c:v>
                </c:pt>
                <c:pt idx="19">
                  <c:v>43095</c:v>
                </c:pt>
              </c:numCache>
            </c:numRef>
          </c:xVal>
          <c:yVal>
            <c:numRef>
              <c:f>'UCC Tables &amp; Figures '!$Y$2:$Y$42</c:f>
              <c:numCache>
                <c:formatCode>General</c:formatCode>
                <c:ptCount val="41"/>
                <c:pt idx="0">
                  <c:v>130</c:v>
                </c:pt>
                <c:pt idx="5">
                  <c:v>179</c:v>
                </c:pt>
                <c:pt idx="8">
                  <c:v>135</c:v>
                </c:pt>
                <c:pt idx="12">
                  <c:v>237</c:v>
                </c:pt>
              </c:numCache>
            </c:numRef>
          </c:yVal>
          <c:smooth val="0"/>
          <c:extLst>
            <c:ext xmlns:c16="http://schemas.microsoft.com/office/drawing/2014/chart" uri="{C3380CC4-5D6E-409C-BE32-E72D297353CC}">
              <c16:uniqueId val="{00000005-FCEB-4283-9438-F2BB7521FA8C}"/>
            </c:ext>
          </c:extLst>
        </c:ser>
        <c:ser>
          <c:idx val="5"/>
          <c:order val="6"/>
          <c:tx>
            <c:strRef>
              <c:f>'UCC Tables &amp; Figures '!$Z$1</c:f>
              <c:strCache>
                <c:ptCount val="1"/>
                <c:pt idx="0">
                  <c:v>Mean daily flow</c:v>
                </c:pt>
              </c:strCache>
            </c:strRef>
          </c:tx>
          <c:spPr>
            <a:ln w="12700">
              <a:solidFill>
                <a:schemeClr val="tx1"/>
              </a:solidFill>
              <a:prstDash val="sysDot"/>
            </a:ln>
          </c:spPr>
          <c:marker>
            <c:symbol val="none"/>
          </c:marker>
          <c:xVal>
            <c:numRef>
              <c:f>'UCC Tables &amp; Figures '!$W$2:$W$42</c:f>
              <c:numCache>
                <c:formatCode>mm/dd/yy;@</c:formatCode>
                <c:ptCount val="41"/>
                <c:pt idx="0">
                  <c:v>43076</c:v>
                </c:pt>
                <c:pt idx="1">
                  <c:v>43077</c:v>
                </c:pt>
                <c:pt idx="2">
                  <c:v>43078</c:v>
                </c:pt>
                <c:pt idx="3">
                  <c:v>43079</c:v>
                </c:pt>
                <c:pt idx="4">
                  <c:v>43080</c:v>
                </c:pt>
                <c:pt idx="5">
                  <c:v>43081</c:v>
                </c:pt>
                <c:pt idx="6">
                  <c:v>43082</c:v>
                </c:pt>
                <c:pt idx="7">
                  <c:v>43083</c:v>
                </c:pt>
                <c:pt idx="8">
                  <c:v>43084</c:v>
                </c:pt>
                <c:pt idx="9">
                  <c:v>43085</c:v>
                </c:pt>
                <c:pt idx="10">
                  <c:v>43086</c:v>
                </c:pt>
                <c:pt idx="11">
                  <c:v>43087</c:v>
                </c:pt>
                <c:pt idx="12">
                  <c:v>43088</c:v>
                </c:pt>
                <c:pt idx="13">
                  <c:v>43089</c:v>
                </c:pt>
                <c:pt idx="14">
                  <c:v>43090</c:v>
                </c:pt>
                <c:pt idx="15">
                  <c:v>43091</c:v>
                </c:pt>
                <c:pt idx="16">
                  <c:v>43092</c:v>
                </c:pt>
                <c:pt idx="17">
                  <c:v>43093</c:v>
                </c:pt>
                <c:pt idx="18">
                  <c:v>43094</c:v>
                </c:pt>
                <c:pt idx="19">
                  <c:v>43095</c:v>
                </c:pt>
              </c:numCache>
            </c:numRef>
          </c:xVal>
          <c:yVal>
            <c:numRef>
              <c:f>'UCC Tables &amp; Figures '!$Z$2:$Z$42</c:f>
              <c:numCache>
                <c:formatCode>#,##0</c:formatCode>
                <c:ptCount val="41"/>
                <c:pt idx="0">
                  <c:v>212</c:v>
                </c:pt>
                <c:pt idx="1">
                  <c:v>213</c:v>
                </c:pt>
                <c:pt idx="2">
                  <c:v>212</c:v>
                </c:pt>
                <c:pt idx="3">
                  <c:v>212</c:v>
                </c:pt>
                <c:pt idx="4">
                  <c:v>212</c:v>
                </c:pt>
                <c:pt idx="5">
                  <c:v>212</c:v>
                </c:pt>
                <c:pt idx="6">
                  <c:v>212</c:v>
                </c:pt>
                <c:pt idx="7">
                  <c:v>212</c:v>
                </c:pt>
                <c:pt idx="8">
                  <c:v>213</c:v>
                </c:pt>
                <c:pt idx="9">
                  <c:v>213</c:v>
                </c:pt>
                <c:pt idx="10">
                  <c:v>212</c:v>
                </c:pt>
                <c:pt idx="11">
                  <c:v>213</c:v>
                </c:pt>
                <c:pt idx="12">
                  <c:v>212</c:v>
                </c:pt>
                <c:pt idx="13">
                  <c:v>213</c:v>
                </c:pt>
                <c:pt idx="14">
                  <c:v>213</c:v>
                </c:pt>
                <c:pt idx="15">
                  <c:v>213</c:v>
                </c:pt>
                <c:pt idx="16">
                  <c:v>213</c:v>
                </c:pt>
                <c:pt idx="17">
                  <c:v>213</c:v>
                </c:pt>
                <c:pt idx="18">
                  <c:v>213</c:v>
                </c:pt>
                <c:pt idx="19">
                  <c:v>212</c:v>
                </c:pt>
              </c:numCache>
            </c:numRef>
          </c:yVal>
          <c:smooth val="0"/>
          <c:extLst>
            <c:ext xmlns:c16="http://schemas.microsoft.com/office/drawing/2014/chart" uri="{C3380CC4-5D6E-409C-BE32-E72D297353CC}">
              <c16:uniqueId val="{00000006-FCEB-4283-9438-F2BB7521FA8C}"/>
            </c:ext>
          </c:extLst>
        </c:ser>
        <c:dLbls>
          <c:showLegendKey val="0"/>
          <c:showVal val="0"/>
          <c:showCatName val="0"/>
          <c:showSerName val="0"/>
          <c:showPercent val="0"/>
          <c:showBubbleSize val="0"/>
        </c:dLbls>
        <c:axId val="409966464"/>
        <c:axId val="409936640"/>
      </c:scatterChart>
      <c:valAx>
        <c:axId val="409477120"/>
        <c:scaling>
          <c:orientation val="minMax"/>
        </c:scaling>
        <c:delete val="0"/>
        <c:axPos val="b"/>
        <c:title>
          <c:tx>
            <c:rich>
              <a:bodyPr/>
              <a:lstStyle/>
              <a:p>
                <a:pPr>
                  <a:defRPr b="0"/>
                </a:pPr>
                <a:r>
                  <a:rPr lang="en-US" b="0"/>
                  <a:t>Date</a:t>
                </a:r>
              </a:p>
            </c:rich>
          </c:tx>
          <c:overlay val="0"/>
        </c:title>
        <c:numFmt formatCode="[$-409]d\-mmm\-yy;@" sourceLinked="0"/>
        <c:majorTickMark val="out"/>
        <c:minorTickMark val="none"/>
        <c:tickLblPos val="nextTo"/>
        <c:spPr>
          <a:ln>
            <a:solidFill>
              <a:schemeClr val="tx1"/>
            </a:solidFill>
          </a:ln>
        </c:spPr>
        <c:txPr>
          <a:bodyPr rot="-4320000"/>
          <a:lstStyle/>
          <a:p>
            <a:pPr>
              <a:defRPr/>
            </a:pPr>
            <a:endParaRPr lang="en-US"/>
          </a:p>
        </c:txPr>
        <c:crossAx val="409478656"/>
        <c:crosses val="autoZero"/>
        <c:crossBetween val="midCat"/>
        <c:majorUnit val="7"/>
      </c:valAx>
      <c:valAx>
        <c:axId val="409478656"/>
        <c:scaling>
          <c:orientation val="minMax"/>
        </c:scaling>
        <c:delete val="0"/>
        <c:axPos val="l"/>
        <c:majorGridlines>
          <c:spPr>
            <a:ln>
              <a:noFill/>
            </a:ln>
          </c:spPr>
        </c:majorGridlines>
        <c:title>
          <c:tx>
            <c:rich>
              <a:bodyPr rot="-5400000" vert="horz"/>
              <a:lstStyle/>
              <a:p>
                <a:pPr>
                  <a:defRPr b="0"/>
                </a:pPr>
                <a:r>
                  <a:rPr lang="en-US" b="0"/>
                  <a:t>Efficiency</a:t>
                </a:r>
              </a:p>
            </c:rich>
          </c:tx>
          <c:layout>
            <c:manualLayout>
              <c:xMode val="edge"/>
              <c:yMode val="edge"/>
              <c:x val="7.3639430056076163E-4"/>
              <c:y val="0.3671309357404916"/>
            </c:manualLayout>
          </c:layout>
          <c:overlay val="0"/>
        </c:title>
        <c:numFmt formatCode="General" sourceLinked="1"/>
        <c:majorTickMark val="out"/>
        <c:minorTickMark val="none"/>
        <c:tickLblPos val="nextTo"/>
        <c:spPr>
          <a:ln>
            <a:solidFill>
              <a:schemeClr val="tx1"/>
            </a:solidFill>
          </a:ln>
        </c:spPr>
        <c:crossAx val="409477120"/>
        <c:crosses val="autoZero"/>
        <c:crossBetween val="midCat"/>
      </c:valAx>
      <c:valAx>
        <c:axId val="409936640"/>
        <c:scaling>
          <c:orientation val="minMax"/>
        </c:scaling>
        <c:delete val="0"/>
        <c:axPos val="r"/>
        <c:title>
          <c:tx>
            <c:rich>
              <a:bodyPr rot="-5400000" vert="horz"/>
              <a:lstStyle/>
              <a:p>
                <a:pPr>
                  <a:defRPr b="0"/>
                </a:pPr>
                <a:r>
                  <a:rPr lang="en-US" b="0"/>
                  <a:t>Number of fish released and mean daily flow (cfs)</a:t>
                </a:r>
              </a:p>
            </c:rich>
          </c:tx>
          <c:layout>
            <c:manualLayout>
              <c:xMode val="edge"/>
              <c:yMode val="edge"/>
              <c:x val="0.97498670014951305"/>
              <c:y val="0.10447021145273998"/>
            </c:manualLayout>
          </c:layout>
          <c:overlay val="0"/>
        </c:title>
        <c:numFmt formatCode="#,##0" sourceLinked="0"/>
        <c:majorTickMark val="out"/>
        <c:minorTickMark val="none"/>
        <c:tickLblPos val="nextTo"/>
        <c:spPr>
          <a:ln>
            <a:solidFill>
              <a:schemeClr val="tx1"/>
            </a:solidFill>
          </a:ln>
        </c:spPr>
        <c:crossAx val="409966464"/>
        <c:crosses val="max"/>
        <c:crossBetween val="midCat"/>
      </c:valAx>
      <c:valAx>
        <c:axId val="409966464"/>
        <c:scaling>
          <c:orientation val="minMax"/>
        </c:scaling>
        <c:delete val="1"/>
        <c:axPos val="b"/>
        <c:numFmt formatCode="mm/dd/yy;@" sourceLinked="1"/>
        <c:majorTickMark val="out"/>
        <c:minorTickMark val="none"/>
        <c:tickLblPos val="nextTo"/>
        <c:crossAx val="409936640"/>
        <c:crosses val="autoZero"/>
        <c:crossBetween val="midCat"/>
      </c:valAx>
      <c:spPr>
        <a:ln>
          <a:noFill/>
        </a:ln>
      </c:spPr>
    </c:plotArea>
    <c:legend>
      <c:legendPos val="l"/>
      <c:layout>
        <c:manualLayout>
          <c:xMode val="edge"/>
          <c:yMode val="edge"/>
          <c:x val="8.5654869510187304E-2"/>
          <c:y val="0.72331450507629869"/>
          <c:w val="0.81472256890078953"/>
          <c:h val="5.2223077457033758E-2"/>
        </c:manualLayout>
      </c:layout>
      <c:overlay val="1"/>
      <c:spPr>
        <a:ln w="6350">
          <a:solidFill>
            <a:schemeClr val="tx1"/>
          </a:solidFill>
        </a:ln>
      </c:spPr>
      <c:txPr>
        <a:bodyPr/>
        <a:lstStyle/>
        <a:p>
          <a:pPr>
            <a:defRPr sz="1000"/>
          </a:pPr>
          <a:endParaRPr lang="en-US"/>
        </a:p>
      </c:txPr>
    </c:legend>
    <c:plotVisOnly val="1"/>
    <c:dispBlanksAs val="gap"/>
    <c:showDLblsOverMax val="0"/>
  </c:chart>
  <c:spPr>
    <a:ln>
      <a:noFill/>
    </a:ln>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361950</xdr:colOff>
      <xdr:row>0</xdr:row>
      <xdr:rowOff>104775</xdr:rowOff>
    </xdr:from>
    <xdr:to>
      <xdr:col>0</xdr:col>
      <xdr:colOff>1828800</xdr:colOff>
      <xdr:row>11</xdr:row>
      <xdr:rowOff>59055</xdr:rowOff>
    </xdr:to>
    <xdr:pic>
      <xdr:nvPicPr>
        <xdr:cNvPr id="2" name="Picture 1" descr="USFWS_color">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104775"/>
          <a:ext cx="1466850" cy="180784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absoluteAnchor>
    <xdr:pos x="982928" y="7662335"/>
    <xdr:ext cx="8669694" cy="6288444"/>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1015734" y="7317442"/>
    <xdr:ext cx="9547412" cy="6288444"/>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15489768" y="546100"/>
    <xdr:ext cx="8669694" cy="6288444"/>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2910" y="7366793"/>
    <xdr:ext cx="8669694" cy="6288444"/>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twoCellAnchor>
    <xdr:from>
      <xdr:col>10</xdr:col>
      <xdr:colOff>152400</xdr:colOff>
      <xdr:row>1</xdr:row>
      <xdr:rowOff>0</xdr:rowOff>
    </xdr:from>
    <xdr:to>
      <xdr:col>22</xdr:col>
      <xdr:colOff>285750</xdr:colOff>
      <xdr:row>26</xdr:row>
      <xdr:rowOff>152401</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66675</xdr:colOff>
      <xdr:row>1</xdr:row>
      <xdr:rowOff>19050</xdr:rowOff>
    </xdr:from>
    <xdr:to>
      <xdr:col>22</xdr:col>
      <xdr:colOff>200025</xdr:colOff>
      <xdr:row>26</xdr:row>
      <xdr:rowOff>171451</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Hand, Chelsey E" id="{D69032D7-36A2-400A-8EB1-F0F056EF03E2}" userId="S::chelsey_hand@fws.gov::a81268be-491a-4f14-8828-7dc057a8523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09-26T18:24:48.15" personId="{D69032D7-36A2-400A-8EB1-F0F056EF03E2}" id="{B4C51914-BC99-4BA1-B53C-FEF8EF88CF33}">
    <text>Note that the tables and figures in this sheet are older ones (not from 2025-2026). They are being left as placeholders to note which types of figures and tables should go in here once we have the updated data to make them.</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9-26T18:26:48.33" personId="{D69032D7-36A2-400A-8EB1-F0F056EF03E2}" id="{B69FDADC-9E6E-4B5E-B949-37642A9A6576}">
    <text>Note that the tables and figures in this sheet are older ones (not from 2025-2026). They are being left as placeholders to note which types of figures and tables should go in here once we have the updated data to make them.</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M160"/>
  <sheetViews>
    <sheetView topLeftCell="B95" workbookViewId="0">
      <selection activeCell="D104" sqref="D104:J104"/>
    </sheetView>
  </sheetViews>
  <sheetFormatPr defaultColWidth="9.140625" defaultRowHeight="12.75" x14ac:dyDescent="0.2"/>
  <cols>
    <col min="1" max="1" width="33.42578125" style="234" bestFit="1" customWidth="1"/>
    <col min="2" max="2" width="27.28515625" style="234" customWidth="1"/>
    <col min="3" max="3" width="11" style="234" customWidth="1"/>
    <col min="4" max="4" width="22.85546875" style="234" customWidth="1"/>
    <col min="5" max="5" width="23" style="234" bestFit="1" customWidth="1"/>
    <col min="6" max="6" width="12" style="234" bestFit="1" customWidth="1"/>
    <col min="7" max="7" width="16.42578125" style="234" bestFit="1" customWidth="1"/>
    <col min="8" max="8" width="14.7109375" style="234" bestFit="1" customWidth="1"/>
    <col min="9" max="9" width="10.42578125" style="234" bestFit="1" customWidth="1"/>
    <col min="10" max="10" width="23" style="234" bestFit="1" customWidth="1"/>
    <col min="11" max="11" width="13" style="234" customWidth="1"/>
    <col min="12" max="12" width="17.7109375" style="234" bestFit="1" customWidth="1"/>
    <col min="13" max="13" width="18.140625" style="234" bestFit="1" customWidth="1"/>
    <col min="14" max="14" width="16.28515625" style="234" bestFit="1" customWidth="1"/>
    <col min="15" max="20" width="9.140625" style="234"/>
    <col min="21" max="21" width="23.7109375" style="234" customWidth="1"/>
    <col min="22" max="16384" width="9.140625" style="234"/>
  </cols>
  <sheetData>
    <row r="1" spans="1:13" x14ac:dyDescent="0.2">
      <c r="A1" s="265"/>
      <c r="B1" s="266"/>
      <c r="C1" s="266"/>
      <c r="D1" s="267"/>
      <c r="E1" s="268"/>
      <c r="F1" s="268"/>
      <c r="G1" s="268"/>
      <c r="H1" s="268"/>
      <c r="I1" s="268"/>
      <c r="J1" s="268"/>
      <c r="K1" s="268"/>
      <c r="L1" s="268"/>
      <c r="M1" s="268"/>
    </row>
    <row r="2" spans="1:13" x14ac:dyDescent="0.2">
      <c r="A2" s="269"/>
      <c r="B2" s="270" t="s">
        <v>0</v>
      </c>
      <c r="C2" s="270"/>
      <c r="D2" s="235"/>
      <c r="E2" s="236"/>
      <c r="F2" s="268"/>
      <c r="G2" s="268"/>
      <c r="H2" s="268"/>
      <c r="I2" s="268"/>
      <c r="J2" s="268"/>
      <c r="K2" s="268"/>
      <c r="L2" s="268"/>
      <c r="M2" s="268"/>
    </row>
    <row r="3" spans="1:13" x14ac:dyDescent="0.2">
      <c r="A3" s="269"/>
      <c r="B3" s="237" t="s">
        <v>1</v>
      </c>
      <c r="C3" s="270"/>
      <c r="D3" s="271"/>
      <c r="E3" s="236" t="s">
        <v>2</v>
      </c>
      <c r="F3" s="268"/>
      <c r="G3" s="268"/>
      <c r="H3" s="268"/>
      <c r="I3" s="268"/>
      <c r="J3" s="268"/>
      <c r="K3" s="268"/>
      <c r="L3" s="268"/>
      <c r="M3" s="268"/>
    </row>
    <row r="4" spans="1:13" x14ac:dyDescent="0.2">
      <c r="A4" s="269"/>
      <c r="B4" s="270" t="s">
        <v>3</v>
      </c>
      <c r="C4" s="270"/>
      <c r="D4" s="271"/>
      <c r="E4" s="268"/>
      <c r="F4" s="268"/>
      <c r="G4" s="268"/>
      <c r="H4" s="268"/>
      <c r="I4" s="268"/>
      <c r="J4" s="268"/>
      <c r="K4" s="268"/>
      <c r="L4" s="268"/>
      <c r="M4" s="268"/>
    </row>
    <row r="5" spans="1:13" x14ac:dyDescent="0.2">
      <c r="A5" s="269"/>
      <c r="B5" s="270" t="s">
        <v>4</v>
      </c>
      <c r="C5" s="270"/>
      <c r="D5" s="271"/>
      <c r="E5" s="268" t="s">
        <v>5</v>
      </c>
      <c r="F5" s="268" t="s">
        <v>6</v>
      </c>
      <c r="G5" s="268"/>
      <c r="H5" s="268"/>
      <c r="I5" s="268"/>
      <c r="J5" s="268"/>
      <c r="K5" s="268"/>
      <c r="L5" s="268"/>
      <c r="M5" s="268"/>
    </row>
    <row r="6" spans="1:13" x14ac:dyDescent="0.2">
      <c r="A6" s="269"/>
      <c r="B6" s="270" t="s">
        <v>7</v>
      </c>
      <c r="C6" s="270"/>
      <c r="D6" s="271"/>
      <c r="E6" s="268"/>
      <c r="F6" s="268" t="s">
        <v>8</v>
      </c>
      <c r="G6" s="268"/>
      <c r="H6" s="268"/>
      <c r="I6" s="268"/>
      <c r="J6" s="268"/>
      <c r="K6" s="268"/>
      <c r="L6" s="268"/>
      <c r="M6" s="268"/>
    </row>
    <row r="7" spans="1:13" x14ac:dyDescent="0.2">
      <c r="A7" s="269"/>
      <c r="B7" s="270"/>
      <c r="C7" s="270"/>
      <c r="D7" s="271"/>
      <c r="E7" s="268" t="s">
        <v>9</v>
      </c>
      <c r="F7" s="268" t="s">
        <v>10</v>
      </c>
      <c r="G7" s="268"/>
      <c r="H7" s="268"/>
      <c r="I7" s="268"/>
      <c r="J7" s="268"/>
      <c r="K7" s="268"/>
      <c r="L7" s="268"/>
      <c r="M7" s="268"/>
    </row>
    <row r="8" spans="1:13" x14ac:dyDescent="0.2">
      <c r="A8" s="269"/>
      <c r="B8" s="270" t="s">
        <v>11</v>
      </c>
      <c r="C8" s="270"/>
      <c r="D8" s="271"/>
      <c r="E8" s="268" t="s">
        <v>12</v>
      </c>
      <c r="F8" s="268" t="s">
        <v>13</v>
      </c>
      <c r="G8" s="268"/>
      <c r="H8" s="268"/>
      <c r="I8" s="268"/>
      <c r="J8" s="268"/>
      <c r="K8" s="268"/>
      <c r="L8" s="268"/>
      <c r="M8" s="268"/>
    </row>
    <row r="9" spans="1:13" x14ac:dyDescent="0.2">
      <c r="A9" s="269"/>
      <c r="B9" s="270"/>
      <c r="C9" s="270"/>
      <c r="D9" s="271"/>
      <c r="E9" s="268" t="s">
        <v>14</v>
      </c>
      <c r="F9" s="268" t="s">
        <v>15</v>
      </c>
      <c r="G9" s="268"/>
      <c r="H9" s="268"/>
      <c r="I9" s="268"/>
      <c r="J9" s="268"/>
      <c r="K9" s="268"/>
      <c r="L9" s="268"/>
      <c r="M9" s="268"/>
    </row>
    <row r="10" spans="1:13" x14ac:dyDescent="0.2">
      <c r="A10" s="269"/>
      <c r="B10" s="270" t="s">
        <v>16</v>
      </c>
      <c r="C10" s="270"/>
      <c r="D10" s="271"/>
      <c r="E10" s="268" t="s">
        <v>17</v>
      </c>
      <c r="F10" s="268"/>
      <c r="G10" s="268"/>
      <c r="H10" s="268"/>
      <c r="I10" s="268"/>
      <c r="J10" s="268"/>
      <c r="K10" s="268"/>
      <c r="L10" s="268"/>
      <c r="M10" s="268"/>
    </row>
    <row r="11" spans="1:13" x14ac:dyDescent="0.2">
      <c r="A11" s="269"/>
      <c r="B11" s="270" t="s">
        <v>18</v>
      </c>
      <c r="C11" s="270"/>
      <c r="D11" s="271"/>
      <c r="E11" s="268"/>
      <c r="F11" s="268"/>
      <c r="G11" s="268"/>
      <c r="H11" s="268"/>
      <c r="I11" s="268"/>
      <c r="J11" s="268"/>
      <c r="K11" s="268"/>
      <c r="L11" s="268"/>
      <c r="M11" s="268"/>
    </row>
    <row r="12" spans="1:13" x14ac:dyDescent="0.2">
      <c r="A12" s="269"/>
      <c r="B12" s="270"/>
      <c r="C12" s="270"/>
      <c r="D12" s="271"/>
      <c r="E12" s="268"/>
      <c r="F12" s="268"/>
      <c r="G12" s="268"/>
      <c r="H12" s="268"/>
      <c r="I12" s="268"/>
      <c r="J12" s="268"/>
      <c r="K12" s="268"/>
      <c r="L12" s="268"/>
      <c r="M12" s="268"/>
    </row>
    <row r="13" spans="1:13" ht="13.5" thickBot="1" x14ac:dyDescent="0.25">
      <c r="A13" s="272"/>
      <c r="B13" s="273"/>
      <c r="C13" s="273"/>
      <c r="D13" s="274"/>
      <c r="E13" s="268"/>
      <c r="F13" s="268"/>
      <c r="G13" s="268"/>
      <c r="H13" s="268"/>
      <c r="I13" s="268"/>
      <c r="J13" s="268"/>
      <c r="K13" s="268"/>
      <c r="L13" s="268"/>
      <c r="M13" s="268"/>
    </row>
    <row r="14" spans="1:13" ht="13.5" thickBot="1" x14ac:dyDescent="0.25">
      <c r="A14" s="268"/>
      <c r="B14" s="268"/>
      <c r="C14" s="268"/>
      <c r="D14" s="268"/>
      <c r="E14" s="268"/>
      <c r="F14" s="268"/>
      <c r="G14" s="268"/>
      <c r="H14" s="268"/>
      <c r="I14" s="268"/>
      <c r="J14" s="268"/>
      <c r="K14" s="268"/>
      <c r="L14" s="268"/>
      <c r="M14" s="268"/>
    </row>
    <row r="15" spans="1:13" x14ac:dyDescent="0.2">
      <c r="A15" s="368" t="s">
        <v>19</v>
      </c>
      <c r="B15" s="368"/>
      <c r="C15" s="368"/>
      <c r="D15" s="368"/>
      <c r="E15" s="368"/>
      <c r="F15" s="368"/>
      <c r="G15" s="368"/>
      <c r="H15" s="368"/>
      <c r="I15" s="368"/>
      <c r="J15" s="368"/>
      <c r="K15" s="368"/>
      <c r="L15" s="368"/>
      <c r="M15" s="368"/>
    </row>
    <row r="16" spans="1:13" x14ac:dyDescent="0.2">
      <c r="A16" s="107" t="s">
        <v>20</v>
      </c>
      <c r="B16" s="275"/>
      <c r="C16" s="275"/>
      <c r="D16" s="275"/>
      <c r="E16" s="275"/>
      <c r="F16" s="275"/>
      <c r="G16" s="275"/>
      <c r="H16" s="275"/>
      <c r="I16" s="275"/>
      <c r="J16" s="275"/>
      <c r="K16" s="275"/>
      <c r="L16" s="275"/>
      <c r="M16" s="275"/>
    </row>
    <row r="17" spans="1:11" x14ac:dyDescent="0.2">
      <c r="A17" s="108" t="s">
        <v>21</v>
      </c>
      <c r="B17" s="268"/>
      <c r="C17" s="268"/>
      <c r="D17" s="268"/>
      <c r="E17" s="268"/>
      <c r="F17" s="268"/>
      <c r="G17" s="268"/>
      <c r="H17" s="268"/>
      <c r="I17" s="268"/>
      <c r="J17" s="268"/>
      <c r="K17" s="268"/>
    </row>
    <row r="18" spans="1:11" x14ac:dyDescent="0.2">
      <c r="A18" s="108" t="s">
        <v>22</v>
      </c>
      <c r="B18" s="268"/>
      <c r="C18" s="268"/>
      <c r="D18" s="268"/>
      <c r="E18" s="268"/>
      <c r="F18" s="268"/>
      <c r="G18" s="268"/>
      <c r="H18" s="268"/>
      <c r="I18" s="268"/>
      <c r="J18" s="268"/>
      <c r="K18" s="268"/>
    </row>
    <row r="19" spans="1:11" x14ac:dyDescent="0.2">
      <c r="A19" s="108" t="s">
        <v>23</v>
      </c>
      <c r="B19" s="268"/>
      <c r="C19" s="268"/>
      <c r="D19" s="268"/>
      <c r="E19" s="268"/>
      <c r="F19" s="268"/>
      <c r="G19" s="268"/>
      <c r="H19" s="268"/>
      <c r="I19" s="268"/>
      <c r="J19" s="268"/>
      <c r="K19" s="268"/>
    </row>
    <row r="20" spans="1:11" x14ac:dyDescent="0.2">
      <c r="A20" s="108" t="s">
        <v>24</v>
      </c>
      <c r="B20" s="268"/>
      <c r="C20" s="268"/>
      <c r="D20" s="268"/>
      <c r="E20" s="268"/>
      <c r="F20" s="268"/>
      <c r="G20" s="268"/>
      <c r="H20" s="268"/>
      <c r="I20" s="268"/>
      <c r="J20" s="268"/>
      <c r="K20" s="268"/>
    </row>
    <row r="21" spans="1:11" x14ac:dyDescent="0.2">
      <c r="A21" s="108" t="s">
        <v>25</v>
      </c>
      <c r="B21" s="268"/>
      <c r="C21" s="268"/>
      <c r="D21" s="268"/>
      <c r="E21" s="268"/>
      <c r="F21" s="268"/>
      <c r="G21" s="268"/>
      <c r="H21" s="268"/>
      <c r="I21" s="268"/>
      <c r="J21" s="268"/>
      <c r="K21" s="268"/>
    </row>
    <row r="22" spans="1:11" x14ac:dyDescent="0.2">
      <c r="A22" s="108" t="s">
        <v>26</v>
      </c>
      <c r="B22" s="268"/>
      <c r="C22" s="268"/>
      <c r="D22" s="268"/>
      <c r="E22" s="268"/>
      <c r="F22" s="268"/>
      <c r="G22" s="268"/>
      <c r="H22" s="268"/>
      <c r="I22" s="268"/>
      <c r="J22" s="268"/>
      <c r="K22" s="268"/>
    </row>
    <row r="23" spans="1:11" x14ac:dyDescent="0.2">
      <c r="A23" s="109" t="s">
        <v>27</v>
      </c>
      <c r="B23" s="268"/>
      <c r="C23" s="268"/>
      <c r="D23" s="268"/>
      <c r="E23" s="268"/>
      <c r="F23" s="268"/>
      <c r="G23" s="268"/>
      <c r="H23" s="268"/>
      <c r="I23" s="268"/>
      <c r="J23" s="268"/>
      <c r="K23" s="268"/>
    </row>
    <row r="24" spans="1:11" x14ac:dyDescent="0.2">
      <c r="A24" s="109" t="s">
        <v>28</v>
      </c>
      <c r="B24" s="268"/>
      <c r="C24" s="268"/>
      <c r="D24" s="268"/>
      <c r="E24" s="268"/>
      <c r="F24" s="268"/>
      <c r="G24" s="268"/>
      <c r="H24" s="268"/>
      <c r="I24" s="268"/>
      <c r="J24" s="268"/>
      <c r="K24" s="268"/>
    </row>
    <row r="25" spans="1:11" x14ac:dyDescent="0.2">
      <c r="A25" s="109" t="s">
        <v>29</v>
      </c>
      <c r="B25" s="268"/>
      <c r="C25" s="268"/>
      <c r="D25" s="268"/>
      <c r="E25" s="268"/>
      <c r="F25" s="268"/>
      <c r="G25" s="268"/>
      <c r="H25" s="268"/>
      <c r="I25" s="268"/>
      <c r="J25" s="268"/>
      <c r="K25" s="268"/>
    </row>
    <row r="26" spans="1:11" x14ac:dyDescent="0.2">
      <c r="A26" s="109" t="s">
        <v>30</v>
      </c>
      <c r="B26" s="268"/>
      <c r="C26" s="268"/>
      <c r="D26" s="268"/>
      <c r="E26" s="268"/>
      <c r="F26" s="268"/>
      <c r="G26" s="268"/>
      <c r="H26" s="268"/>
      <c r="I26" s="268"/>
      <c r="J26" s="268"/>
      <c r="K26" s="268"/>
    </row>
    <row r="27" spans="1:11" x14ac:dyDescent="0.2">
      <c r="A27" s="109" t="s">
        <v>31</v>
      </c>
      <c r="B27" s="268"/>
      <c r="C27" s="268"/>
      <c r="D27" s="268"/>
      <c r="E27" s="268"/>
      <c r="F27" s="268"/>
      <c r="G27" s="268"/>
      <c r="H27" s="268"/>
      <c r="I27" s="268"/>
      <c r="J27" s="268"/>
      <c r="K27" s="268"/>
    </row>
    <row r="28" spans="1:11" x14ac:dyDescent="0.2">
      <c r="A28" s="109" t="s">
        <v>32</v>
      </c>
      <c r="B28" s="268"/>
      <c r="C28" s="268"/>
      <c r="D28" s="268"/>
      <c r="E28" s="268"/>
      <c r="F28" s="268"/>
      <c r="G28" s="268"/>
      <c r="H28" s="268"/>
      <c r="I28" s="268"/>
      <c r="J28" s="268"/>
      <c r="K28" s="268"/>
    </row>
    <row r="29" spans="1:11" x14ac:dyDescent="0.2">
      <c r="A29" s="110" t="s">
        <v>33</v>
      </c>
      <c r="B29" s="268"/>
      <c r="C29" s="268"/>
      <c r="D29" s="268"/>
      <c r="E29" s="268"/>
      <c r="F29" s="268"/>
      <c r="G29" s="268"/>
      <c r="H29" s="268"/>
      <c r="I29" s="268"/>
      <c r="J29" s="268"/>
      <c r="K29" s="268"/>
    </row>
    <row r="30" spans="1:11" x14ac:dyDescent="0.2">
      <c r="A30" s="110" t="s">
        <v>34</v>
      </c>
      <c r="B30" s="268"/>
      <c r="C30" s="268"/>
      <c r="D30" s="268"/>
      <c r="E30" s="268"/>
      <c r="F30" s="268"/>
      <c r="G30" s="268"/>
      <c r="H30" s="268"/>
      <c r="I30" s="268"/>
      <c r="J30" s="268"/>
      <c r="K30" s="268"/>
    </row>
    <row r="31" spans="1:11" x14ac:dyDescent="0.2">
      <c r="A31" s="110" t="s">
        <v>35</v>
      </c>
      <c r="B31" s="268"/>
      <c r="C31" s="268"/>
      <c r="D31" s="268"/>
      <c r="E31" s="268"/>
      <c r="F31" s="268"/>
      <c r="G31" s="268"/>
      <c r="H31" s="268"/>
      <c r="I31" s="268"/>
      <c r="J31" s="268"/>
      <c r="K31" s="268"/>
    </row>
    <row r="32" spans="1:11" x14ac:dyDescent="0.2">
      <c r="A32" s="110" t="s">
        <v>36</v>
      </c>
      <c r="B32" s="268"/>
      <c r="C32" s="268"/>
      <c r="D32" s="268"/>
      <c r="E32" s="268"/>
      <c r="F32" s="268"/>
      <c r="G32" s="268"/>
      <c r="H32" s="268"/>
      <c r="I32" s="268"/>
      <c r="J32" s="268"/>
      <c r="K32" s="268"/>
    </row>
    <row r="33" spans="1:13" x14ac:dyDescent="0.2">
      <c r="A33" s="110" t="s">
        <v>37</v>
      </c>
      <c r="B33" s="268"/>
      <c r="C33" s="268"/>
      <c r="D33" s="268"/>
      <c r="E33" s="268"/>
      <c r="F33" s="268"/>
      <c r="G33" s="268"/>
      <c r="H33" s="268"/>
      <c r="I33" s="268"/>
      <c r="J33" s="268"/>
      <c r="K33" s="268"/>
      <c r="L33" s="268"/>
      <c r="M33" s="268"/>
    </row>
    <row r="34" spans="1:13" x14ac:dyDescent="0.2">
      <c r="A34" s="110" t="s">
        <v>38</v>
      </c>
      <c r="B34" s="268"/>
      <c r="C34" s="268"/>
      <c r="D34" s="268"/>
      <c r="E34" s="268"/>
      <c r="F34" s="268"/>
      <c r="G34" s="268"/>
      <c r="H34" s="268"/>
      <c r="I34" s="268"/>
      <c r="J34" s="268"/>
      <c r="K34" s="268"/>
      <c r="L34" s="268"/>
      <c r="M34" s="268"/>
    </row>
    <row r="35" spans="1:13" ht="19.5" customHeight="1" thickBot="1" x14ac:dyDescent="0.25">
      <c r="A35" s="268"/>
      <c r="B35" s="268"/>
      <c r="C35" s="268"/>
      <c r="D35" s="268"/>
      <c r="E35" s="268"/>
      <c r="F35" s="268"/>
      <c r="G35" s="268"/>
      <c r="H35" s="268"/>
      <c r="I35" s="268"/>
      <c r="J35" s="268"/>
      <c r="K35" s="268"/>
      <c r="L35" s="268"/>
      <c r="M35" s="268"/>
    </row>
    <row r="36" spans="1:13" ht="53.25" customHeight="1" x14ac:dyDescent="0.2">
      <c r="A36" s="276" t="s">
        <v>39</v>
      </c>
      <c r="B36" s="384" t="s">
        <v>40</v>
      </c>
      <c r="C36" s="384"/>
      <c r="D36" s="384"/>
      <c r="E36" s="384"/>
      <c r="F36" s="384"/>
      <c r="G36" s="384"/>
      <c r="H36" s="384"/>
      <c r="I36" s="384"/>
      <c r="J36" s="384"/>
      <c r="K36" s="384"/>
      <c r="L36" s="368"/>
      <c r="M36" s="368"/>
    </row>
    <row r="37" spans="1:13" ht="27.75" customHeight="1" x14ac:dyDescent="0.2">
      <c r="A37" s="277" t="s">
        <v>41</v>
      </c>
      <c r="B37" s="385" t="s">
        <v>42</v>
      </c>
      <c r="C37" s="385"/>
      <c r="D37" s="385"/>
      <c r="E37" s="385"/>
      <c r="F37" s="385"/>
      <c r="G37" s="385"/>
      <c r="H37" s="385"/>
      <c r="I37" s="385"/>
      <c r="J37" s="385"/>
      <c r="K37" s="385"/>
      <c r="L37" s="278"/>
      <c r="M37" s="278"/>
    </row>
    <row r="38" spans="1:13" x14ac:dyDescent="0.2">
      <c r="A38" s="279" t="s">
        <v>43</v>
      </c>
      <c r="B38" s="386" t="s">
        <v>44</v>
      </c>
      <c r="C38" s="386"/>
      <c r="D38" s="386"/>
      <c r="E38" s="386"/>
      <c r="F38" s="386"/>
      <c r="G38" s="386"/>
      <c r="H38" s="386"/>
      <c r="I38" s="386"/>
      <c r="J38" s="386"/>
      <c r="K38" s="386"/>
      <c r="L38" s="275"/>
      <c r="M38" s="275"/>
    </row>
    <row r="39" spans="1:13" x14ac:dyDescent="0.2">
      <c r="A39" s="280"/>
      <c r="B39" s="387" t="s">
        <v>45</v>
      </c>
      <c r="C39" s="387"/>
      <c r="D39" s="387"/>
      <c r="E39" s="387"/>
      <c r="F39" s="387"/>
      <c r="G39" s="387"/>
      <c r="H39" s="387"/>
      <c r="I39" s="387"/>
      <c r="J39" s="387"/>
      <c r="K39" s="387"/>
      <c r="L39" s="268"/>
      <c r="M39" s="268"/>
    </row>
    <row r="40" spans="1:13" x14ac:dyDescent="0.2">
      <c r="A40" s="280"/>
      <c r="B40" s="387" t="s">
        <v>46</v>
      </c>
      <c r="C40" s="387"/>
      <c r="D40" s="387"/>
      <c r="E40" s="387"/>
      <c r="F40" s="387"/>
      <c r="G40" s="387"/>
      <c r="H40" s="387"/>
      <c r="I40" s="387"/>
      <c r="J40" s="387"/>
      <c r="K40" s="387"/>
      <c r="L40" s="268"/>
      <c r="M40" s="268"/>
    </row>
    <row r="41" spans="1:13" ht="30" customHeight="1" thickBot="1" x14ac:dyDescent="0.25">
      <c r="A41" s="281"/>
      <c r="B41" s="388" t="s">
        <v>47</v>
      </c>
      <c r="C41" s="388"/>
      <c r="D41" s="388"/>
      <c r="E41" s="388"/>
      <c r="F41" s="388"/>
      <c r="G41" s="388"/>
      <c r="H41" s="388"/>
      <c r="I41" s="388"/>
      <c r="J41" s="388"/>
      <c r="K41" s="388"/>
      <c r="L41" s="282"/>
      <c r="M41" s="282"/>
    </row>
    <row r="42" spans="1:13" ht="19.5" customHeight="1" thickBot="1" x14ac:dyDescent="0.25">
      <c r="A42" s="111" t="s">
        <v>48</v>
      </c>
      <c r="B42" s="268"/>
      <c r="C42" s="268"/>
      <c r="D42" s="268"/>
      <c r="E42" s="268"/>
      <c r="F42" s="268"/>
      <c r="G42" s="268"/>
      <c r="H42" s="268"/>
      <c r="I42" s="268"/>
      <c r="J42" s="268"/>
      <c r="K42" s="268"/>
      <c r="L42" s="268"/>
      <c r="M42" s="268"/>
    </row>
    <row r="43" spans="1:13" x14ac:dyDescent="0.2">
      <c r="A43" s="367" t="s">
        <v>49</v>
      </c>
      <c r="B43" s="381" t="s">
        <v>50</v>
      </c>
      <c r="C43" s="382"/>
      <c r="D43" s="382"/>
      <c r="E43" s="382"/>
      <c r="F43" s="382"/>
      <c r="G43" s="382"/>
      <c r="H43" s="382"/>
      <c r="I43" s="382"/>
      <c r="J43" s="382"/>
      <c r="K43" s="382"/>
      <c r="L43" s="368"/>
      <c r="M43" s="368"/>
    </row>
    <row r="44" spans="1:13" ht="27.75" customHeight="1" x14ac:dyDescent="0.2">
      <c r="A44" s="275" t="s">
        <v>33</v>
      </c>
      <c r="B44" s="383" t="s">
        <v>51</v>
      </c>
      <c r="C44" s="383"/>
      <c r="D44" s="383"/>
      <c r="E44" s="383"/>
      <c r="F44" s="383"/>
      <c r="G44" s="383"/>
      <c r="H44" s="383"/>
      <c r="I44" s="383"/>
      <c r="J44" s="383"/>
      <c r="K44" s="383"/>
      <c r="L44" s="275"/>
      <c r="M44" s="275"/>
    </row>
    <row r="45" spans="1:13" ht="26.25" customHeight="1" x14ac:dyDescent="0.2">
      <c r="A45" s="268" t="s">
        <v>34</v>
      </c>
      <c r="B45" s="375" t="s">
        <v>52</v>
      </c>
      <c r="C45" s="375"/>
      <c r="D45" s="375"/>
      <c r="E45" s="375"/>
      <c r="F45" s="375"/>
      <c r="G45" s="375"/>
      <c r="H45" s="375"/>
      <c r="I45" s="375"/>
      <c r="J45" s="375"/>
      <c r="K45" s="375"/>
      <c r="L45" s="268"/>
      <c r="M45" s="268"/>
    </row>
    <row r="46" spans="1:13" ht="27" customHeight="1" x14ac:dyDescent="0.2">
      <c r="A46" s="268" t="s">
        <v>53</v>
      </c>
      <c r="B46" s="375" t="s">
        <v>54</v>
      </c>
      <c r="C46" s="375"/>
      <c r="D46" s="375"/>
      <c r="E46" s="375"/>
      <c r="F46" s="375"/>
      <c r="G46" s="375"/>
      <c r="H46" s="375"/>
      <c r="I46" s="375"/>
      <c r="J46" s="375"/>
      <c r="K46" s="375"/>
      <c r="L46" s="268"/>
      <c r="M46" s="268"/>
    </row>
    <row r="47" spans="1:13" ht="25.5" customHeight="1" x14ac:dyDescent="0.2">
      <c r="A47" s="268" t="s">
        <v>36</v>
      </c>
      <c r="B47" s="375" t="s">
        <v>55</v>
      </c>
      <c r="C47" s="375"/>
      <c r="D47" s="375"/>
      <c r="E47" s="375"/>
      <c r="F47" s="375"/>
      <c r="G47" s="375"/>
      <c r="H47" s="375"/>
      <c r="I47" s="375"/>
      <c r="J47" s="375"/>
      <c r="K47" s="375"/>
      <c r="L47" s="268"/>
      <c r="M47" s="268"/>
    </row>
    <row r="48" spans="1:13" x14ac:dyDescent="0.2">
      <c r="A48" s="268" t="s">
        <v>37</v>
      </c>
      <c r="B48" s="375" t="s">
        <v>56</v>
      </c>
      <c r="C48" s="375"/>
      <c r="D48" s="375"/>
      <c r="E48" s="375"/>
      <c r="F48" s="375"/>
      <c r="G48" s="375"/>
      <c r="H48" s="375"/>
      <c r="I48" s="375"/>
      <c r="J48" s="375"/>
      <c r="K48" s="375"/>
      <c r="L48" s="268"/>
      <c r="M48" s="268"/>
    </row>
    <row r="49" spans="1:13" ht="13.5" thickBot="1" x14ac:dyDescent="0.25">
      <c r="A49" s="268" t="s">
        <v>38</v>
      </c>
      <c r="B49" s="375" t="s">
        <v>56</v>
      </c>
      <c r="C49" s="375"/>
      <c r="D49" s="375"/>
      <c r="E49" s="375"/>
      <c r="F49" s="375"/>
      <c r="G49" s="375"/>
      <c r="H49" s="375"/>
      <c r="I49" s="375"/>
      <c r="J49" s="375"/>
      <c r="K49" s="375"/>
      <c r="L49" s="268"/>
      <c r="M49" s="268"/>
    </row>
    <row r="50" spans="1:13" s="258" customFormat="1" x14ac:dyDescent="0.2">
      <c r="A50" s="371" t="s">
        <v>26</v>
      </c>
      <c r="B50" s="379"/>
      <c r="C50" s="380"/>
      <c r="D50" s="380"/>
      <c r="E50" s="380"/>
      <c r="F50" s="380"/>
      <c r="G50" s="380"/>
      <c r="H50" s="380"/>
      <c r="I50" s="380"/>
      <c r="J50" s="380"/>
      <c r="K50" s="380"/>
      <c r="L50" s="372"/>
      <c r="M50" s="372"/>
    </row>
    <row r="51" spans="1:13" s="258" customFormat="1" x14ac:dyDescent="0.2">
      <c r="A51" s="370" t="s">
        <v>27</v>
      </c>
      <c r="B51" s="370" t="s">
        <v>57</v>
      </c>
      <c r="C51" s="238" t="s">
        <v>58</v>
      </c>
      <c r="D51" s="239" t="s">
        <v>59</v>
      </c>
      <c r="E51" s="239"/>
      <c r="F51" s="239"/>
      <c r="G51" s="239"/>
      <c r="H51" s="239"/>
      <c r="I51" s="239"/>
      <c r="J51" s="239"/>
      <c r="K51" s="370" t="s">
        <v>60</v>
      </c>
      <c r="L51" s="112" t="s">
        <v>61</v>
      </c>
      <c r="M51" s="112" t="s">
        <v>62</v>
      </c>
    </row>
    <row r="52" spans="1:13" s="258" customFormat="1" x14ac:dyDescent="0.2">
      <c r="A52" s="113" t="s">
        <v>48</v>
      </c>
      <c r="B52" s="369" t="s">
        <v>63</v>
      </c>
      <c r="C52" s="283" t="s">
        <v>64</v>
      </c>
      <c r="D52" s="375" t="s">
        <v>65</v>
      </c>
      <c r="E52" s="378"/>
      <c r="F52" s="378"/>
      <c r="G52" s="378"/>
      <c r="H52" s="378"/>
      <c r="I52" s="378"/>
      <c r="J52" s="378"/>
      <c r="K52" s="369" t="s">
        <v>66</v>
      </c>
      <c r="L52" s="369" t="s">
        <v>66</v>
      </c>
      <c r="M52" s="369" t="s">
        <v>66</v>
      </c>
    </row>
    <row r="53" spans="1:13" s="258" customFormat="1" x14ac:dyDescent="0.2">
      <c r="A53" s="369"/>
      <c r="B53" s="369" t="s">
        <v>67</v>
      </c>
      <c r="C53" s="283" t="s">
        <v>68</v>
      </c>
      <c r="D53" s="375" t="s">
        <v>69</v>
      </c>
      <c r="E53" s="378"/>
      <c r="F53" s="378"/>
      <c r="G53" s="378"/>
      <c r="H53" s="378"/>
      <c r="I53" s="378"/>
      <c r="J53" s="378"/>
      <c r="K53" s="369" t="s">
        <v>66</v>
      </c>
      <c r="L53" s="369" t="s">
        <v>66</v>
      </c>
      <c r="M53" s="369" t="s">
        <v>66</v>
      </c>
    </row>
    <row r="54" spans="1:13" s="258" customFormat="1" x14ac:dyDescent="0.2">
      <c r="A54" s="369"/>
      <c r="B54" s="369" t="s">
        <v>70</v>
      </c>
      <c r="C54" s="283" t="s">
        <v>71</v>
      </c>
      <c r="D54" s="375" t="s">
        <v>72</v>
      </c>
      <c r="E54" s="378"/>
      <c r="F54" s="378"/>
      <c r="G54" s="378"/>
      <c r="H54" s="378"/>
      <c r="I54" s="378"/>
      <c r="J54" s="378"/>
      <c r="K54" s="369" t="s">
        <v>66</v>
      </c>
      <c r="L54" s="369" t="s">
        <v>66</v>
      </c>
      <c r="M54" s="369" t="s">
        <v>66</v>
      </c>
    </row>
    <row r="55" spans="1:13" s="258" customFormat="1" x14ac:dyDescent="0.2">
      <c r="A55" s="369" t="s">
        <v>73</v>
      </c>
      <c r="B55" s="369" t="s">
        <v>74</v>
      </c>
      <c r="C55" s="283" t="s">
        <v>75</v>
      </c>
      <c r="D55" s="375" t="s">
        <v>76</v>
      </c>
      <c r="E55" s="378"/>
      <c r="F55" s="378"/>
      <c r="G55" s="378"/>
      <c r="H55" s="378"/>
      <c r="I55" s="378"/>
      <c r="J55" s="378"/>
      <c r="K55" s="369" t="s">
        <v>77</v>
      </c>
      <c r="L55" s="369" t="s">
        <v>66</v>
      </c>
      <c r="M55" s="369" t="s">
        <v>66</v>
      </c>
    </row>
    <row r="56" spans="1:13" s="258" customFormat="1" x14ac:dyDescent="0.2">
      <c r="A56" s="369"/>
      <c r="B56" s="369" t="s">
        <v>78</v>
      </c>
      <c r="C56" s="283"/>
      <c r="D56" s="375" t="s">
        <v>79</v>
      </c>
      <c r="E56" s="378"/>
      <c r="F56" s="378"/>
      <c r="G56" s="378"/>
      <c r="H56" s="378"/>
      <c r="I56" s="378"/>
      <c r="J56" s="378"/>
      <c r="K56" s="369" t="s">
        <v>80</v>
      </c>
      <c r="L56" s="369"/>
      <c r="M56" s="369"/>
    </row>
    <row r="57" spans="1:13" s="258" customFormat="1" x14ac:dyDescent="0.2">
      <c r="A57" s="369"/>
      <c r="B57" s="369" t="s">
        <v>81</v>
      </c>
      <c r="C57" s="283" t="s">
        <v>82</v>
      </c>
      <c r="D57" s="375" t="s">
        <v>83</v>
      </c>
      <c r="E57" s="378"/>
      <c r="F57" s="378"/>
      <c r="G57" s="378"/>
      <c r="H57" s="378"/>
      <c r="I57" s="378"/>
      <c r="J57" s="378"/>
      <c r="K57" s="369" t="s">
        <v>80</v>
      </c>
      <c r="L57" s="369" t="s">
        <v>66</v>
      </c>
      <c r="M57" s="369" t="s">
        <v>66</v>
      </c>
    </row>
    <row r="58" spans="1:13" s="258" customFormat="1" x14ac:dyDescent="0.2">
      <c r="A58" s="369"/>
      <c r="B58" s="369" t="s">
        <v>84</v>
      </c>
      <c r="C58" s="283" t="s">
        <v>85</v>
      </c>
      <c r="D58" s="375" t="s">
        <v>86</v>
      </c>
      <c r="E58" s="378"/>
      <c r="F58" s="378"/>
      <c r="G58" s="378"/>
      <c r="H58" s="378"/>
      <c r="I58" s="378"/>
      <c r="J58" s="378"/>
      <c r="K58" s="369" t="s">
        <v>80</v>
      </c>
      <c r="L58" s="369" t="s">
        <v>66</v>
      </c>
      <c r="M58" s="369" t="s">
        <v>66</v>
      </c>
    </row>
    <row r="59" spans="1:13" s="258" customFormat="1" x14ac:dyDescent="0.2">
      <c r="A59" s="369"/>
      <c r="B59" s="369" t="s">
        <v>87</v>
      </c>
      <c r="C59" s="283" t="s">
        <v>88</v>
      </c>
      <c r="D59" s="375" t="s">
        <v>89</v>
      </c>
      <c r="E59" s="378"/>
      <c r="F59" s="378"/>
      <c r="G59" s="378"/>
      <c r="H59" s="378"/>
      <c r="I59" s="378"/>
      <c r="J59" s="378"/>
      <c r="K59" s="369" t="s">
        <v>80</v>
      </c>
      <c r="L59" s="369"/>
      <c r="M59" s="369"/>
    </row>
    <row r="60" spans="1:13" s="258" customFormat="1" x14ac:dyDescent="0.2">
      <c r="A60" s="113"/>
      <c r="B60" s="369" t="s">
        <v>90</v>
      </c>
      <c r="C60" s="283" t="s">
        <v>91</v>
      </c>
      <c r="D60" s="375" t="s">
        <v>92</v>
      </c>
      <c r="E60" s="378"/>
      <c r="F60" s="378"/>
      <c r="G60" s="378"/>
      <c r="H60" s="378"/>
      <c r="I60" s="378"/>
      <c r="J60" s="378"/>
      <c r="K60" s="369" t="s">
        <v>80</v>
      </c>
      <c r="L60" s="369"/>
      <c r="M60" s="369"/>
    </row>
    <row r="61" spans="1:13" s="258" customFormat="1" x14ac:dyDescent="0.2">
      <c r="A61" s="369"/>
      <c r="B61" s="369" t="s">
        <v>93</v>
      </c>
      <c r="C61" s="283" t="s">
        <v>94</v>
      </c>
      <c r="D61" s="375" t="s">
        <v>95</v>
      </c>
      <c r="E61" s="378"/>
      <c r="F61" s="378"/>
      <c r="G61" s="378"/>
      <c r="H61" s="378"/>
      <c r="I61" s="378"/>
      <c r="J61" s="378"/>
      <c r="K61" s="369" t="s">
        <v>80</v>
      </c>
      <c r="L61" s="369" t="s">
        <v>66</v>
      </c>
      <c r="M61" s="369" t="s">
        <v>66</v>
      </c>
    </row>
    <row r="62" spans="1:13" s="258" customFormat="1" x14ac:dyDescent="0.2">
      <c r="A62" s="369"/>
      <c r="B62" s="369" t="s">
        <v>96</v>
      </c>
      <c r="C62" s="283" t="s">
        <v>97</v>
      </c>
      <c r="D62" s="375" t="s">
        <v>98</v>
      </c>
      <c r="E62" s="378"/>
      <c r="F62" s="378"/>
      <c r="G62" s="378"/>
      <c r="H62" s="378"/>
      <c r="I62" s="378"/>
      <c r="J62" s="378"/>
      <c r="K62" s="369" t="s">
        <v>80</v>
      </c>
      <c r="L62" s="369" t="s">
        <v>66</v>
      </c>
      <c r="M62" s="369" t="s">
        <v>66</v>
      </c>
    </row>
    <row r="63" spans="1:13" s="258" customFormat="1" x14ac:dyDescent="0.2">
      <c r="A63" s="369"/>
      <c r="B63" s="369" t="s">
        <v>99</v>
      </c>
      <c r="C63" s="283"/>
      <c r="D63" s="375" t="s">
        <v>100</v>
      </c>
      <c r="E63" s="378"/>
      <c r="F63" s="378"/>
      <c r="G63" s="378"/>
      <c r="H63" s="378"/>
      <c r="I63" s="378"/>
      <c r="J63" s="378"/>
      <c r="K63" s="369" t="s">
        <v>80</v>
      </c>
      <c r="L63" s="369"/>
      <c r="M63" s="369"/>
    </row>
    <row r="64" spans="1:13" s="258" customFormat="1" x14ac:dyDescent="0.2">
      <c r="A64" s="369"/>
      <c r="B64" s="369" t="s">
        <v>101</v>
      </c>
      <c r="C64" s="283" t="s">
        <v>102</v>
      </c>
      <c r="D64" s="375" t="s">
        <v>103</v>
      </c>
      <c r="E64" s="378"/>
      <c r="F64" s="378"/>
      <c r="G64" s="378"/>
      <c r="H64" s="378"/>
      <c r="I64" s="378"/>
      <c r="J64" s="378"/>
      <c r="K64" s="369" t="s">
        <v>104</v>
      </c>
      <c r="L64" s="369" t="s">
        <v>105</v>
      </c>
      <c r="M64" s="369" t="s">
        <v>106</v>
      </c>
    </row>
    <row r="65" spans="1:13" s="258" customFormat="1" x14ac:dyDescent="0.2">
      <c r="A65" s="369"/>
      <c r="B65" s="369" t="s">
        <v>107</v>
      </c>
      <c r="C65" s="283" t="s">
        <v>108</v>
      </c>
      <c r="D65" s="375" t="s">
        <v>109</v>
      </c>
      <c r="E65" s="378"/>
      <c r="F65" s="378"/>
      <c r="G65" s="378"/>
      <c r="H65" s="378"/>
      <c r="I65" s="378"/>
      <c r="J65" s="378"/>
      <c r="K65" s="369" t="s">
        <v>80</v>
      </c>
      <c r="L65" s="369" t="s">
        <v>66</v>
      </c>
      <c r="M65" s="369" t="s">
        <v>66</v>
      </c>
    </row>
    <row r="66" spans="1:13" s="258" customFormat="1" x14ac:dyDescent="0.2">
      <c r="A66" s="369"/>
      <c r="B66" s="369" t="s">
        <v>110</v>
      </c>
      <c r="C66" s="283" t="s">
        <v>111</v>
      </c>
      <c r="D66" s="375" t="s">
        <v>112</v>
      </c>
      <c r="E66" s="378"/>
      <c r="F66" s="378"/>
      <c r="G66" s="378"/>
      <c r="H66" s="378"/>
      <c r="I66" s="378"/>
      <c r="J66" s="378"/>
      <c r="K66" s="369" t="s">
        <v>104</v>
      </c>
      <c r="L66" s="369" t="s">
        <v>105</v>
      </c>
      <c r="M66" s="369" t="s">
        <v>106</v>
      </c>
    </row>
    <row r="67" spans="1:13" s="258" customFormat="1" x14ac:dyDescent="0.2">
      <c r="A67" s="369"/>
      <c r="B67" s="369" t="s">
        <v>113</v>
      </c>
      <c r="C67" s="283" t="s">
        <v>114</v>
      </c>
      <c r="D67" s="375" t="s">
        <v>115</v>
      </c>
      <c r="E67" s="378"/>
      <c r="F67" s="378"/>
      <c r="G67" s="378"/>
      <c r="H67" s="378"/>
      <c r="I67" s="378"/>
      <c r="J67" s="378"/>
      <c r="K67" s="369" t="s">
        <v>80</v>
      </c>
      <c r="L67" s="369" t="s">
        <v>66</v>
      </c>
      <c r="M67" s="369" t="s">
        <v>66</v>
      </c>
    </row>
    <row r="68" spans="1:13" s="258" customFormat="1" x14ac:dyDescent="0.2">
      <c r="A68" s="369"/>
      <c r="B68" s="369" t="s">
        <v>116</v>
      </c>
      <c r="C68" s="283" t="s">
        <v>117</v>
      </c>
      <c r="D68" s="375" t="s">
        <v>118</v>
      </c>
      <c r="E68" s="378"/>
      <c r="F68" s="378"/>
      <c r="G68" s="378"/>
      <c r="H68" s="378"/>
      <c r="I68" s="378"/>
      <c r="J68" s="378"/>
      <c r="K68" s="369" t="s">
        <v>104</v>
      </c>
      <c r="L68" s="369" t="s">
        <v>105</v>
      </c>
      <c r="M68" s="369" t="s">
        <v>106</v>
      </c>
    </row>
    <row r="69" spans="1:13" s="258" customFormat="1" x14ac:dyDescent="0.2">
      <c r="A69" s="369"/>
      <c r="B69" s="369" t="s">
        <v>119</v>
      </c>
      <c r="C69" s="283" t="s">
        <v>120</v>
      </c>
      <c r="D69" s="375" t="s">
        <v>121</v>
      </c>
      <c r="E69" s="378"/>
      <c r="F69" s="378"/>
      <c r="G69" s="378"/>
      <c r="H69" s="378"/>
      <c r="I69" s="378"/>
      <c r="J69" s="378"/>
      <c r="K69" s="369" t="s">
        <v>80</v>
      </c>
      <c r="L69" s="369" t="s">
        <v>66</v>
      </c>
      <c r="M69" s="369" t="s">
        <v>66</v>
      </c>
    </row>
    <row r="70" spans="1:13" s="258" customFormat="1" x14ac:dyDescent="0.2">
      <c r="A70" s="369"/>
      <c r="B70" s="369" t="s">
        <v>122</v>
      </c>
      <c r="C70" s="283" t="s">
        <v>123</v>
      </c>
      <c r="D70" s="375" t="s">
        <v>124</v>
      </c>
      <c r="E70" s="378"/>
      <c r="F70" s="378"/>
      <c r="G70" s="378"/>
      <c r="H70" s="378"/>
      <c r="I70" s="378"/>
      <c r="J70" s="378"/>
      <c r="K70" s="369" t="s">
        <v>104</v>
      </c>
      <c r="L70" s="369" t="s">
        <v>105</v>
      </c>
      <c r="M70" s="369" t="s">
        <v>106</v>
      </c>
    </row>
    <row r="71" spans="1:13" s="258" customFormat="1" x14ac:dyDescent="0.2">
      <c r="A71" s="369"/>
      <c r="B71" s="369" t="s">
        <v>125</v>
      </c>
      <c r="C71" s="283" t="s">
        <v>126</v>
      </c>
      <c r="D71" s="375" t="s">
        <v>127</v>
      </c>
      <c r="E71" s="378"/>
      <c r="F71" s="378"/>
      <c r="G71" s="378"/>
      <c r="H71" s="378"/>
      <c r="I71" s="378"/>
      <c r="J71" s="378"/>
      <c r="K71" s="369" t="s">
        <v>80</v>
      </c>
      <c r="L71" s="369" t="s">
        <v>66</v>
      </c>
      <c r="M71" s="369" t="s">
        <v>66</v>
      </c>
    </row>
    <row r="72" spans="1:13" s="258" customFormat="1" x14ac:dyDescent="0.2">
      <c r="A72" s="369"/>
      <c r="B72" s="369" t="s">
        <v>128</v>
      </c>
      <c r="C72" s="283" t="s">
        <v>129</v>
      </c>
      <c r="D72" s="375" t="s">
        <v>130</v>
      </c>
      <c r="E72" s="378"/>
      <c r="F72" s="378"/>
      <c r="G72" s="378"/>
      <c r="H72" s="378"/>
      <c r="I72" s="378"/>
      <c r="J72" s="378"/>
      <c r="K72" s="369" t="s">
        <v>104</v>
      </c>
      <c r="L72" s="369" t="s">
        <v>105</v>
      </c>
      <c r="M72" s="369" t="s">
        <v>106</v>
      </c>
    </row>
    <row r="73" spans="1:13" s="258" customFormat="1" x14ac:dyDescent="0.2">
      <c r="A73" s="369"/>
      <c r="B73" s="369" t="s">
        <v>131</v>
      </c>
      <c r="C73" s="283" t="s">
        <v>132</v>
      </c>
      <c r="D73" s="375" t="s">
        <v>133</v>
      </c>
      <c r="E73" s="378"/>
      <c r="F73" s="378"/>
      <c r="G73" s="378"/>
      <c r="H73" s="378"/>
      <c r="I73" s="378"/>
      <c r="J73" s="378"/>
      <c r="K73" s="369" t="s">
        <v>80</v>
      </c>
      <c r="L73" s="369" t="s">
        <v>66</v>
      </c>
      <c r="M73" s="369" t="s">
        <v>66</v>
      </c>
    </row>
    <row r="74" spans="1:13" s="258" customFormat="1" x14ac:dyDescent="0.2">
      <c r="A74" s="369"/>
      <c r="B74" s="369" t="s">
        <v>134</v>
      </c>
      <c r="C74" s="283" t="s">
        <v>135</v>
      </c>
      <c r="D74" s="375" t="s">
        <v>136</v>
      </c>
      <c r="E74" s="378"/>
      <c r="F74" s="378"/>
      <c r="G74" s="378"/>
      <c r="H74" s="378"/>
      <c r="I74" s="378"/>
      <c r="J74" s="378"/>
      <c r="K74" s="369" t="s">
        <v>104</v>
      </c>
      <c r="L74" s="369" t="s">
        <v>105</v>
      </c>
      <c r="M74" s="369" t="s">
        <v>106</v>
      </c>
    </row>
    <row r="75" spans="1:13" s="258" customFormat="1" x14ac:dyDescent="0.2">
      <c r="A75" s="369"/>
      <c r="B75" s="369" t="s">
        <v>137</v>
      </c>
      <c r="C75" s="283" t="s">
        <v>138</v>
      </c>
      <c r="D75" s="375" t="s">
        <v>139</v>
      </c>
      <c r="E75" s="378"/>
      <c r="F75" s="378"/>
      <c r="G75" s="378"/>
      <c r="H75" s="378"/>
      <c r="I75" s="378"/>
      <c r="J75" s="378"/>
      <c r="K75" s="369" t="s">
        <v>140</v>
      </c>
      <c r="L75" s="369" t="s">
        <v>105</v>
      </c>
      <c r="M75" s="369" t="s">
        <v>106</v>
      </c>
    </row>
    <row r="76" spans="1:13" s="258" customFormat="1" x14ac:dyDescent="0.2">
      <c r="A76" s="369"/>
      <c r="B76" s="369" t="s">
        <v>141</v>
      </c>
      <c r="C76" s="283" t="s">
        <v>142</v>
      </c>
      <c r="D76" s="375" t="s">
        <v>143</v>
      </c>
      <c r="E76" s="378"/>
      <c r="F76" s="378"/>
      <c r="G76" s="378"/>
      <c r="H76" s="378"/>
      <c r="I76" s="378"/>
      <c r="J76" s="378"/>
      <c r="K76" s="369"/>
      <c r="L76" s="369"/>
      <c r="M76" s="369"/>
    </row>
    <row r="77" spans="1:13" s="258" customFormat="1" x14ac:dyDescent="0.2">
      <c r="A77" s="369"/>
      <c r="B77" s="369" t="s">
        <v>144</v>
      </c>
      <c r="C77" s="283" t="s">
        <v>145</v>
      </c>
      <c r="D77" s="375" t="s">
        <v>146</v>
      </c>
      <c r="E77" s="378"/>
      <c r="F77" s="378"/>
      <c r="G77" s="378"/>
      <c r="H77" s="378"/>
      <c r="I77" s="378"/>
      <c r="J77" s="378"/>
      <c r="K77" s="369"/>
      <c r="L77" s="369"/>
      <c r="M77" s="369"/>
    </row>
    <row r="78" spans="1:13" s="258" customFormat="1" ht="26.45" customHeight="1" x14ac:dyDescent="0.2">
      <c r="A78" s="369"/>
      <c r="B78" s="369" t="s">
        <v>147</v>
      </c>
      <c r="C78" s="283" t="s">
        <v>148</v>
      </c>
      <c r="D78" s="375" t="s">
        <v>149</v>
      </c>
      <c r="E78" s="378"/>
      <c r="F78" s="378"/>
      <c r="G78" s="378"/>
      <c r="H78" s="378"/>
      <c r="I78" s="378"/>
      <c r="J78" s="378"/>
      <c r="K78" s="369" t="s">
        <v>66</v>
      </c>
      <c r="L78" s="369" t="s">
        <v>66</v>
      </c>
      <c r="M78" s="369" t="s">
        <v>66</v>
      </c>
    </row>
    <row r="79" spans="1:13" s="258" customFormat="1" x14ac:dyDescent="0.2">
      <c r="A79" s="369"/>
      <c r="B79" s="369" t="s">
        <v>67</v>
      </c>
      <c r="C79" s="283" t="s">
        <v>150</v>
      </c>
      <c r="D79" s="375" t="s">
        <v>69</v>
      </c>
      <c r="E79" s="378"/>
      <c r="F79" s="378"/>
      <c r="G79" s="378"/>
      <c r="H79" s="378"/>
      <c r="I79" s="378"/>
      <c r="J79" s="378"/>
      <c r="K79" s="369" t="s">
        <v>66</v>
      </c>
      <c r="L79" s="369" t="s">
        <v>66</v>
      </c>
      <c r="M79" s="369"/>
    </row>
    <row r="80" spans="1:13" s="258" customFormat="1" x14ac:dyDescent="0.2">
      <c r="A80" s="369"/>
      <c r="B80" s="369" t="s">
        <v>70</v>
      </c>
      <c r="C80" s="283" t="s">
        <v>151</v>
      </c>
      <c r="D80" s="375" t="s">
        <v>72</v>
      </c>
      <c r="E80" s="378"/>
      <c r="F80" s="378"/>
      <c r="G80" s="378"/>
      <c r="H80" s="378"/>
      <c r="I80" s="378"/>
      <c r="J80" s="378"/>
      <c r="K80" s="369" t="s">
        <v>66</v>
      </c>
      <c r="L80" s="369" t="s">
        <v>66</v>
      </c>
      <c r="M80" s="369" t="s">
        <v>66</v>
      </c>
    </row>
    <row r="81" spans="1:13" s="258" customFormat="1" x14ac:dyDescent="0.2">
      <c r="A81" s="369"/>
      <c r="B81" s="369" t="s">
        <v>74</v>
      </c>
      <c r="C81" s="283" t="s">
        <v>152</v>
      </c>
      <c r="D81" s="375" t="s">
        <v>76</v>
      </c>
      <c r="E81" s="378"/>
      <c r="F81" s="378"/>
      <c r="G81" s="378"/>
      <c r="H81" s="378"/>
      <c r="I81" s="378"/>
      <c r="J81" s="378"/>
      <c r="K81" s="369" t="s">
        <v>77</v>
      </c>
      <c r="L81" s="369" t="s">
        <v>66</v>
      </c>
      <c r="M81" s="369" t="s">
        <v>66</v>
      </c>
    </row>
    <row r="82" spans="1:13" s="258" customFormat="1" x14ac:dyDescent="0.2">
      <c r="A82" s="369"/>
      <c r="B82" s="369" t="s">
        <v>81</v>
      </c>
      <c r="C82" s="283" t="s">
        <v>153</v>
      </c>
      <c r="D82" s="375" t="s">
        <v>154</v>
      </c>
      <c r="E82" s="378"/>
      <c r="F82" s="378"/>
      <c r="G82" s="378"/>
      <c r="H82" s="378"/>
      <c r="I82" s="378"/>
      <c r="J82" s="378"/>
      <c r="K82" s="369" t="s">
        <v>80</v>
      </c>
      <c r="L82" s="369" t="s">
        <v>66</v>
      </c>
      <c r="M82" s="369" t="s">
        <v>66</v>
      </c>
    </row>
    <row r="83" spans="1:13" s="258" customFormat="1" x14ac:dyDescent="0.2">
      <c r="A83" s="369"/>
      <c r="B83" s="369" t="s">
        <v>84</v>
      </c>
      <c r="C83" s="283" t="s">
        <v>155</v>
      </c>
      <c r="D83" s="375" t="s">
        <v>156</v>
      </c>
      <c r="E83" s="378"/>
      <c r="F83" s="378"/>
      <c r="G83" s="378"/>
      <c r="H83" s="378"/>
      <c r="I83" s="378"/>
      <c r="J83" s="378"/>
      <c r="K83" s="369" t="s">
        <v>80</v>
      </c>
      <c r="L83" s="369" t="s">
        <v>66</v>
      </c>
      <c r="M83" s="369" t="s">
        <v>66</v>
      </c>
    </row>
    <row r="84" spans="1:13" s="258" customFormat="1" x14ac:dyDescent="0.2">
      <c r="A84" s="369"/>
      <c r="B84" s="369" t="s">
        <v>87</v>
      </c>
      <c r="C84" s="283" t="s">
        <v>157</v>
      </c>
      <c r="D84" s="375" t="s">
        <v>158</v>
      </c>
      <c r="E84" s="378"/>
      <c r="F84" s="378"/>
      <c r="G84" s="378"/>
      <c r="H84" s="378"/>
      <c r="I84" s="378"/>
      <c r="J84" s="378"/>
      <c r="K84" s="369" t="s">
        <v>80</v>
      </c>
      <c r="L84" s="369" t="s">
        <v>66</v>
      </c>
      <c r="M84" s="369" t="s">
        <v>66</v>
      </c>
    </row>
    <row r="85" spans="1:13" s="258" customFormat="1" x14ac:dyDescent="0.2">
      <c r="A85" s="369"/>
      <c r="B85" s="369" t="s">
        <v>90</v>
      </c>
      <c r="C85" s="283" t="s">
        <v>159</v>
      </c>
      <c r="D85" s="375" t="s">
        <v>160</v>
      </c>
      <c r="E85" s="378"/>
      <c r="F85" s="378"/>
      <c r="G85" s="378"/>
      <c r="H85" s="378"/>
      <c r="I85" s="378"/>
      <c r="J85" s="378"/>
      <c r="K85" s="369" t="s">
        <v>104</v>
      </c>
      <c r="L85" s="369" t="s">
        <v>105</v>
      </c>
      <c r="M85" s="369" t="s">
        <v>106</v>
      </c>
    </row>
    <row r="86" spans="1:13" s="258" customFormat="1" x14ac:dyDescent="0.2">
      <c r="A86" s="369"/>
      <c r="B86" s="369" t="s">
        <v>93</v>
      </c>
      <c r="C86" s="283" t="s">
        <v>161</v>
      </c>
      <c r="D86" s="375" t="s">
        <v>162</v>
      </c>
      <c r="E86" s="378"/>
      <c r="F86" s="378"/>
      <c r="G86" s="378"/>
      <c r="H86" s="378"/>
      <c r="I86" s="378"/>
      <c r="J86" s="378"/>
      <c r="K86" s="369" t="s">
        <v>80</v>
      </c>
      <c r="L86" s="369" t="s">
        <v>66</v>
      </c>
      <c r="M86" s="369" t="s">
        <v>66</v>
      </c>
    </row>
    <row r="87" spans="1:13" s="258" customFormat="1" ht="12.75" customHeight="1" x14ac:dyDescent="0.2">
      <c r="A87" s="369"/>
      <c r="B87" s="369" t="s">
        <v>101</v>
      </c>
      <c r="C87" s="283" t="s">
        <v>163</v>
      </c>
      <c r="D87" s="375" t="s">
        <v>164</v>
      </c>
      <c r="E87" s="378"/>
      <c r="F87" s="378"/>
      <c r="G87" s="378"/>
      <c r="H87" s="378"/>
      <c r="I87" s="378"/>
      <c r="J87" s="378"/>
      <c r="K87" s="369" t="s">
        <v>104</v>
      </c>
      <c r="L87" s="369" t="s">
        <v>105</v>
      </c>
      <c r="M87" s="369" t="s">
        <v>106</v>
      </c>
    </row>
    <row r="88" spans="1:13" s="258" customFormat="1" ht="12.75" customHeight="1" x14ac:dyDescent="0.2">
      <c r="A88" s="369"/>
      <c r="B88" s="369" t="s">
        <v>165</v>
      </c>
      <c r="C88" s="283" t="s">
        <v>166</v>
      </c>
      <c r="D88" s="375" t="s">
        <v>167</v>
      </c>
      <c r="E88" s="378"/>
      <c r="F88" s="378"/>
      <c r="G88" s="378"/>
      <c r="H88" s="378"/>
      <c r="I88" s="378"/>
      <c r="J88" s="378"/>
      <c r="K88" s="369" t="s">
        <v>80</v>
      </c>
      <c r="L88" s="369" t="s">
        <v>66</v>
      </c>
      <c r="M88" s="369" t="s">
        <v>66</v>
      </c>
    </row>
    <row r="89" spans="1:13" s="258" customFormat="1" ht="12.75" customHeight="1" x14ac:dyDescent="0.2">
      <c r="A89" s="369"/>
      <c r="B89" s="369" t="s">
        <v>168</v>
      </c>
      <c r="C89" s="283" t="s">
        <v>169</v>
      </c>
      <c r="D89" s="375" t="s">
        <v>170</v>
      </c>
      <c r="E89" s="378"/>
      <c r="F89" s="378"/>
      <c r="G89" s="378"/>
      <c r="H89" s="378"/>
      <c r="I89" s="378"/>
      <c r="J89" s="378"/>
      <c r="K89" s="369" t="s">
        <v>80</v>
      </c>
      <c r="L89" s="369" t="s">
        <v>66</v>
      </c>
      <c r="M89" s="369" t="s">
        <v>66</v>
      </c>
    </row>
    <row r="90" spans="1:13" s="258" customFormat="1" ht="12.75" customHeight="1" x14ac:dyDescent="0.2">
      <c r="A90" s="369"/>
      <c r="B90" s="369" t="s">
        <v>110</v>
      </c>
      <c r="C90" s="283" t="s">
        <v>171</v>
      </c>
      <c r="D90" s="375" t="s">
        <v>172</v>
      </c>
      <c r="E90" s="378"/>
      <c r="F90" s="378"/>
      <c r="G90" s="378"/>
      <c r="H90" s="378"/>
      <c r="I90" s="378"/>
      <c r="J90" s="378"/>
      <c r="K90" s="369" t="s">
        <v>104</v>
      </c>
      <c r="L90" s="369" t="s">
        <v>105</v>
      </c>
      <c r="M90" s="369" t="s">
        <v>106</v>
      </c>
    </row>
    <row r="91" spans="1:13" s="258" customFormat="1" ht="12.75" customHeight="1" x14ac:dyDescent="0.2">
      <c r="A91" s="369"/>
      <c r="B91" s="369" t="s">
        <v>173</v>
      </c>
      <c r="C91" s="283" t="s">
        <v>174</v>
      </c>
      <c r="D91" s="375" t="s">
        <v>175</v>
      </c>
      <c r="E91" s="378"/>
      <c r="F91" s="378"/>
      <c r="G91" s="378"/>
      <c r="H91" s="378"/>
      <c r="I91" s="378"/>
      <c r="J91" s="378"/>
      <c r="K91" s="369" t="s">
        <v>80</v>
      </c>
      <c r="L91" s="369" t="s">
        <v>66</v>
      </c>
      <c r="M91" s="369" t="s">
        <v>66</v>
      </c>
    </row>
    <row r="92" spans="1:13" s="258" customFormat="1" ht="12.75" customHeight="1" x14ac:dyDescent="0.2">
      <c r="A92" s="369"/>
      <c r="B92" s="369" t="s">
        <v>176</v>
      </c>
      <c r="C92" s="283" t="s">
        <v>177</v>
      </c>
      <c r="D92" s="375" t="s">
        <v>178</v>
      </c>
      <c r="E92" s="378"/>
      <c r="F92" s="378"/>
      <c r="G92" s="378"/>
      <c r="H92" s="378"/>
      <c r="I92" s="378"/>
      <c r="J92" s="378"/>
      <c r="K92" s="369" t="s">
        <v>80</v>
      </c>
      <c r="L92" s="369" t="s">
        <v>66</v>
      </c>
      <c r="M92" s="369" t="s">
        <v>66</v>
      </c>
    </row>
    <row r="93" spans="1:13" s="258" customFormat="1" ht="12.75" customHeight="1" x14ac:dyDescent="0.2">
      <c r="A93" s="369"/>
      <c r="B93" s="369" t="s">
        <v>116</v>
      </c>
      <c r="C93" s="283" t="s">
        <v>179</v>
      </c>
      <c r="D93" s="375" t="s">
        <v>180</v>
      </c>
      <c r="E93" s="378"/>
      <c r="F93" s="378"/>
      <c r="G93" s="378"/>
      <c r="H93" s="378"/>
      <c r="I93" s="378"/>
      <c r="J93" s="378"/>
      <c r="K93" s="369" t="s">
        <v>104</v>
      </c>
      <c r="L93" s="369" t="s">
        <v>105</v>
      </c>
      <c r="M93" s="369" t="s">
        <v>106</v>
      </c>
    </row>
    <row r="94" spans="1:13" s="258" customFormat="1" ht="12.75" customHeight="1" x14ac:dyDescent="0.2">
      <c r="A94" s="369"/>
      <c r="B94" s="369" t="s">
        <v>181</v>
      </c>
      <c r="C94" s="283" t="s">
        <v>182</v>
      </c>
      <c r="D94" s="375" t="s">
        <v>183</v>
      </c>
      <c r="E94" s="378"/>
      <c r="F94" s="378"/>
      <c r="G94" s="378"/>
      <c r="H94" s="378"/>
      <c r="I94" s="378"/>
      <c r="J94" s="378"/>
      <c r="K94" s="369" t="s">
        <v>80</v>
      </c>
      <c r="L94" s="369" t="s">
        <v>66</v>
      </c>
      <c r="M94" s="369" t="s">
        <v>66</v>
      </c>
    </row>
    <row r="95" spans="1:13" s="258" customFormat="1" ht="12.75" customHeight="1" x14ac:dyDescent="0.2">
      <c r="A95" s="369"/>
      <c r="B95" s="369" t="s">
        <v>184</v>
      </c>
      <c r="C95" s="283" t="s">
        <v>185</v>
      </c>
      <c r="D95" s="375" t="s">
        <v>186</v>
      </c>
      <c r="E95" s="378"/>
      <c r="F95" s="378"/>
      <c r="G95" s="378"/>
      <c r="H95" s="378"/>
      <c r="I95" s="378"/>
      <c r="J95" s="378"/>
      <c r="K95" s="369" t="s">
        <v>80</v>
      </c>
      <c r="L95" s="369" t="s">
        <v>66</v>
      </c>
      <c r="M95" s="369" t="s">
        <v>66</v>
      </c>
    </row>
    <row r="96" spans="1:13" s="258" customFormat="1" ht="12.75" customHeight="1" x14ac:dyDescent="0.2">
      <c r="A96" s="369"/>
      <c r="B96" s="369" t="s">
        <v>122</v>
      </c>
      <c r="C96" s="283" t="s">
        <v>187</v>
      </c>
      <c r="D96" s="375" t="s">
        <v>188</v>
      </c>
      <c r="E96" s="378"/>
      <c r="F96" s="378"/>
      <c r="G96" s="378"/>
      <c r="H96" s="378"/>
      <c r="I96" s="378"/>
      <c r="J96" s="378"/>
      <c r="K96" s="369" t="s">
        <v>104</v>
      </c>
      <c r="L96" s="369" t="s">
        <v>105</v>
      </c>
      <c r="M96" s="369" t="s">
        <v>106</v>
      </c>
    </row>
    <row r="97" spans="1:13" s="258" customFormat="1" ht="12.75" customHeight="1" x14ac:dyDescent="0.2">
      <c r="A97" s="369"/>
      <c r="B97" s="369" t="s">
        <v>189</v>
      </c>
      <c r="C97" s="283" t="s">
        <v>190</v>
      </c>
      <c r="D97" s="375" t="s">
        <v>191</v>
      </c>
      <c r="E97" s="378"/>
      <c r="F97" s="378"/>
      <c r="G97" s="378"/>
      <c r="H97" s="378"/>
      <c r="I97" s="378"/>
      <c r="J97" s="378"/>
      <c r="K97" s="369" t="s">
        <v>80</v>
      </c>
      <c r="L97" s="369" t="s">
        <v>66</v>
      </c>
      <c r="M97" s="369" t="s">
        <v>66</v>
      </c>
    </row>
    <row r="98" spans="1:13" s="258" customFormat="1" ht="12.75" customHeight="1" x14ac:dyDescent="0.2">
      <c r="A98" s="369"/>
      <c r="B98" s="369" t="s">
        <v>192</v>
      </c>
      <c r="C98" s="283" t="s">
        <v>193</v>
      </c>
      <c r="D98" s="375" t="s">
        <v>194</v>
      </c>
      <c r="E98" s="378"/>
      <c r="F98" s="378"/>
      <c r="G98" s="378"/>
      <c r="H98" s="378"/>
      <c r="I98" s="378"/>
      <c r="J98" s="378"/>
      <c r="K98" s="369" t="s">
        <v>80</v>
      </c>
      <c r="L98" s="369" t="s">
        <v>66</v>
      </c>
      <c r="M98" s="369" t="s">
        <v>66</v>
      </c>
    </row>
    <row r="99" spans="1:13" s="258" customFormat="1" ht="12.75" customHeight="1" x14ac:dyDescent="0.2">
      <c r="A99" s="369"/>
      <c r="B99" s="369" t="s">
        <v>128</v>
      </c>
      <c r="C99" s="283" t="s">
        <v>195</v>
      </c>
      <c r="D99" s="375" t="s">
        <v>196</v>
      </c>
      <c r="E99" s="378"/>
      <c r="F99" s="378"/>
      <c r="G99" s="378"/>
      <c r="H99" s="378"/>
      <c r="I99" s="378"/>
      <c r="J99" s="378"/>
      <c r="K99" s="369" t="s">
        <v>104</v>
      </c>
      <c r="L99" s="369" t="s">
        <v>105</v>
      </c>
      <c r="M99" s="369" t="s">
        <v>106</v>
      </c>
    </row>
    <row r="100" spans="1:13" s="258" customFormat="1" ht="12.75" customHeight="1" x14ac:dyDescent="0.2">
      <c r="A100" s="369"/>
      <c r="B100" s="369" t="s">
        <v>197</v>
      </c>
      <c r="C100" s="283" t="s">
        <v>198</v>
      </c>
      <c r="D100" s="375" t="s">
        <v>199</v>
      </c>
      <c r="E100" s="378"/>
      <c r="F100" s="378"/>
      <c r="G100" s="378"/>
      <c r="H100" s="378"/>
      <c r="I100" s="378"/>
      <c r="J100" s="378"/>
      <c r="K100" s="369" t="s">
        <v>80</v>
      </c>
      <c r="L100" s="369" t="s">
        <v>66</v>
      </c>
      <c r="M100" s="369" t="s">
        <v>66</v>
      </c>
    </row>
    <row r="101" spans="1:13" s="258" customFormat="1" ht="12.75" customHeight="1" x14ac:dyDescent="0.2">
      <c r="A101" s="369"/>
      <c r="B101" s="369" t="s">
        <v>134</v>
      </c>
      <c r="C101" s="283" t="s">
        <v>200</v>
      </c>
      <c r="D101" s="375" t="s">
        <v>201</v>
      </c>
      <c r="E101" s="378"/>
      <c r="F101" s="378"/>
      <c r="G101" s="378"/>
      <c r="H101" s="378"/>
      <c r="I101" s="378"/>
      <c r="J101" s="378"/>
      <c r="K101" s="369" t="s">
        <v>80</v>
      </c>
      <c r="L101" s="369" t="s">
        <v>66</v>
      </c>
      <c r="M101" s="369" t="s">
        <v>66</v>
      </c>
    </row>
    <row r="102" spans="1:13" s="258" customFormat="1" ht="12.75" customHeight="1" x14ac:dyDescent="0.2">
      <c r="A102" s="369"/>
      <c r="B102" s="369" t="s">
        <v>137</v>
      </c>
      <c r="C102" s="283" t="s">
        <v>202</v>
      </c>
      <c r="D102" s="375" t="s">
        <v>203</v>
      </c>
      <c r="E102" s="378"/>
      <c r="F102" s="378"/>
      <c r="G102" s="378"/>
      <c r="H102" s="378"/>
      <c r="I102" s="378"/>
      <c r="J102" s="378"/>
      <c r="K102" s="369" t="s">
        <v>80</v>
      </c>
      <c r="L102" s="369" t="s">
        <v>66</v>
      </c>
      <c r="M102" s="369" t="s">
        <v>66</v>
      </c>
    </row>
    <row r="103" spans="1:13" s="258" customFormat="1" ht="12.75" customHeight="1" x14ac:dyDescent="0.2">
      <c r="A103" s="369"/>
      <c r="B103" s="369" t="s">
        <v>141</v>
      </c>
      <c r="C103" s="283" t="s">
        <v>204</v>
      </c>
      <c r="D103" s="375" t="s">
        <v>205</v>
      </c>
      <c r="E103" s="378"/>
      <c r="F103" s="378"/>
      <c r="G103" s="378"/>
      <c r="H103" s="378"/>
      <c r="I103" s="378"/>
      <c r="J103" s="378"/>
      <c r="K103" s="369" t="s">
        <v>206</v>
      </c>
      <c r="L103" s="369" t="s">
        <v>105</v>
      </c>
      <c r="M103" s="369" t="s">
        <v>106</v>
      </c>
    </row>
    <row r="104" spans="1:13" s="258" customFormat="1" ht="12.75" customHeight="1" x14ac:dyDescent="0.2">
      <c r="A104" s="369"/>
      <c r="B104" s="369" t="s">
        <v>144</v>
      </c>
      <c r="C104" s="283" t="s">
        <v>207</v>
      </c>
      <c r="D104" s="375" t="s">
        <v>146</v>
      </c>
      <c r="E104" s="378"/>
      <c r="F104" s="378"/>
      <c r="G104" s="378"/>
      <c r="H104" s="378"/>
      <c r="I104" s="378"/>
      <c r="J104" s="378"/>
      <c r="K104" s="369" t="s">
        <v>66</v>
      </c>
      <c r="L104" s="369" t="s">
        <v>66</v>
      </c>
      <c r="M104" s="369" t="s">
        <v>66</v>
      </c>
    </row>
    <row r="105" spans="1:13" s="258" customFormat="1" x14ac:dyDescent="0.2">
      <c r="A105" s="370" t="s">
        <v>28</v>
      </c>
      <c r="B105" s="370" t="s">
        <v>208</v>
      </c>
      <c r="C105" s="377" t="s">
        <v>59</v>
      </c>
      <c r="D105" s="377"/>
      <c r="E105" s="377"/>
      <c r="F105" s="377"/>
      <c r="G105" s="377"/>
      <c r="H105" s="377"/>
      <c r="I105" s="377"/>
      <c r="J105" s="377"/>
      <c r="K105" s="370" t="s">
        <v>60</v>
      </c>
      <c r="L105" s="112" t="s">
        <v>61</v>
      </c>
      <c r="M105" s="112" t="s">
        <v>62</v>
      </c>
    </row>
    <row r="106" spans="1:13" s="258" customFormat="1" ht="13.15" customHeight="1" x14ac:dyDescent="0.2">
      <c r="A106" s="113" t="s">
        <v>48</v>
      </c>
      <c r="B106" s="369" t="s">
        <v>209</v>
      </c>
      <c r="C106" s="283"/>
      <c r="D106" s="375" t="s">
        <v>210</v>
      </c>
      <c r="E106" s="378"/>
      <c r="F106" s="378"/>
      <c r="G106" s="378"/>
      <c r="H106" s="378"/>
      <c r="I106" s="378"/>
      <c r="J106" s="378"/>
      <c r="K106" s="369" t="s">
        <v>66</v>
      </c>
      <c r="L106" s="369" t="s">
        <v>66</v>
      </c>
      <c r="M106" s="369" t="s">
        <v>66</v>
      </c>
    </row>
    <row r="107" spans="1:13" s="259" customFormat="1" x14ac:dyDescent="0.2">
      <c r="A107" s="370" t="s">
        <v>29</v>
      </c>
      <c r="B107" s="370" t="s">
        <v>208</v>
      </c>
      <c r="C107" s="377" t="s">
        <v>59</v>
      </c>
      <c r="D107" s="377"/>
      <c r="E107" s="377"/>
      <c r="F107" s="377"/>
      <c r="G107" s="377"/>
      <c r="H107" s="377"/>
      <c r="I107" s="377"/>
      <c r="J107" s="377"/>
      <c r="K107" s="284"/>
      <c r="L107" s="284"/>
      <c r="M107" s="284"/>
    </row>
    <row r="108" spans="1:13" s="258" customFormat="1" x14ac:dyDescent="0.2">
      <c r="A108" s="113" t="s">
        <v>48</v>
      </c>
      <c r="B108" s="369" t="s">
        <v>63</v>
      </c>
      <c r="C108" s="283" t="s">
        <v>64</v>
      </c>
      <c r="D108" s="375" t="s">
        <v>211</v>
      </c>
      <c r="E108" s="378"/>
      <c r="F108" s="378"/>
      <c r="G108" s="378"/>
      <c r="H108" s="378"/>
      <c r="I108" s="378"/>
      <c r="J108" s="378"/>
      <c r="K108" s="369" t="s">
        <v>66</v>
      </c>
      <c r="L108" s="369" t="s">
        <v>66</v>
      </c>
      <c r="M108" s="369" t="s">
        <v>66</v>
      </c>
    </row>
    <row r="109" spans="1:13" s="258" customFormat="1" x14ac:dyDescent="0.2">
      <c r="A109" s="369"/>
      <c r="B109" s="369" t="s">
        <v>212</v>
      </c>
      <c r="C109" s="283" t="s">
        <v>68</v>
      </c>
      <c r="D109" s="375" t="s">
        <v>69</v>
      </c>
      <c r="E109" s="378"/>
      <c r="F109" s="378"/>
      <c r="G109" s="378"/>
      <c r="H109" s="378"/>
      <c r="I109" s="378"/>
      <c r="J109" s="378"/>
      <c r="K109" s="369" t="s">
        <v>66</v>
      </c>
      <c r="L109" s="369" t="s">
        <v>66</v>
      </c>
      <c r="M109" s="369" t="s">
        <v>66</v>
      </c>
    </row>
    <row r="110" spans="1:13" s="258" customFormat="1" x14ac:dyDescent="0.2">
      <c r="A110" s="369"/>
      <c r="B110" s="369" t="s">
        <v>213</v>
      </c>
      <c r="C110" s="283" t="s">
        <v>71</v>
      </c>
      <c r="D110" s="375" t="s">
        <v>72</v>
      </c>
      <c r="E110" s="378"/>
      <c r="F110" s="378"/>
      <c r="G110" s="378"/>
      <c r="H110" s="378"/>
      <c r="I110" s="378"/>
      <c r="J110" s="378"/>
      <c r="K110" s="369" t="s">
        <v>66</v>
      </c>
      <c r="L110" s="369" t="s">
        <v>66</v>
      </c>
      <c r="M110" s="369" t="s">
        <v>66</v>
      </c>
    </row>
    <row r="111" spans="1:13" s="258" customFormat="1" x14ac:dyDescent="0.2">
      <c r="A111" s="369"/>
      <c r="B111" s="369" t="s">
        <v>214</v>
      </c>
      <c r="C111" s="283" t="s">
        <v>75</v>
      </c>
      <c r="D111" s="375" t="s">
        <v>76</v>
      </c>
      <c r="E111" s="378"/>
      <c r="F111" s="378"/>
      <c r="G111" s="378"/>
      <c r="H111" s="378"/>
      <c r="I111" s="378"/>
      <c r="J111" s="378"/>
      <c r="K111" s="369" t="s">
        <v>77</v>
      </c>
      <c r="L111" s="369" t="s">
        <v>66</v>
      </c>
      <c r="M111" s="369" t="s">
        <v>66</v>
      </c>
    </row>
    <row r="112" spans="1:13" s="258" customFormat="1" x14ac:dyDescent="0.2">
      <c r="A112" s="369"/>
      <c r="B112" s="369" t="s">
        <v>215</v>
      </c>
      <c r="C112" s="283" t="s">
        <v>82</v>
      </c>
      <c r="D112" s="375" t="s">
        <v>216</v>
      </c>
      <c r="E112" s="378"/>
      <c r="F112" s="378"/>
      <c r="G112" s="378"/>
      <c r="H112" s="378"/>
      <c r="I112" s="378"/>
      <c r="J112" s="378"/>
      <c r="K112" s="369" t="s">
        <v>80</v>
      </c>
      <c r="L112" s="369" t="s">
        <v>66</v>
      </c>
      <c r="M112" s="369" t="s">
        <v>66</v>
      </c>
    </row>
    <row r="113" spans="1:13" s="258" customFormat="1" x14ac:dyDescent="0.2">
      <c r="A113" s="369"/>
      <c r="B113" s="369" t="s">
        <v>217</v>
      </c>
      <c r="C113" s="283" t="s">
        <v>85</v>
      </c>
      <c r="D113" s="375" t="s">
        <v>218</v>
      </c>
      <c r="E113" s="378"/>
      <c r="F113" s="378"/>
      <c r="G113" s="378"/>
      <c r="H113" s="378"/>
      <c r="I113" s="378"/>
      <c r="J113" s="378"/>
      <c r="K113" s="369" t="s">
        <v>80</v>
      </c>
      <c r="L113" s="369" t="s">
        <v>66</v>
      </c>
      <c r="M113" s="369" t="s">
        <v>66</v>
      </c>
    </row>
    <row r="114" spans="1:13" s="258" customFormat="1" x14ac:dyDescent="0.2">
      <c r="A114" s="369"/>
      <c r="B114" s="369" t="s">
        <v>219</v>
      </c>
      <c r="C114" s="283" t="s">
        <v>88</v>
      </c>
      <c r="D114" s="375" t="s">
        <v>89</v>
      </c>
      <c r="E114" s="378"/>
      <c r="F114" s="378"/>
      <c r="G114" s="378"/>
      <c r="H114" s="378"/>
      <c r="I114" s="378"/>
      <c r="J114" s="378"/>
      <c r="K114" s="369" t="s">
        <v>80</v>
      </c>
      <c r="L114" s="369" t="s">
        <v>66</v>
      </c>
      <c r="M114" s="369" t="s">
        <v>66</v>
      </c>
    </row>
    <row r="115" spans="1:13" s="258" customFormat="1" x14ac:dyDescent="0.2">
      <c r="A115" s="369"/>
      <c r="B115" s="369" t="s">
        <v>220</v>
      </c>
      <c r="C115" s="283" t="s">
        <v>91</v>
      </c>
      <c r="D115" s="375" t="s">
        <v>92</v>
      </c>
      <c r="E115" s="378"/>
      <c r="F115" s="378"/>
      <c r="G115" s="378"/>
      <c r="H115" s="378"/>
      <c r="I115" s="378"/>
      <c r="J115" s="378"/>
      <c r="K115" s="369" t="s">
        <v>80</v>
      </c>
      <c r="L115" s="369" t="s">
        <v>66</v>
      </c>
      <c r="M115" s="369" t="s">
        <v>66</v>
      </c>
    </row>
    <row r="116" spans="1:13" s="258" customFormat="1" x14ac:dyDescent="0.2">
      <c r="A116" s="369"/>
      <c r="B116" s="369" t="s">
        <v>221</v>
      </c>
      <c r="C116" s="283" t="s">
        <v>94</v>
      </c>
      <c r="D116" s="375" t="s">
        <v>95</v>
      </c>
      <c r="E116" s="378"/>
      <c r="F116" s="378"/>
      <c r="G116" s="378"/>
      <c r="H116" s="378"/>
      <c r="I116" s="378"/>
      <c r="J116" s="378"/>
      <c r="K116" s="369" t="s">
        <v>80</v>
      </c>
      <c r="L116" s="369" t="s">
        <v>66</v>
      </c>
      <c r="M116" s="369" t="s">
        <v>66</v>
      </c>
    </row>
    <row r="117" spans="1:13" s="258" customFormat="1" x14ac:dyDescent="0.2">
      <c r="A117" s="369"/>
      <c r="B117" s="369" t="s">
        <v>222</v>
      </c>
      <c r="C117" s="283" t="s">
        <v>97</v>
      </c>
      <c r="D117" s="375" t="s">
        <v>98</v>
      </c>
      <c r="E117" s="378"/>
      <c r="F117" s="378"/>
      <c r="G117" s="378"/>
      <c r="H117" s="378"/>
      <c r="I117" s="378"/>
      <c r="J117" s="378"/>
      <c r="K117" s="369" t="s">
        <v>80</v>
      </c>
      <c r="L117" s="369" t="s">
        <v>66</v>
      </c>
      <c r="M117" s="369" t="s">
        <v>66</v>
      </c>
    </row>
    <row r="118" spans="1:13" s="258" customFormat="1" x14ac:dyDescent="0.2">
      <c r="A118" s="369"/>
      <c r="B118" s="369" t="s">
        <v>223</v>
      </c>
      <c r="C118" s="283" t="s">
        <v>102</v>
      </c>
      <c r="D118" s="375" t="s">
        <v>103</v>
      </c>
      <c r="E118" s="378"/>
      <c r="F118" s="378"/>
      <c r="G118" s="378"/>
      <c r="H118" s="378"/>
      <c r="I118" s="378"/>
      <c r="J118" s="378"/>
      <c r="K118" s="369" t="s">
        <v>80</v>
      </c>
      <c r="L118" s="369" t="s">
        <v>66</v>
      </c>
      <c r="M118" s="369" t="s">
        <v>66</v>
      </c>
    </row>
    <row r="119" spans="1:13" s="258" customFormat="1" x14ac:dyDescent="0.2">
      <c r="A119" s="369"/>
      <c r="B119" s="369" t="s">
        <v>224</v>
      </c>
      <c r="C119" s="283" t="s">
        <v>108</v>
      </c>
      <c r="D119" s="375" t="s">
        <v>225</v>
      </c>
      <c r="E119" s="378"/>
      <c r="F119" s="378"/>
      <c r="G119" s="378"/>
      <c r="H119" s="378"/>
      <c r="I119" s="378"/>
      <c r="J119" s="378"/>
      <c r="K119" s="369" t="s">
        <v>80</v>
      </c>
      <c r="L119" s="369" t="s">
        <v>66</v>
      </c>
      <c r="M119" s="369" t="s">
        <v>66</v>
      </c>
    </row>
    <row r="120" spans="1:13" s="258" customFormat="1" x14ac:dyDescent="0.2">
      <c r="A120" s="369"/>
      <c r="B120" s="369" t="s">
        <v>226</v>
      </c>
      <c r="C120" s="283" t="s">
        <v>111</v>
      </c>
      <c r="D120" s="375" t="s">
        <v>227</v>
      </c>
      <c r="E120" s="378"/>
      <c r="F120" s="378"/>
      <c r="G120" s="378"/>
      <c r="H120" s="378"/>
      <c r="I120" s="378"/>
      <c r="J120" s="378"/>
      <c r="K120" s="369" t="s">
        <v>80</v>
      </c>
      <c r="L120" s="369" t="s">
        <v>66</v>
      </c>
      <c r="M120" s="369" t="s">
        <v>66</v>
      </c>
    </row>
    <row r="121" spans="1:13" s="258" customFormat="1" x14ac:dyDescent="0.2">
      <c r="A121" s="369"/>
      <c r="B121" s="369" t="s">
        <v>228</v>
      </c>
      <c r="C121" s="283" t="s">
        <v>114</v>
      </c>
      <c r="D121" s="375" t="s">
        <v>229</v>
      </c>
      <c r="E121" s="378"/>
      <c r="F121" s="378"/>
      <c r="G121" s="378"/>
      <c r="H121" s="378"/>
      <c r="I121" s="378"/>
      <c r="J121" s="378"/>
      <c r="K121" s="369" t="s">
        <v>104</v>
      </c>
      <c r="L121" s="369" t="s">
        <v>105</v>
      </c>
      <c r="M121" s="369" t="s">
        <v>106</v>
      </c>
    </row>
    <row r="122" spans="1:13" s="258" customFormat="1" x14ac:dyDescent="0.2">
      <c r="A122" s="369"/>
      <c r="B122" s="369" t="s">
        <v>230</v>
      </c>
      <c r="C122" s="283" t="s">
        <v>117</v>
      </c>
      <c r="D122" s="375" t="s">
        <v>231</v>
      </c>
      <c r="E122" s="378"/>
      <c r="F122" s="378"/>
      <c r="G122" s="378"/>
      <c r="H122" s="378"/>
      <c r="I122" s="378"/>
      <c r="J122" s="378"/>
      <c r="K122" s="369" t="s">
        <v>80</v>
      </c>
      <c r="L122" s="369" t="s">
        <v>66</v>
      </c>
      <c r="M122" s="369" t="s">
        <v>66</v>
      </c>
    </row>
    <row r="123" spans="1:13" s="258" customFormat="1" x14ac:dyDescent="0.2">
      <c r="A123" s="369"/>
      <c r="B123" s="369" t="s">
        <v>232</v>
      </c>
      <c r="C123" s="283" t="s">
        <v>120</v>
      </c>
      <c r="D123" s="375" t="s">
        <v>233</v>
      </c>
      <c r="E123" s="378"/>
      <c r="F123" s="378"/>
      <c r="G123" s="378"/>
      <c r="H123" s="378"/>
      <c r="I123" s="378"/>
      <c r="J123" s="378"/>
      <c r="K123" s="369" t="s">
        <v>80</v>
      </c>
      <c r="L123" s="369" t="s">
        <v>66</v>
      </c>
      <c r="M123" s="369" t="s">
        <v>66</v>
      </c>
    </row>
    <row r="124" spans="1:13" s="258" customFormat="1" x14ac:dyDescent="0.2">
      <c r="A124" s="369"/>
      <c r="B124" s="369" t="s">
        <v>234</v>
      </c>
      <c r="C124" s="283" t="s">
        <v>123</v>
      </c>
      <c r="D124" s="375" t="s">
        <v>235</v>
      </c>
      <c r="E124" s="378"/>
      <c r="F124" s="378"/>
      <c r="G124" s="378"/>
      <c r="H124" s="378"/>
      <c r="I124" s="378"/>
      <c r="J124" s="378"/>
      <c r="K124" s="369" t="s">
        <v>104</v>
      </c>
      <c r="L124" s="369" t="s">
        <v>105</v>
      </c>
      <c r="M124" s="369" t="s">
        <v>106</v>
      </c>
    </row>
    <row r="125" spans="1:13" s="258" customFormat="1" x14ac:dyDescent="0.2">
      <c r="A125" s="369"/>
      <c r="B125" s="369" t="s">
        <v>236</v>
      </c>
      <c r="C125" s="283" t="s">
        <v>126</v>
      </c>
      <c r="D125" s="375" t="s">
        <v>237</v>
      </c>
      <c r="E125" s="378"/>
      <c r="F125" s="378"/>
      <c r="G125" s="378"/>
      <c r="H125" s="378"/>
      <c r="I125" s="378"/>
      <c r="J125" s="378"/>
      <c r="K125" s="369" t="s">
        <v>80</v>
      </c>
      <c r="L125" s="369" t="s">
        <v>66</v>
      </c>
      <c r="M125" s="369" t="s">
        <v>66</v>
      </c>
    </row>
    <row r="126" spans="1:13" s="258" customFormat="1" x14ac:dyDescent="0.2">
      <c r="A126" s="369"/>
      <c r="B126" s="369" t="s">
        <v>238</v>
      </c>
      <c r="C126" s="283" t="s">
        <v>129</v>
      </c>
      <c r="D126" s="375" t="s">
        <v>239</v>
      </c>
      <c r="E126" s="378"/>
      <c r="F126" s="378"/>
      <c r="G126" s="378"/>
      <c r="H126" s="378"/>
      <c r="I126" s="378"/>
      <c r="J126" s="378"/>
      <c r="K126" s="369" t="s">
        <v>80</v>
      </c>
      <c r="L126" s="369" t="s">
        <v>66</v>
      </c>
      <c r="M126" s="369" t="s">
        <v>66</v>
      </c>
    </row>
    <row r="127" spans="1:13" s="258" customFormat="1" x14ac:dyDescent="0.2">
      <c r="A127" s="369"/>
      <c r="B127" s="369" t="s">
        <v>240</v>
      </c>
      <c r="C127" s="283" t="s">
        <v>132</v>
      </c>
      <c r="D127" s="375" t="s">
        <v>241</v>
      </c>
      <c r="E127" s="378"/>
      <c r="F127" s="378"/>
      <c r="G127" s="378"/>
      <c r="H127" s="378"/>
      <c r="I127" s="378"/>
      <c r="J127" s="378"/>
      <c r="K127" s="369" t="s">
        <v>104</v>
      </c>
      <c r="L127" s="369" t="s">
        <v>105</v>
      </c>
      <c r="M127" s="369" t="s">
        <v>106</v>
      </c>
    </row>
    <row r="128" spans="1:13" s="258" customFormat="1" x14ac:dyDescent="0.2">
      <c r="A128" s="369"/>
      <c r="B128" s="369" t="s">
        <v>242</v>
      </c>
      <c r="C128" s="283" t="s">
        <v>135</v>
      </c>
      <c r="D128" s="375" t="s">
        <v>243</v>
      </c>
      <c r="E128" s="378"/>
      <c r="F128" s="378"/>
      <c r="G128" s="378"/>
      <c r="H128" s="378"/>
      <c r="I128" s="378"/>
      <c r="J128" s="378"/>
      <c r="K128" s="369" t="s">
        <v>80</v>
      </c>
      <c r="L128" s="369" t="s">
        <v>66</v>
      </c>
      <c r="M128" s="369" t="s">
        <v>66</v>
      </c>
    </row>
    <row r="129" spans="1:13" s="258" customFormat="1" x14ac:dyDescent="0.2">
      <c r="A129" s="369"/>
      <c r="B129" s="369" t="s">
        <v>244</v>
      </c>
      <c r="C129" s="283" t="s">
        <v>138</v>
      </c>
      <c r="D129" s="375" t="s">
        <v>245</v>
      </c>
      <c r="E129" s="378"/>
      <c r="F129" s="378"/>
      <c r="G129" s="378"/>
      <c r="H129" s="378"/>
      <c r="I129" s="378"/>
      <c r="J129" s="378"/>
      <c r="K129" s="369" t="s">
        <v>80</v>
      </c>
      <c r="L129" s="369" t="s">
        <v>66</v>
      </c>
      <c r="M129" s="369" t="s">
        <v>66</v>
      </c>
    </row>
    <row r="130" spans="1:13" s="258" customFormat="1" x14ac:dyDescent="0.2">
      <c r="A130" s="369"/>
      <c r="B130" s="369" t="s">
        <v>246</v>
      </c>
      <c r="C130" s="283" t="s">
        <v>142</v>
      </c>
      <c r="D130" s="375" t="s">
        <v>247</v>
      </c>
      <c r="E130" s="378"/>
      <c r="F130" s="378"/>
      <c r="G130" s="378"/>
      <c r="H130" s="378"/>
      <c r="I130" s="378"/>
      <c r="J130" s="378"/>
      <c r="K130" s="369" t="s">
        <v>104</v>
      </c>
      <c r="L130" s="369" t="s">
        <v>105</v>
      </c>
      <c r="M130" s="369" t="s">
        <v>106</v>
      </c>
    </row>
    <row r="131" spans="1:13" s="258" customFormat="1" x14ac:dyDescent="0.2">
      <c r="A131" s="369"/>
      <c r="B131" s="369" t="s">
        <v>248</v>
      </c>
      <c r="C131" s="285" t="s">
        <v>145</v>
      </c>
      <c r="D131" s="375" t="s">
        <v>249</v>
      </c>
      <c r="E131" s="378"/>
      <c r="F131" s="378"/>
      <c r="G131" s="378"/>
      <c r="H131" s="378"/>
      <c r="I131" s="378"/>
      <c r="J131" s="378"/>
      <c r="K131" s="369" t="s">
        <v>80</v>
      </c>
      <c r="L131" s="369" t="s">
        <v>66</v>
      </c>
      <c r="M131" s="369" t="s">
        <v>66</v>
      </c>
    </row>
    <row r="132" spans="1:13" s="258" customFormat="1" x14ac:dyDescent="0.2">
      <c r="A132" s="369"/>
      <c r="B132" s="369" t="s">
        <v>250</v>
      </c>
      <c r="C132" s="285" t="s">
        <v>251</v>
      </c>
      <c r="D132" s="375" t="s">
        <v>252</v>
      </c>
      <c r="E132" s="378"/>
      <c r="F132" s="378"/>
      <c r="G132" s="378"/>
      <c r="H132" s="378"/>
      <c r="I132" s="378"/>
      <c r="J132" s="378"/>
      <c r="K132" s="369" t="s">
        <v>80</v>
      </c>
      <c r="L132" s="369" t="s">
        <v>66</v>
      </c>
      <c r="M132" s="369" t="s">
        <v>66</v>
      </c>
    </row>
    <row r="133" spans="1:13" s="258" customFormat="1" x14ac:dyDescent="0.2">
      <c r="A133" s="369"/>
      <c r="B133" s="369" t="s">
        <v>253</v>
      </c>
      <c r="C133" s="285" t="s">
        <v>254</v>
      </c>
      <c r="D133" s="375" t="s">
        <v>255</v>
      </c>
      <c r="E133" s="378"/>
      <c r="F133" s="378"/>
      <c r="G133" s="378"/>
      <c r="H133" s="378"/>
      <c r="I133" s="378"/>
      <c r="J133" s="378"/>
      <c r="K133" s="369" t="s">
        <v>80</v>
      </c>
      <c r="L133" s="369" t="s">
        <v>66</v>
      </c>
      <c r="M133" s="369" t="s">
        <v>66</v>
      </c>
    </row>
    <row r="134" spans="1:13" s="258" customFormat="1" x14ac:dyDescent="0.2">
      <c r="A134" s="369"/>
      <c r="B134" s="369" t="s">
        <v>256</v>
      </c>
      <c r="C134" s="285" t="s">
        <v>148</v>
      </c>
      <c r="D134" s="375" t="s">
        <v>257</v>
      </c>
      <c r="E134" s="378"/>
      <c r="F134" s="378"/>
      <c r="G134" s="378"/>
      <c r="H134" s="378"/>
      <c r="I134" s="378"/>
      <c r="J134" s="378"/>
      <c r="K134" s="369" t="s">
        <v>206</v>
      </c>
      <c r="L134" s="369" t="s">
        <v>105</v>
      </c>
      <c r="M134" s="369" t="s">
        <v>106</v>
      </c>
    </row>
    <row r="135" spans="1:13" s="258" customFormat="1" x14ac:dyDescent="0.2">
      <c r="A135" s="370" t="s">
        <v>258</v>
      </c>
      <c r="B135" s="370" t="s">
        <v>208</v>
      </c>
      <c r="C135" s="377" t="s">
        <v>59</v>
      </c>
      <c r="D135" s="377"/>
      <c r="E135" s="377"/>
      <c r="F135" s="377"/>
      <c r="G135" s="377"/>
      <c r="H135" s="377"/>
      <c r="I135" s="377"/>
      <c r="J135" s="377"/>
      <c r="K135" s="370" t="s">
        <v>60</v>
      </c>
      <c r="L135" s="112" t="s">
        <v>61</v>
      </c>
      <c r="M135" s="112" t="s">
        <v>62</v>
      </c>
    </row>
    <row r="136" spans="1:13" s="258" customFormat="1" x14ac:dyDescent="0.2">
      <c r="A136" s="369"/>
      <c r="B136" s="369" t="s">
        <v>209</v>
      </c>
      <c r="C136" s="283" t="s">
        <v>64</v>
      </c>
      <c r="D136" s="375" t="s">
        <v>259</v>
      </c>
      <c r="E136" s="378"/>
      <c r="F136" s="378"/>
      <c r="G136" s="378"/>
      <c r="H136" s="378"/>
      <c r="I136" s="378"/>
      <c r="J136" s="378"/>
      <c r="K136" s="369" t="s">
        <v>66</v>
      </c>
      <c r="L136" s="369" t="s">
        <v>66</v>
      </c>
      <c r="M136" s="369" t="s">
        <v>66</v>
      </c>
    </row>
    <row r="137" spans="1:13" s="258" customFormat="1" x14ac:dyDescent="0.2">
      <c r="A137" s="370" t="s">
        <v>260</v>
      </c>
      <c r="B137" s="370" t="s">
        <v>208</v>
      </c>
      <c r="C137" s="377" t="s">
        <v>59</v>
      </c>
      <c r="D137" s="377"/>
      <c r="E137" s="377"/>
      <c r="F137" s="377"/>
      <c r="G137" s="377"/>
      <c r="H137" s="377"/>
      <c r="I137" s="377"/>
      <c r="J137" s="377"/>
      <c r="K137" s="370" t="s">
        <v>60</v>
      </c>
      <c r="L137" s="112" t="s">
        <v>61</v>
      </c>
      <c r="M137" s="112" t="s">
        <v>62</v>
      </c>
    </row>
    <row r="138" spans="1:13" s="258" customFormat="1" x14ac:dyDescent="0.2">
      <c r="A138" s="369"/>
      <c r="B138" s="369" t="s">
        <v>209</v>
      </c>
      <c r="C138" s="283" t="s">
        <v>64</v>
      </c>
      <c r="D138" s="375" t="s">
        <v>261</v>
      </c>
      <c r="E138" s="378"/>
      <c r="F138" s="378"/>
      <c r="G138" s="378"/>
      <c r="H138" s="378"/>
      <c r="I138" s="378"/>
      <c r="J138" s="378"/>
      <c r="K138" s="369" t="s">
        <v>66</v>
      </c>
      <c r="L138" s="369" t="s">
        <v>66</v>
      </c>
      <c r="M138" s="369" t="s">
        <v>66</v>
      </c>
    </row>
    <row r="139" spans="1:13" s="258" customFormat="1" ht="12.75" customHeight="1" x14ac:dyDescent="0.2">
      <c r="A139" s="369"/>
      <c r="B139" s="369"/>
      <c r="C139" s="375"/>
      <c r="D139" s="375"/>
      <c r="E139" s="375"/>
      <c r="F139" s="375"/>
      <c r="G139" s="375"/>
      <c r="H139" s="375"/>
      <c r="I139" s="375"/>
      <c r="J139" s="375"/>
      <c r="K139" s="369"/>
      <c r="L139" s="369"/>
      <c r="M139" s="369"/>
    </row>
    <row r="140" spans="1:13" s="258" customFormat="1" x14ac:dyDescent="0.2">
      <c r="A140" s="369"/>
      <c r="B140" s="369"/>
      <c r="C140" s="375"/>
      <c r="D140" s="375"/>
      <c r="E140" s="375"/>
      <c r="F140" s="375"/>
      <c r="G140" s="375"/>
      <c r="H140" s="375"/>
      <c r="I140" s="375"/>
      <c r="J140" s="375"/>
      <c r="K140" s="369"/>
      <c r="L140" s="369"/>
      <c r="M140" s="369"/>
    </row>
    <row r="141" spans="1:13" s="258" customFormat="1" x14ac:dyDescent="0.2">
      <c r="A141" s="369"/>
      <c r="B141" s="369"/>
      <c r="C141" s="376"/>
      <c r="D141" s="376"/>
      <c r="E141" s="376"/>
      <c r="F141" s="376"/>
      <c r="G141" s="376"/>
      <c r="H141" s="376"/>
      <c r="I141" s="376"/>
      <c r="J141" s="376"/>
      <c r="K141" s="369"/>
      <c r="L141" s="369"/>
      <c r="M141" s="369"/>
    </row>
    <row r="142" spans="1:13" s="258" customFormat="1" x14ac:dyDescent="0.2">
      <c r="A142" s="369"/>
      <c r="B142" s="369"/>
      <c r="C142" s="369"/>
      <c r="D142" s="369"/>
      <c r="E142" s="369"/>
      <c r="F142" s="369"/>
      <c r="G142" s="369"/>
      <c r="H142" s="369"/>
      <c r="I142" s="369"/>
      <c r="J142" s="369"/>
      <c r="K142" s="369"/>
      <c r="L142" s="369"/>
      <c r="M142" s="369"/>
    </row>
    <row r="143" spans="1:13" s="258" customFormat="1" x14ac:dyDescent="0.2">
      <c r="A143" s="369"/>
      <c r="B143" s="369"/>
      <c r="C143" s="369"/>
      <c r="D143" s="369"/>
      <c r="E143" s="369"/>
      <c r="F143" s="369"/>
      <c r="G143" s="369"/>
      <c r="H143" s="369"/>
      <c r="I143" s="369"/>
      <c r="J143" s="369"/>
      <c r="K143" s="369"/>
      <c r="L143" s="369"/>
      <c r="M143" s="369"/>
    </row>
    <row r="144" spans="1:13" s="258" customFormat="1" x14ac:dyDescent="0.2">
      <c r="A144" s="369"/>
      <c r="B144" s="369"/>
      <c r="C144" s="369"/>
      <c r="D144" s="369"/>
      <c r="E144" s="369"/>
      <c r="F144" s="369"/>
      <c r="G144" s="369"/>
      <c r="H144" s="369"/>
      <c r="I144" s="369"/>
      <c r="J144" s="369"/>
      <c r="K144" s="369"/>
      <c r="L144" s="369"/>
      <c r="M144" s="369"/>
    </row>
    <row r="145" spans="1:13" s="258" customFormat="1" x14ac:dyDescent="0.2">
      <c r="A145" s="369"/>
      <c r="B145" s="369"/>
      <c r="C145" s="369"/>
      <c r="D145" s="369"/>
      <c r="E145" s="369"/>
      <c r="F145" s="369"/>
      <c r="G145" s="369"/>
      <c r="H145" s="369"/>
      <c r="I145" s="369"/>
      <c r="J145" s="369"/>
      <c r="K145" s="369"/>
      <c r="L145" s="369"/>
      <c r="M145" s="369"/>
    </row>
    <row r="146" spans="1:13" s="258" customFormat="1" x14ac:dyDescent="0.2">
      <c r="A146" s="369"/>
      <c r="B146" s="369"/>
      <c r="C146" s="369"/>
      <c r="D146" s="369"/>
      <c r="E146" s="369"/>
      <c r="F146" s="369"/>
      <c r="G146" s="369"/>
      <c r="H146" s="369"/>
      <c r="I146" s="369"/>
      <c r="J146" s="369"/>
      <c r="K146" s="369"/>
      <c r="L146" s="369"/>
      <c r="M146" s="369"/>
    </row>
    <row r="147" spans="1:13" s="258" customFormat="1" x14ac:dyDescent="0.2">
      <c r="A147" s="369"/>
      <c r="B147" s="369"/>
      <c r="C147" s="369"/>
      <c r="D147" s="369"/>
      <c r="E147" s="369"/>
      <c r="F147" s="369"/>
      <c r="G147" s="369"/>
      <c r="H147" s="369"/>
      <c r="I147" s="369"/>
      <c r="J147" s="369"/>
      <c r="K147" s="369"/>
      <c r="L147" s="369"/>
      <c r="M147" s="369"/>
    </row>
    <row r="148" spans="1:13" s="258" customFormat="1" x14ac:dyDescent="0.2">
      <c r="A148" s="369"/>
      <c r="B148" s="369"/>
      <c r="C148" s="369"/>
      <c r="D148" s="369"/>
      <c r="E148" s="369"/>
      <c r="F148" s="369"/>
      <c r="G148" s="369"/>
      <c r="H148" s="369"/>
      <c r="I148" s="369"/>
      <c r="J148" s="369"/>
      <c r="K148" s="369"/>
      <c r="L148" s="369"/>
      <c r="M148" s="369"/>
    </row>
    <row r="149" spans="1:13" s="258" customFormat="1" x14ac:dyDescent="0.2">
      <c r="A149" s="369"/>
      <c r="B149" s="369"/>
      <c r="C149" s="369"/>
      <c r="D149" s="369"/>
      <c r="E149" s="369"/>
      <c r="F149" s="369"/>
      <c r="G149" s="369"/>
      <c r="H149" s="369"/>
      <c r="I149" s="369"/>
      <c r="J149" s="369"/>
      <c r="K149" s="369"/>
      <c r="L149" s="369"/>
      <c r="M149" s="369"/>
    </row>
    <row r="150" spans="1:13" s="258" customFormat="1" x14ac:dyDescent="0.2">
      <c r="A150" s="369"/>
      <c r="B150" s="369"/>
      <c r="C150" s="369"/>
      <c r="D150" s="369"/>
      <c r="E150" s="369"/>
      <c r="F150" s="369"/>
      <c r="G150" s="369"/>
      <c r="H150" s="369"/>
      <c r="I150" s="369"/>
      <c r="J150" s="369"/>
      <c r="K150" s="369"/>
      <c r="L150" s="369"/>
      <c r="M150" s="369"/>
    </row>
    <row r="151" spans="1:13" s="258" customFormat="1" x14ac:dyDescent="0.2">
      <c r="A151" s="369"/>
      <c r="B151" s="369"/>
      <c r="C151" s="369"/>
      <c r="D151" s="369"/>
      <c r="E151" s="369"/>
      <c r="F151" s="369"/>
      <c r="G151" s="369"/>
      <c r="H151" s="369"/>
      <c r="I151" s="369"/>
      <c r="J151" s="369"/>
      <c r="K151" s="369"/>
      <c r="L151" s="369"/>
      <c r="M151" s="369"/>
    </row>
    <row r="152" spans="1:13" s="258" customFormat="1" x14ac:dyDescent="0.2">
      <c r="A152" s="369"/>
      <c r="B152" s="369"/>
      <c r="C152" s="369"/>
      <c r="D152" s="369"/>
      <c r="E152" s="369"/>
      <c r="F152" s="369"/>
      <c r="G152" s="369"/>
      <c r="H152" s="369"/>
      <c r="I152" s="369"/>
      <c r="J152" s="369"/>
      <c r="K152" s="369"/>
      <c r="L152" s="369"/>
      <c r="M152" s="369"/>
    </row>
    <row r="153" spans="1:13" s="258" customFormat="1" x14ac:dyDescent="0.2">
      <c r="A153" s="369"/>
      <c r="B153" s="369"/>
      <c r="C153" s="369"/>
      <c r="D153" s="369"/>
      <c r="E153" s="369"/>
      <c r="F153" s="369"/>
      <c r="G153" s="369"/>
      <c r="H153" s="369"/>
      <c r="I153" s="369"/>
      <c r="J153" s="369"/>
      <c r="K153" s="369"/>
      <c r="L153" s="369"/>
      <c r="M153" s="369"/>
    </row>
    <row r="154" spans="1:13" x14ac:dyDescent="0.2">
      <c r="A154" s="268"/>
      <c r="B154" s="268"/>
      <c r="C154" s="268"/>
      <c r="D154" s="268"/>
      <c r="E154" s="268"/>
      <c r="F154" s="268"/>
      <c r="G154" s="268"/>
      <c r="H154" s="268"/>
      <c r="I154" s="268"/>
      <c r="J154" s="268"/>
      <c r="K154" s="268"/>
      <c r="L154" s="268"/>
      <c r="M154" s="268"/>
    </row>
    <row r="155" spans="1:13" x14ac:dyDescent="0.2">
      <c r="A155" s="268"/>
      <c r="B155" s="268"/>
      <c r="C155" s="268"/>
      <c r="D155" s="268"/>
      <c r="E155" s="268"/>
      <c r="F155" s="268"/>
      <c r="G155" s="268"/>
      <c r="H155" s="268"/>
      <c r="I155" s="268"/>
      <c r="J155" s="268"/>
      <c r="K155" s="268"/>
      <c r="L155" s="268"/>
      <c r="M155" s="268"/>
    </row>
    <row r="156" spans="1:13" x14ac:dyDescent="0.2">
      <c r="A156" s="268"/>
      <c r="B156" s="268"/>
      <c r="C156" s="268"/>
      <c r="D156" s="268"/>
      <c r="E156" s="268"/>
      <c r="F156" s="268"/>
      <c r="G156" s="268"/>
      <c r="H156" s="268"/>
      <c r="I156" s="268"/>
      <c r="J156" s="268"/>
      <c r="K156" s="268"/>
      <c r="L156" s="268"/>
      <c r="M156" s="268"/>
    </row>
    <row r="157" spans="1:13" x14ac:dyDescent="0.2">
      <c r="A157" s="268"/>
      <c r="B157" s="268"/>
      <c r="C157" s="268"/>
      <c r="D157" s="268"/>
      <c r="E157" s="268"/>
      <c r="F157" s="268"/>
      <c r="G157" s="268"/>
      <c r="H157" s="268"/>
      <c r="I157" s="268"/>
      <c r="J157" s="268"/>
      <c r="K157" s="268"/>
      <c r="L157" s="268"/>
      <c r="M157" s="268"/>
    </row>
    <row r="158" spans="1:13" x14ac:dyDescent="0.2">
      <c r="A158" s="268"/>
      <c r="B158" s="268"/>
      <c r="C158" s="268"/>
      <c r="D158" s="268"/>
      <c r="E158" s="268"/>
      <c r="F158" s="268"/>
      <c r="G158" s="268"/>
      <c r="H158" s="268"/>
      <c r="I158" s="268"/>
      <c r="J158" s="268"/>
      <c r="K158" s="268"/>
      <c r="L158" s="268"/>
      <c r="M158" s="268"/>
    </row>
    <row r="159" spans="1:13" x14ac:dyDescent="0.2">
      <c r="A159" s="268"/>
      <c r="B159" s="268"/>
      <c r="C159" s="268"/>
      <c r="D159" s="268"/>
      <c r="E159" s="268"/>
      <c r="F159" s="268"/>
      <c r="G159" s="268"/>
      <c r="H159" s="268"/>
      <c r="I159" s="268"/>
      <c r="J159" s="268"/>
      <c r="K159" s="268"/>
      <c r="L159" s="268"/>
      <c r="M159" s="268"/>
    </row>
    <row r="160" spans="1:13" x14ac:dyDescent="0.2">
      <c r="A160" s="268"/>
      <c r="B160" s="268"/>
      <c r="C160" s="268"/>
      <c r="D160" s="268"/>
      <c r="E160" s="268"/>
      <c r="F160" s="268"/>
      <c r="G160" s="268"/>
      <c r="H160" s="268"/>
      <c r="I160" s="268"/>
      <c r="J160" s="268"/>
      <c r="K160" s="268"/>
      <c r="L160" s="268"/>
      <c r="M160" s="268"/>
    </row>
  </sheetData>
  <mergeCells count="104">
    <mergeCell ref="B49:K49"/>
    <mergeCell ref="B43:K43"/>
    <mergeCell ref="B44:K44"/>
    <mergeCell ref="B45:K45"/>
    <mergeCell ref="B46:K46"/>
    <mergeCell ref="B47:K47"/>
    <mergeCell ref="B48:K48"/>
    <mergeCell ref="B36:K36"/>
    <mergeCell ref="B37:K37"/>
    <mergeCell ref="B38:K38"/>
    <mergeCell ref="B39:K39"/>
    <mergeCell ref="B40:K40"/>
    <mergeCell ref="B41:K41"/>
    <mergeCell ref="D54:J54"/>
    <mergeCell ref="D55:J55"/>
    <mergeCell ref="D56:J56"/>
    <mergeCell ref="D57:J57"/>
    <mergeCell ref="D58:J58"/>
    <mergeCell ref="D59:J59"/>
    <mergeCell ref="B50:K50"/>
    <mergeCell ref="D52:J52"/>
    <mergeCell ref="D53:J53"/>
    <mergeCell ref="D66:J66"/>
    <mergeCell ref="D67:J67"/>
    <mergeCell ref="D68:J68"/>
    <mergeCell ref="D69:J69"/>
    <mergeCell ref="D70:J70"/>
    <mergeCell ref="D71:J71"/>
    <mergeCell ref="D60:J60"/>
    <mergeCell ref="D61:J61"/>
    <mergeCell ref="D62:J62"/>
    <mergeCell ref="D63:J63"/>
    <mergeCell ref="D64:J64"/>
    <mergeCell ref="D65:J65"/>
    <mergeCell ref="D78:J78"/>
    <mergeCell ref="D79:J79"/>
    <mergeCell ref="D80:J80"/>
    <mergeCell ref="D81:J81"/>
    <mergeCell ref="D82:J82"/>
    <mergeCell ref="D83:J83"/>
    <mergeCell ref="D72:J72"/>
    <mergeCell ref="D73:J73"/>
    <mergeCell ref="D74:J74"/>
    <mergeCell ref="D75:J75"/>
    <mergeCell ref="D76:J76"/>
    <mergeCell ref="D77:J77"/>
    <mergeCell ref="D90:J90"/>
    <mergeCell ref="D91:J91"/>
    <mergeCell ref="D92:J92"/>
    <mergeCell ref="D93:J93"/>
    <mergeCell ref="D94:J94"/>
    <mergeCell ref="D95:J95"/>
    <mergeCell ref="D84:J84"/>
    <mergeCell ref="D85:J85"/>
    <mergeCell ref="D86:J86"/>
    <mergeCell ref="D87:J87"/>
    <mergeCell ref="D88:J88"/>
    <mergeCell ref="D89:J89"/>
    <mergeCell ref="D102:J102"/>
    <mergeCell ref="D103:J103"/>
    <mergeCell ref="D104:J104"/>
    <mergeCell ref="C105:J105"/>
    <mergeCell ref="D106:J106"/>
    <mergeCell ref="D96:J96"/>
    <mergeCell ref="D97:J97"/>
    <mergeCell ref="D98:J98"/>
    <mergeCell ref="D99:J99"/>
    <mergeCell ref="D100:J100"/>
    <mergeCell ref="D101:J101"/>
    <mergeCell ref="D113:J113"/>
    <mergeCell ref="D114:J114"/>
    <mergeCell ref="D115:J115"/>
    <mergeCell ref="D116:J116"/>
    <mergeCell ref="D117:J117"/>
    <mergeCell ref="D118:J118"/>
    <mergeCell ref="C107:J107"/>
    <mergeCell ref="D108:J108"/>
    <mergeCell ref="D109:J109"/>
    <mergeCell ref="D110:J110"/>
    <mergeCell ref="D111:J111"/>
    <mergeCell ref="D112:J112"/>
    <mergeCell ref="D125:J125"/>
    <mergeCell ref="D126:J126"/>
    <mergeCell ref="D127:J127"/>
    <mergeCell ref="D128:J128"/>
    <mergeCell ref="D129:J129"/>
    <mergeCell ref="D130:J130"/>
    <mergeCell ref="D119:J119"/>
    <mergeCell ref="D120:J120"/>
    <mergeCell ref="D121:J121"/>
    <mergeCell ref="D122:J122"/>
    <mergeCell ref="D123:J123"/>
    <mergeCell ref="D124:J124"/>
    <mergeCell ref="C139:J139"/>
    <mergeCell ref="C140:J140"/>
    <mergeCell ref="C141:J141"/>
    <mergeCell ref="C137:J137"/>
    <mergeCell ref="D138:J138"/>
    <mergeCell ref="D131:J131"/>
    <mergeCell ref="D132:J132"/>
    <mergeCell ref="D133:J133"/>
    <mergeCell ref="D134:J134"/>
    <mergeCell ref="C135:J135"/>
    <mergeCell ref="D136:J136"/>
  </mergeCells>
  <hyperlinks>
    <hyperlink ref="A16" location="Metadata!A1" tooltip="Go to Metadata worksheet" display="Metadata" xr:uid="{00000000-0004-0000-0000-000000000000}"/>
    <hyperlink ref="A17" location="Metadata!B2" tooltip="Go to Contact Information" display="Contact Information" xr:uid="{00000000-0004-0000-0000-000001000000}"/>
    <hyperlink ref="A18" location="Metadata!A27" tooltip="Go to Data Summary" display="Summary" xr:uid="{00000000-0004-0000-0000-000002000000}"/>
    <hyperlink ref="A19" location="Metadata!A73" tooltip="Go to Data Use Limitations" display="Use Limitations" xr:uid="{00000000-0004-0000-0000-000003000000}"/>
    <hyperlink ref="A20" location="Metadata!A75" tooltip="Go to References" display="References" xr:uid="{00000000-0004-0000-0000-000004000000}"/>
    <hyperlink ref="A22" location="Metadata!A98" tooltip="Go to the Data Descriptions (Metadata)" display="Data Descriptions" xr:uid="{00000000-0004-0000-0000-000005000000}"/>
    <hyperlink ref="A23" location="Metadata!A98" tooltip="Go to the UCC CHN 23-24 worksheet data descriptions" display="UCC CHN 23-24 worksheet" xr:uid="{00000000-0004-0000-0000-000006000000}"/>
    <hyperlink ref="A42" location="Metadata!A14" tooltip="Return to the Table of Contents" display="Return to Table of Contents" xr:uid="{00000000-0004-0000-0000-000007000000}"/>
    <hyperlink ref="A52" location="Metadata!A14" tooltip="Return to the Table of Contents" display="Return to Table of Contents" xr:uid="{00000000-0004-0000-0000-000008000000}"/>
    <hyperlink ref="A21" location="Metadata!A83" tooltip="Go to the Excel Worksheet Descriptions" display="Worksheet Descriptions" xr:uid="{00000000-0004-0000-0000-000009000000}"/>
    <hyperlink ref="A28" location="Metadata!A153" tooltip="Go to the LCC Tables &amp; Figures worksheet data descriptions" display="LCC Tables &amp; Figures worksheet" xr:uid="{00000000-0004-0000-0000-00000C000000}"/>
    <hyperlink ref="A29" location="'UCC CHN 23-24'!A1" tooltip="Go to the UCC CHN 23-24 worksheet" display="UCC CHN 23-24" xr:uid="{00000000-0004-0000-0000-00000D000000}"/>
    <hyperlink ref="A24" location="Metadata!A153" tooltip="Go to the LCC CHN 23-24 worksheet data descriptions" display="LCC CHN 23-24 worksheet" xr:uid="{00000000-0004-0000-0000-00000E000000}"/>
    <hyperlink ref="A25" location="Metadata!A153" tooltip="Go to the LCC RBT 23-24 worksheet data descriptions" display="LCC RBT 23-24 worksheet" xr:uid="{00000000-0004-0000-0000-00000F000000}"/>
    <hyperlink ref="A26" location="Metadata!A153" tooltip="Go to the LCC with UCC Fish worksheet data descriptions" display="LCC with UCC Fish worksheet" xr:uid="{00000000-0004-0000-0000-000010000000}"/>
    <hyperlink ref="A27" location="Metadata!A153" tooltip="Go to the UCC Tables &amp; Figures worksheet data descriptions" display="UCC Tables &amp; Figures worksheet" xr:uid="{00000000-0004-0000-0000-000011000000}"/>
    <hyperlink ref="A30" location="'LCC CNH 23-24'!A1" tooltip="Go to the LCC CHN 23-24 worksheet" display="LCC CHN 23-24" xr:uid="{00000000-0004-0000-0000-000014000000}"/>
    <hyperlink ref="A31" location="'LCC RBT 23-24'!A1" tooltip="Go to the LCC RBT 23-24 worksheet" display="LCC RBT 23-24" xr:uid="{00000000-0004-0000-0000-000015000000}"/>
    <hyperlink ref="A32" location="'LCC with UCC Fish'!A1" tooltip="Go to the LCC with UCC Fish worksheet" display="LCC with UCC Fish" xr:uid="{00000000-0004-0000-0000-000016000000}"/>
    <hyperlink ref="A33" location="'UCC Tables &amp; Figures '!A1" tooltip="Go to the UCC Tables &amp; Figures worksheet" display="UCC Tables &amp; Figures" xr:uid="{00000000-0004-0000-0000-000017000000}"/>
    <hyperlink ref="A34" location="'LCC Tables &amp; Figures '!A1" tooltip="Go to the LCC Tables &amp; Figures worksheet" display="LCC Tables &amp; Figures" xr:uid="{00000000-0004-0000-0000-000018000000}"/>
    <hyperlink ref="A108" location="Metadata!A14" tooltip="Return to the Table of Contents" display="Return to Table of Contents" xr:uid="{00000000-0004-0000-0000-000019000000}"/>
    <hyperlink ref="A106" location="Metadata!A14" tooltip="Return to the Table of Contents" display="Return to Table of Contents" xr:uid="{00000000-0004-0000-0000-00001A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
  <sheetViews>
    <sheetView workbookViewId="0">
      <selection activeCell="E20" sqref="E20"/>
    </sheetView>
  </sheetViews>
  <sheetFormatPr defaultColWidth="9.140625" defaultRowHeight="12.75" x14ac:dyDescent="0.2"/>
  <cols>
    <col min="1" max="1" width="20" bestFit="1" customWidth="1"/>
    <col min="2" max="2" width="20.42578125" bestFit="1" customWidth="1"/>
    <col min="3" max="3" width="9.85546875" bestFit="1" customWidth="1"/>
    <col min="4" max="4" width="11.7109375" style="81" bestFit="1" customWidth="1"/>
    <col min="5" max="5" width="8.140625" style="81" bestFit="1" customWidth="1"/>
    <col min="6" max="6" width="10" style="81" bestFit="1" customWidth="1"/>
    <col min="7" max="7" width="10" bestFit="1" customWidth="1"/>
  </cols>
  <sheetData>
    <row r="1" spans="1:16" ht="15" x14ac:dyDescent="0.25">
      <c r="A1" s="82" t="s">
        <v>262</v>
      </c>
      <c r="B1" s="82" t="s">
        <v>263</v>
      </c>
      <c r="C1" s="82" t="s">
        <v>264</v>
      </c>
      <c r="D1" s="80" t="s">
        <v>265</v>
      </c>
      <c r="E1" s="80" t="s">
        <v>266</v>
      </c>
      <c r="F1" s="80" t="s">
        <v>267</v>
      </c>
      <c r="G1" s="82" t="s">
        <v>268</v>
      </c>
      <c r="L1" s="83"/>
      <c r="M1" s="85"/>
      <c r="N1" s="84"/>
      <c r="O1" s="85"/>
      <c r="P1" s="84"/>
    </row>
    <row r="2" spans="1:16" ht="15" x14ac:dyDescent="0.25">
      <c r="A2" s="82"/>
      <c r="B2" s="82"/>
      <c r="C2" s="82"/>
      <c r="L2" s="83"/>
      <c r="M2" s="85"/>
      <c r="N2" s="84"/>
      <c r="O2" s="83"/>
      <c r="P2" s="83"/>
    </row>
    <row r="3" spans="1:16" ht="15" x14ac:dyDescent="0.25">
      <c r="A3" s="82"/>
      <c r="B3" s="82"/>
      <c r="C3" s="82"/>
      <c r="L3" s="83"/>
      <c r="M3" s="85"/>
      <c r="N3" s="84"/>
      <c r="O3" s="85"/>
      <c r="P3" s="84"/>
    </row>
    <row r="4" spans="1:16" ht="15" x14ac:dyDescent="0.25">
      <c r="A4" s="82"/>
      <c r="B4" s="82"/>
      <c r="C4" s="82"/>
      <c r="L4" s="83"/>
      <c r="M4" s="85"/>
      <c r="N4" s="84"/>
      <c r="O4" s="85"/>
      <c r="P4" s="84"/>
    </row>
    <row r="5" spans="1:16" ht="15" x14ac:dyDescent="0.25">
      <c r="L5" s="83"/>
      <c r="M5" s="85"/>
      <c r="N5" s="84"/>
      <c r="O5" s="85"/>
      <c r="P5" s="84"/>
    </row>
    <row r="6" spans="1:16" ht="15" x14ac:dyDescent="0.25">
      <c r="L6" s="83"/>
      <c r="M6" s="85"/>
      <c r="N6" s="84"/>
      <c r="O6" s="85"/>
      <c r="P6" s="84"/>
    </row>
    <row r="7" spans="1:16" ht="15" x14ac:dyDescent="0.25">
      <c r="L7" s="83"/>
      <c r="M7" s="85"/>
      <c r="N7" s="84"/>
      <c r="O7" s="85"/>
      <c r="P7" s="84"/>
    </row>
    <row r="8" spans="1:16" ht="15" x14ac:dyDescent="0.25">
      <c r="L8" s="83"/>
      <c r="M8" s="85"/>
      <c r="N8" s="84"/>
      <c r="O8" s="85"/>
      <c r="P8" s="84"/>
    </row>
    <row r="9" spans="1:16" ht="15" x14ac:dyDescent="0.25">
      <c r="L9" s="83"/>
      <c r="M9" s="85"/>
      <c r="N9" s="84"/>
      <c r="O9" s="83"/>
      <c r="P9" s="83"/>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BH102"/>
  <sheetViews>
    <sheetView tabSelected="1" zoomScale="90" zoomScaleNormal="90" workbookViewId="0">
      <pane xSplit="2" ySplit="1" topLeftCell="C26" activePane="bottomRight" state="frozen"/>
      <selection pane="topRight" activeCell="C1" sqref="C1"/>
      <selection pane="bottomLeft" activeCell="A3" sqref="A3"/>
      <selection pane="bottomRight" activeCell="U36" sqref="U36"/>
    </sheetView>
  </sheetViews>
  <sheetFormatPr defaultColWidth="5.42578125" defaultRowHeight="18" customHeight="1" x14ac:dyDescent="0.2"/>
  <cols>
    <col min="1" max="1" width="4.85546875" style="37" bestFit="1" customWidth="1"/>
    <col min="2" max="2" width="9.28515625" style="148" customWidth="1"/>
    <col min="3" max="3" width="14.140625" style="148" customWidth="1"/>
    <col min="4" max="4" width="9.5703125" style="153" customWidth="1"/>
    <col min="5" max="5" width="11.28515625" style="153" customWidth="1"/>
    <col min="6" max="6" width="5.85546875" style="32" bestFit="1" customWidth="1"/>
    <col min="7" max="7" width="7" style="154" customWidth="1"/>
    <col min="8" max="8" width="5.85546875" style="154" customWidth="1"/>
    <col min="9" max="9" width="10.140625" style="154" customWidth="1"/>
    <col min="10" max="10" width="10.42578125" style="153" customWidth="1"/>
    <col min="11" max="12" width="8.5703125" style="153" bestFit="1" customWidth="1"/>
    <col min="13" max="13" width="7.28515625" style="39" bestFit="1" customWidth="1"/>
    <col min="14" max="14" width="9.140625" style="32" bestFit="1" customWidth="1"/>
    <col min="15" max="15" width="7.28515625" style="27" bestFit="1" customWidth="1"/>
    <col min="16" max="16" width="4.140625" style="32" bestFit="1" customWidth="1"/>
    <col min="17" max="17" width="7.28515625" style="27" bestFit="1" customWidth="1"/>
    <col min="18" max="18" width="4.140625" style="32" bestFit="1" customWidth="1"/>
    <col min="19" max="19" width="7.28515625" style="27" bestFit="1" customWidth="1"/>
    <col min="20" max="20" width="4.140625" style="32" bestFit="1" customWidth="1"/>
    <col min="21" max="21" width="7.28515625" style="27" bestFit="1" customWidth="1"/>
    <col min="22" max="22" width="13.42578125" style="162" customWidth="1"/>
    <col min="23" max="23" width="4.140625" style="162" bestFit="1" customWidth="1"/>
    <col min="24" max="24" width="7.140625" style="162" bestFit="1" customWidth="1"/>
    <col min="25" max="25" width="7.140625" style="27" bestFit="1" customWidth="1"/>
    <col min="26" max="26" width="8.85546875" style="27" bestFit="1" customWidth="1"/>
    <col min="27" max="27" width="7.5703125" style="27" customWidth="1"/>
    <col min="28" max="28" width="10.7109375" style="27" customWidth="1"/>
    <col min="29" max="30" width="8.7109375" style="148" bestFit="1" customWidth="1"/>
    <col min="31" max="31" width="3.5703125" style="32" bestFit="1" customWidth="1"/>
    <col min="32" max="32" width="6" style="32" bestFit="1" customWidth="1"/>
    <col min="33" max="34" width="4.42578125" style="32" bestFit="1" customWidth="1"/>
    <col min="35" max="36" width="3.5703125" style="32" bestFit="1" customWidth="1"/>
    <col min="37" max="37" width="4.28515625" style="32" bestFit="1" customWidth="1"/>
    <col min="38" max="38" width="7.85546875" style="164" bestFit="1" customWidth="1"/>
    <col min="39" max="39" width="4.28515625" style="32" bestFit="1" customWidth="1"/>
    <col min="40" max="40" width="6" style="256" bestFit="1" customWidth="1"/>
    <col min="41" max="41" width="7.28515625" style="39" bestFit="1" customWidth="1"/>
    <col min="42" max="42" width="3.5703125" style="32" bestFit="1" customWidth="1"/>
    <col min="43" max="43" width="6" style="32" bestFit="1" customWidth="1"/>
    <col min="44" max="44" width="7.28515625" style="39" bestFit="1" customWidth="1"/>
    <col min="45" max="45" width="3.5703125" style="32" bestFit="1" customWidth="1"/>
    <col min="46" max="46" width="6" style="32" bestFit="1" customWidth="1"/>
    <col min="47" max="47" width="7.28515625" style="39" bestFit="1" customWidth="1"/>
    <col min="48" max="48" width="3.5703125" style="32" bestFit="1" customWidth="1"/>
    <col min="49" max="49" width="6" style="32" bestFit="1" customWidth="1"/>
    <col min="50" max="50" width="7.28515625" style="39" bestFit="1" customWidth="1"/>
    <col min="51" max="51" width="3.5703125" style="32" bestFit="1" customWidth="1"/>
    <col min="52" max="52" width="6" style="32" bestFit="1" customWidth="1"/>
    <col min="53" max="53" width="3.5703125" style="32" bestFit="1" customWidth="1"/>
    <col min="54" max="54" width="7.140625" style="37" bestFit="1" customWidth="1"/>
    <col min="55" max="55" width="9.28515625" style="37" bestFit="1" customWidth="1"/>
    <col min="56" max="56" width="10.7109375" style="37" customWidth="1"/>
    <col min="57" max="57" width="8.85546875" style="27" bestFit="1" customWidth="1"/>
    <col min="58" max="58" width="10.7109375" style="27" bestFit="1" customWidth="1"/>
    <col min="59" max="59" width="90.140625" style="27" bestFit="1" customWidth="1"/>
    <col min="60" max="60" width="8.140625" style="27" bestFit="1" customWidth="1"/>
    <col min="61" max="64" width="5.42578125" style="27" customWidth="1"/>
    <col min="65" max="16384" width="5.42578125" style="27"/>
  </cols>
  <sheetData>
    <row r="1" spans="1:60" ht="26.25" customHeight="1" thickBot="1" x14ac:dyDescent="0.35">
      <c r="A1" s="77" t="s">
        <v>269</v>
      </c>
      <c r="B1" s="149"/>
      <c r="C1" s="149"/>
      <c r="D1" s="151"/>
      <c r="E1" s="151"/>
      <c r="F1" s="151"/>
      <c r="G1" s="151"/>
      <c r="H1" s="151"/>
      <c r="I1" s="180" t="s">
        <v>270</v>
      </c>
      <c r="J1" s="181"/>
      <c r="K1" s="182"/>
      <c r="L1" s="183"/>
      <c r="M1" s="184"/>
      <c r="N1" s="184"/>
      <c r="O1" s="75"/>
      <c r="P1" s="151"/>
      <c r="Q1" s="75"/>
      <c r="R1" s="151"/>
      <c r="S1" s="75"/>
      <c r="T1" s="151"/>
      <c r="U1" s="75"/>
      <c r="V1" s="151"/>
      <c r="W1" s="151"/>
      <c r="X1" s="151"/>
      <c r="Y1" s="75"/>
      <c r="Z1" s="75"/>
      <c r="AA1" s="7"/>
      <c r="AB1" s="7" t="s">
        <v>271</v>
      </c>
      <c r="AC1" s="144"/>
      <c r="AD1" s="144"/>
      <c r="AE1" s="15"/>
      <c r="AF1" s="15"/>
      <c r="AG1" s="15"/>
      <c r="AH1" s="15"/>
      <c r="AI1" s="15"/>
      <c r="AJ1" s="15"/>
      <c r="AK1" s="15"/>
      <c r="AL1" s="163"/>
      <c r="AM1" s="15"/>
      <c r="AN1" s="255"/>
      <c r="AO1" s="16"/>
      <c r="AP1" s="15"/>
      <c r="AQ1" s="15"/>
      <c r="AR1" s="16"/>
      <c r="AS1" s="15"/>
      <c r="AT1" s="15"/>
      <c r="AU1" s="16"/>
      <c r="AV1" s="15"/>
      <c r="AW1" s="15"/>
      <c r="AX1" s="16"/>
      <c r="AY1" s="15"/>
      <c r="AZ1" s="15"/>
      <c r="BA1" s="15"/>
      <c r="BB1" s="136"/>
      <c r="BC1" s="136"/>
      <c r="BD1" s="136"/>
    </row>
    <row r="2" spans="1:60" s="33" customFormat="1" ht="153.75" customHeight="1" thickBot="1" x14ac:dyDescent="0.25">
      <c r="A2" s="241" t="s">
        <v>63</v>
      </c>
      <c r="B2" s="242" t="s">
        <v>67</v>
      </c>
      <c r="C2" s="243" t="s">
        <v>70</v>
      </c>
      <c r="D2" s="152" t="s">
        <v>74</v>
      </c>
      <c r="E2" s="211" t="s">
        <v>78</v>
      </c>
      <c r="F2" s="211" t="s">
        <v>81</v>
      </c>
      <c r="G2" s="211" t="s">
        <v>84</v>
      </c>
      <c r="H2" s="211" t="s">
        <v>87</v>
      </c>
      <c r="I2" s="211" t="s">
        <v>90</v>
      </c>
      <c r="J2" s="211" t="s">
        <v>93</v>
      </c>
      <c r="K2" s="152" t="s">
        <v>96</v>
      </c>
      <c r="L2" s="211" t="s">
        <v>99</v>
      </c>
      <c r="M2" s="244" t="s">
        <v>101</v>
      </c>
      <c r="N2" s="254" t="s">
        <v>272</v>
      </c>
      <c r="O2" s="241" t="s">
        <v>273</v>
      </c>
      <c r="P2" s="254" t="s">
        <v>274</v>
      </c>
      <c r="Q2" s="241" t="s">
        <v>275</v>
      </c>
      <c r="R2" s="254" t="s">
        <v>276</v>
      </c>
      <c r="S2" s="241" t="s">
        <v>277</v>
      </c>
      <c r="T2" s="254" t="s">
        <v>278</v>
      </c>
      <c r="U2" s="241" t="s">
        <v>279</v>
      </c>
      <c r="V2" s="211" t="s">
        <v>131</v>
      </c>
      <c r="W2" s="211" t="s">
        <v>137</v>
      </c>
      <c r="X2" s="241" t="s">
        <v>141</v>
      </c>
      <c r="Y2" s="241" t="s">
        <v>280</v>
      </c>
      <c r="Z2" s="241" t="s">
        <v>281</v>
      </c>
      <c r="AA2" s="11"/>
      <c r="AB2" s="241" t="s">
        <v>147</v>
      </c>
      <c r="AC2" s="242" t="s">
        <v>67</v>
      </c>
      <c r="AD2" s="243" t="s">
        <v>70</v>
      </c>
      <c r="AE2" s="152" t="s">
        <v>74</v>
      </c>
      <c r="AF2" s="211" t="s">
        <v>78</v>
      </c>
      <c r="AG2" s="211" t="s">
        <v>81</v>
      </c>
      <c r="AH2" s="211" t="s">
        <v>84</v>
      </c>
      <c r="AI2" s="211" t="s">
        <v>87</v>
      </c>
      <c r="AJ2" s="211" t="s">
        <v>90</v>
      </c>
      <c r="AK2" s="211" t="s">
        <v>93</v>
      </c>
      <c r="AL2" s="244" t="s">
        <v>101</v>
      </c>
      <c r="AM2" s="245" t="s">
        <v>282</v>
      </c>
      <c r="AN2" s="245" t="s">
        <v>283</v>
      </c>
      <c r="AO2" s="241" t="s">
        <v>273</v>
      </c>
      <c r="AP2" s="245" t="s">
        <v>284</v>
      </c>
      <c r="AQ2" s="245" t="s">
        <v>285</v>
      </c>
      <c r="AR2" s="241" t="s">
        <v>275</v>
      </c>
      <c r="AS2" s="245" t="s">
        <v>286</v>
      </c>
      <c r="AT2" s="245" t="s">
        <v>287</v>
      </c>
      <c r="AU2" s="241" t="s">
        <v>277</v>
      </c>
      <c r="AV2" s="245" t="s">
        <v>288</v>
      </c>
      <c r="AW2" s="245" t="s">
        <v>289</v>
      </c>
      <c r="AX2" s="241" t="s">
        <v>279</v>
      </c>
      <c r="AY2" s="257" t="s">
        <v>197</v>
      </c>
      <c r="AZ2" s="241" t="s">
        <v>134</v>
      </c>
      <c r="BA2" s="241" t="s">
        <v>137</v>
      </c>
      <c r="BB2" s="241" t="s">
        <v>141</v>
      </c>
      <c r="BC2" s="241" t="s">
        <v>280</v>
      </c>
      <c r="BD2" s="241" t="s">
        <v>281</v>
      </c>
    </row>
    <row r="3" spans="1:60" ht="15" customHeight="1" thickBot="1" x14ac:dyDescent="0.25">
      <c r="A3" s="286">
        <v>1</v>
      </c>
      <c r="B3" s="287">
        <v>45982</v>
      </c>
      <c r="C3" s="287">
        <v>45983</v>
      </c>
      <c r="D3" s="288">
        <v>1</v>
      </c>
      <c r="E3" s="289">
        <f t="shared" ref="E3:J3" si="0">AF7</f>
        <v>74</v>
      </c>
      <c r="F3" s="289">
        <f t="shared" si="0"/>
        <v>73</v>
      </c>
      <c r="G3" s="289">
        <f t="shared" si="0"/>
        <v>73</v>
      </c>
      <c r="H3" s="289">
        <f t="shared" si="0"/>
        <v>1</v>
      </c>
      <c r="I3" s="289">
        <f t="shared" si="0"/>
        <v>0</v>
      </c>
      <c r="J3" s="289">
        <f t="shared" si="0"/>
        <v>0</v>
      </c>
      <c r="K3" s="289">
        <f>AZ7</f>
        <v>0</v>
      </c>
      <c r="L3" s="290">
        <f>SUM(H3:K3)</f>
        <v>1</v>
      </c>
      <c r="M3" s="291">
        <f>L3/E3</f>
        <v>1.3513513513513514E-2</v>
      </c>
      <c r="N3" s="292">
        <f>AM7+AN7</f>
        <v>10</v>
      </c>
      <c r="O3" s="293">
        <f t="shared" ref="O3:O23" si="1">N3/G3</f>
        <v>0.13698630136986301</v>
      </c>
      <c r="P3" s="292">
        <f>SUM(AP7:AQ7)</f>
        <v>2</v>
      </c>
      <c r="Q3" s="293">
        <f>P3/G3</f>
        <v>2.7397260273972601E-2</v>
      </c>
      <c r="R3" s="292">
        <f>SUM(AS7:AT7)</f>
        <v>0</v>
      </c>
      <c r="S3" s="293">
        <f t="shared" ref="S3:S23" si="2">R3/G3</f>
        <v>0</v>
      </c>
      <c r="T3" s="292">
        <f>SUM(AV7:AW7)</f>
        <v>0</v>
      </c>
      <c r="U3" s="293">
        <f t="shared" ref="U3:U23" si="3">T3/G3</f>
        <v>0</v>
      </c>
      <c r="V3" s="290">
        <f>AX7</f>
        <v>0</v>
      </c>
      <c r="W3" s="290">
        <f>BA7</f>
        <v>12</v>
      </c>
      <c r="X3" s="293">
        <f t="shared" ref="X3:X22" si="4">(W3+1)/(G3+1)</f>
        <v>0.17567567567567569</v>
      </c>
      <c r="Y3" s="294" t="s">
        <v>290</v>
      </c>
      <c r="Z3" s="294" t="s">
        <v>291</v>
      </c>
      <c r="AA3" s="34"/>
      <c r="AB3" s="13" t="s">
        <v>292</v>
      </c>
      <c r="AC3" s="27"/>
      <c r="AD3" s="35"/>
      <c r="AE3" s="28"/>
      <c r="AF3" s="27"/>
      <c r="AG3" s="27"/>
      <c r="AH3" s="27"/>
      <c r="AI3" s="27"/>
      <c r="AJ3" s="27"/>
      <c r="AK3" s="36"/>
      <c r="AL3" s="9"/>
      <c r="AM3" s="35"/>
      <c r="AN3" s="35"/>
      <c r="AO3" s="7"/>
      <c r="AP3" s="27"/>
      <c r="AQ3" s="27"/>
      <c r="AR3" s="7"/>
      <c r="AS3" s="27"/>
      <c r="AT3" s="27"/>
      <c r="AU3" s="7"/>
      <c r="AV3" s="27"/>
      <c r="AW3" s="27"/>
      <c r="AX3" s="18"/>
      <c r="AY3" s="17"/>
      <c r="AZ3" s="15"/>
      <c r="BA3" s="7"/>
      <c r="BB3" s="7"/>
      <c r="BC3" s="7"/>
      <c r="BD3" s="7"/>
      <c r="BH3" s="29"/>
    </row>
    <row r="4" spans="1:60" ht="15" customHeight="1" x14ac:dyDescent="0.2">
      <c r="A4" s="295">
        <v>2</v>
      </c>
      <c r="B4" s="296">
        <v>45989</v>
      </c>
      <c r="C4" s="296">
        <v>45990</v>
      </c>
      <c r="D4" s="297">
        <v>1</v>
      </c>
      <c r="E4" s="298">
        <f t="shared" ref="E4:J4" si="5">AF12</f>
        <v>506</v>
      </c>
      <c r="F4" s="298">
        <f t="shared" si="5"/>
        <v>240</v>
      </c>
      <c r="G4" s="298">
        <f t="shared" si="5"/>
        <v>238</v>
      </c>
      <c r="H4" s="298">
        <f t="shared" si="5"/>
        <v>2</v>
      </c>
      <c r="I4" s="298">
        <f t="shared" si="5"/>
        <v>0</v>
      </c>
      <c r="J4" s="298">
        <f t="shared" si="5"/>
        <v>2</v>
      </c>
      <c r="K4" s="298">
        <f>AZ12</f>
        <v>1</v>
      </c>
      <c r="L4" s="290">
        <f t="shared" ref="L4:L22" si="6">SUM(H4:K4)</f>
        <v>5</v>
      </c>
      <c r="M4" s="299">
        <f>L4/E4</f>
        <v>9.881422924901186E-3</v>
      </c>
      <c r="N4" s="290">
        <f>AM12+AN12</f>
        <v>58</v>
      </c>
      <c r="O4" s="300">
        <f t="shared" si="1"/>
        <v>0.24369747899159663</v>
      </c>
      <c r="P4" s="290">
        <f>SUM(AO12:AP12)</f>
        <v>4</v>
      </c>
      <c r="Q4" s="300">
        <f t="shared" ref="Q4:Q23" si="7">P4/G4</f>
        <v>1.680672268907563E-2</v>
      </c>
      <c r="R4" s="290">
        <f>SUM(AR12:AS12)</f>
        <v>0</v>
      </c>
      <c r="S4" s="300">
        <f t="shared" si="2"/>
        <v>0</v>
      </c>
      <c r="T4" s="290">
        <f>SUM(AU12:AV12)</f>
        <v>0</v>
      </c>
      <c r="U4" s="300">
        <f t="shared" si="3"/>
        <v>0</v>
      </c>
      <c r="V4" s="290">
        <f>AX12</f>
        <v>0</v>
      </c>
      <c r="W4" s="290">
        <f>BA12</f>
        <v>62</v>
      </c>
      <c r="X4" s="300">
        <f t="shared" si="4"/>
        <v>0.26359832635983266</v>
      </c>
      <c r="Y4" s="301" t="s">
        <v>290</v>
      </c>
      <c r="Z4" s="301" t="s">
        <v>291</v>
      </c>
      <c r="AA4" s="34"/>
      <c r="AB4" s="205" t="s">
        <v>293</v>
      </c>
      <c r="AC4" s="191"/>
      <c r="AD4" s="191"/>
      <c r="AE4" s="192"/>
      <c r="AF4" s="192"/>
      <c r="AG4" s="193"/>
      <c r="AH4" s="192"/>
      <c r="AI4" s="192"/>
      <c r="AJ4" s="192"/>
      <c r="AK4" s="192"/>
      <c r="AL4" s="194" t="e">
        <f>SUM(AI4:AK4)/AG4</f>
        <v>#DIV/0!</v>
      </c>
      <c r="AM4" s="192"/>
      <c r="AN4" s="192"/>
      <c r="AO4" s="195" t="e">
        <f>SUM(AM4:AN4)/AH4</f>
        <v>#DIV/0!</v>
      </c>
      <c r="AP4" s="192"/>
      <c r="AQ4" s="192"/>
      <c r="AR4" s="195" t="e">
        <f>(AP4+AQ4)/$AH4</f>
        <v>#DIV/0!</v>
      </c>
      <c r="AS4" s="192"/>
      <c r="AT4" s="192"/>
      <c r="AU4" s="195" t="e">
        <f>(AS4+AT4)/$AH4</f>
        <v>#DIV/0!</v>
      </c>
      <c r="AV4" s="192"/>
      <c r="AW4" s="192"/>
      <c r="AX4" s="195" t="e">
        <f>(AV4+AW4)/$AH4</f>
        <v>#DIV/0!</v>
      </c>
      <c r="AY4" s="196">
        <f>SUM(AM4,AP4,AS4,AV4)</f>
        <v>0</v>
      </c>
      <c r="AZ4" s="196">
        <f>SUM(AN4,AQ4,AT4,AW4)</f>
        <v>0</v>
      </c>
      <c r="BA4" s="196">
        <f>SUM(AY4:AZ4)</f>
        <v>0</v>
      </c>
      <c r="BB4" s="195">
        <f>(BA4+1)/(AH4+1)</f>
        <v>1</v>
      </c>
      <c r="BC4" s="138"/>
      <c r="BD4" s="138"/>
      <c r="BH4" s="29"/>
    </row>
    <row r="5" spans="1:60" ht="15" customHeight="1" x14ac:dyDescent="0.2">
      <c r="A5" s="295">
        <v>3</v>
      </c>
      <c r="B5" s="296">
        <v>45993</v>
      </c>
      <c r="C5" s="296">
        <v>45994</v>
      </c>
      <c r="D5" s="297">
        <v>1</v>
      </c>
      <c r="E5" s="298">
        <f t="shared" ref="E5:J5" si="8">AF17</f>
        <v>608</v>
      </c>
      <c r="F5" s="298">
        <f t="shared" si="8"/>
        <v>335</v>
      </c>
      <c r="G5" s="298">
        <f t="shared" si="8"/>
        <v>335</v>
      </c>
      <c r="H5" s="298">
        <f t="shared" si="8"/>
        <v>2</v>
      </c>
      <c r="I5" s="298">
        <f t="shared" si="8"/>
        <v>0</v>
      </c>
      <c r="J5" s="298">
        <f t="shared" si="8"/>
        <v>0</v>
      </c>
      <c r="K5" s="298">
        <f>AZ17</f>
        <v>1</v>
      </c>
      <c r="L5" s="290">
        <f t="shared" si="6"/>
        <v>3</v>
      </c>
      <c r="M5" s="299">
        <f>L5/E5</f>
        <v>4.9342105263157892E-3</v>
      </c>
      <c r="N5" s="290">
        <f>AM17+AN17</f>
        <v>76</v>
      </c>
      <c r="O5" s="300">
        <f t="shared" si="1"/>
        <v>0.22686567164179106</v>
      </c>
      <c r="P5" s="290">
        <f>SUM(AO17:AP17)</f>
        <v>3</v>
      </c>
      <c r="Q5" s="300">
        <f t="shared" si="7"/>
        <v>8.9552238805970154E-3</v>
      </c>
      <c r="R5" s="290">
        <f>SUM(AR17:AS17)</f>
        <v>0</v>
      </c>
      <c r="S5" s="300">
        <f t="shared" si="2"/>
        <v>0</v>
      </c>
      <c r="T5" s="290">
        <f>SUM(AU17:AV17)</f>
        <v>0</v>
      </c>
      <c r="U5" s="300">
        <f t="shared" si="3"/>
        <v>0</v>
      </c>
      <c r="V5" s="290">
        <f>AX17</f>
        <v>0</v>
      </c>
      <c r="W5" s="290">
        <f>BA17</f>
        <v>80</v>
      </c>
      <c r="X5" s="300">
        <f t="shared" si="4"/>
        <v>0.24107142857142858</v>
      </c>
      <c r="Y5" s="301" t="s">
        <v>290</v>
      </c>
      <c r="Z5" s="301" t="s">
        <v>294</v>
      </c>
      <c r="AA5" s="34"/>
      <c r="AB5" s="260" t="s">
        <v>295</v>
      </c>
      <c r="AC5" s="147"/>
      <c r="AD5" s="147"/>
      <c r="AE5" s="197"/>
      <c r="AF5" s="197"/>
      <c r="AG5" s="198"/>
      <c r="AH5" s="197"/>
      <c r="AI5" s="197"/>
      <c r="AJ5" s="197"/>
      <c r="AK5" s="197"/>
      <c r="AL5" s="261" t="e">
        <f t="shared" ref="AL5:AL6" si="9">SUM(AI5:AK5)/AG5</f>
        <v>#DIV/0!</v>
      </c>
      <c r="AM5" s="197"/>
      <c r="AN5" s="197"/>
      <c r="AO5" s="262" t="e">
        <f t="shared" ref="AO5:AO6" si="10">SUM(AM5:AN5)/AH5</f>
        <v>#DIV/0!</v>
      </c>
      <c r="AP5" s="197"/>
      <c r="AQ5" s="197"/>
      <c r="AR5" s="262" t="e">
        <f t="shared" ref="AR5:AR6" si="11">(AP5+AQ5)/$AH5</f>
        <v>#DIV/0!</v>
      </c>
      <c r="AS5" s="197"/>
      <c r="AT5" s="197"/>
      <c r="AU5" s="262" t="e">
        <f t="shared" ref="AU5:AU6" si="12">(AS5+AT5)/$AH5</f>
        <v>#DIV/0!</v>
      </c>
      <c r="AV5" s="197"/>
      <c r="AW5" s="197"/>
      <c r="AX5" s="262" t="e">
        <f t="shared" ref="AX5:AX6" si="13">(AV5+AW5)/$AH5</f>
        <v>#DIV/0!</v>
      </c>
      <c r="AY5" s="263">
        <f t="shared" ref="AY5:AZ6" si="14">SUM(AM5,AP5,AS5,AV5)</f>
        <v>0</v>
      </c>
      <c r="AZ5" s="263">
        <f t="shared" si="14"/>
        <v>0</v>
      </c>
      <c r="BA5" s="263">
        <f t="shared" ref="BA5:BA6" si="15">SUM(AY5:AZ5)</f>
        <v>0</v>
      </c>
      <c r="BB5" s="262">
        <f t="shared" ref="BB5:BB6" si="16">(BA5+1)/(AH5+1)</f>
        <v>1</v>
      </c>
      <c r="BC5" s="264"/>
      <c r="BD5" s="264"/>
      <c r="BH5" s="29"/>
    </row>
    <row r="6" spans="1:60" ht="15" customHeight="1" thickBot="1" x14ac:dyDescent="0.25">
      <c r="A6" s="295">
        <v>4</v>
      </c>
      <c r="B6" s="364">
        <v>45996</v>
      </c>
      <c r="C6" s="364">
        <v>45997</v>
      </c>
      <c r="D6" s="365">
        <v>1</v>
      </c>
      <c r="E6" s="298">
        <f t="shared" ref="E6:J6" si="17">AF22</f>
        <v>1030</v>
      </c>
      <c r="F6" s="298">
        <f t="shared" si="17"/>
        <v>501</v>
      </c>
      <c r="G6" s="298">
        <f t="shared" si="17"/>
        <v>497</v>
      </c>
      <c r="H6" s="298">
        <f t="shared" si="17"/>
        <v>3</v>
      </c>
      <c r="I6" s="298">
        <f t="shared" si="17"/>
        <v>1</v>
      </c>
      <c r="J6" s="298">
        <f t="shared" si="17"/>
        <v>1</v>
      </c>
      <c r="K6" s="298">
        <f>AZ22</f>
        <v>2</v>
      </c>
      <c r="L6" s="290">
        <f t="shared" si="6"/>
        <v>7</v>
      </c>
      <c r="M6" s="299">
        <f>L6/E6</f>
        <v>6.7961165048543689E-3</v>
      </c>
      <c r="N6" s="290">
        <f>AL22+AM22</f>
        <v>162</v>
      </c>
      <c r="O6" s="300">
        <f t="shared" si="1"/>
        <v>0.32595573440643866</v>
      </c>
      <c r="P6" s="290">
        <f>SUM(AO22:AP22)</f>
        <v>6</v>
      </c>
      <c r="Q6" s="300">
        <f t="shared" si="7"/>
        <v>1.2072434607645875E-2</v>
      </c>
      <c r="R6" s="290">
        <f>SUM(AR22:AS22)</f>
        <v>0</v>
      </c>
      <c r="S6" s="300">
        <f t="shared" si="2"/>
        <v>0</v>
      </c>
      <c r="T6" s="290">
        <f>SUM(AU22:AV22)</f>
        <v>0</v>
      </c>
      <c r="U6" s="300">
        <f t="shared" si="3"/>
        <v>0</v>
      </c>
      <c r="V6" s="290">
        <f>AX22</f>
        <v>0</v>
      </c>
      <c r="W6" s="290">
        <f>BA22</f>
        <v>170</v>
      </c>
      <c r="X6" s="300">
        <f t="shared" si="4"/>
        <v>0.34337349397590361</v>
      </c>
      <c r="Y6" s="301" t="s">
        <v>290</v>
      </c>
      <c r="Z6" s="301" t="s">
        <v>291</v>
      </c>
      <c r="AA6" s="34"/>
      <c r="AB6" s="206" t="s">
        <v>296</v>
      </c>
      <c r="AC6" s="199">
        <v>45982</v>
      </c>
      <c r="AD6" s="199">
        <v>45983</v>
      </c>
      <c r="AE6" s="200">
        <v>1</v>
      </c>
      <c r="AF6" s="200">
        <v>74</v>
      </c>
      <c r="AG6" s="201">
        <v>73</v>
      </c>
      <c r="AH6" s="200">
        <v>73</v>
      </c>
      <c r="AI6" s="200">
        <v>1</v>
      </c>
      <c r="AJ6" s="200">
        <v>0</v>
      </c>
      <c r="AK6" s="200"/>
      <c r="AL6" s="202">
        <f t="shared" si="9"/>
        <v>1.3698630136986301E-2</v>
      </c>
      <c r="AM6" s="200">
        <v>10</v>
      </c>
      <c r="AN6" s="200">
        <v>0</v>
      </c>
      <c r="AO6" s="203">
        <f t="shared" si="10"/>
        <v>0.13698630136986301</v>
      </c>
      <c r="AP6" s="200">
        <v>2</v>
      </c>
      <c r="AQ6" s="200">
        <v>0</v>
      </c>
      <c r="AR6" s="203">
        <f t="shared" si="11"/>
        <v>2.7397260273972601E-2</v>
      </c>
      <c r="AS6" s="200">
        <v>0</v>
      </c>
      <c r="AT6" s="200">
        <v>0</v>
      </c>
      <c r="AU6" s="203">
        <f t="shared" si="12"/>
        <v>0</v>
      </c>
      <c r="AV6" s="200">
        <v>0</v>
      </c>
      <c r="AW6" s="200">
        <v>0</v>
      </c>
      <c r="AX6" s="203">
        <f t="shared" si="13"/>
        <v>0</v>
      </c>
      <c r="AY6" s="204">
        <f t="shared" si="14"/>
        <v>12</v>
      </c>
      <c r="AZ6" s="204">
        <f t="shared" si="14"/>
        <v>0</v>
      </c>
      <c r="BA6" s="204">
        <f t="shared" si="15"/>
        <v>12</v>
      </c>
      <c r="BB6" s="203">
        <f t="shared" si="16"/>
        <v>0.17567567567567569</v>
      </c>
      <c r="BC6" s="139" t="s">
        <v>297</v>
      </c>
      <c r="BD6" s="139" t="s">
        <v>298</v>
      </c>
      <c r="BH6" s="29"/>
    </row>
    <row r="7" spans="1:60" ht="15" customHeight="1" x14ac:dyDescent="0.2">
      <c r="A7" s="295">
        <v>5</v>
      </c>
      <c r="B7" s="296">
        <v>46000</v>
      </c>
      <c r="C7" s="296">
        <v>46001</v>
      </c>
      <c r="D7" s="302">
        <v>1</v>
      </c>
      <c r="E7" s="298">
        <f t="shared" ref="E7:J7" si="18">AF27</f>
        <v>457</v>
      </c>
      <c r="F7" s="298">
        <f t="shared" si="18"/>
        <v>448</v>
      </c>
      <c r="G7" s="298">
        <f t="shared" si="18"/>
        <v>447</v>
      </c>
      <c r="H7" s="298">
        <f t="shared" si="18"/>
        <v>3</v>
      </c>
      <c r="I7" s="298">
        <f t="shared" si="18"/>
        <v>0</v>
      </c>
      <c r="J7" s="298">
        <f t="shared" si="18"/>
        <v>0</v>
      </c>
      <c r="K7" s="298">
        <f>AZ27</f>
        <v>0</v>
      </c>
      <c r="L7" s="290">
        <f t="shared" si="6"/>
        <v>3</v>
      </c>
      <c r="M7" s="299">
        <f t="shared" ref="M7:M23" si="19">L7/E7</f>
        <v>6.5645514223194746E-3</v>
      </c>
      <c r="N7" s="290">
        <f>AL27+AM27</f>
        <v>136</v>
      </c>
      <c r="O7" s="300">
        <f t="shared" si="1"/>
        <v>0.30425055928411632</v>
      </c>
      <c r="P7" s="290">
        <f>SUM(AO27:AP27)</f>
        <v>11</v>
      </c>
      <c r="Q7" s="300">
        <f t="shared" si="7"/>
        <v>2.4608501118568233E-2</v>
      </c>
      <c r="R7" s="290">
        <f>SUM(AR27:AS27)</f>
        <v>9</v>
      </c>
      <c r="S7" s="300">
        <f t="shared" si="2"/>
        <v>2.0134228187919462E-2</v>
      </c>
      <c r="T7" s="290">
        <f>SUM(AU27:AV27)</f>
        <v>0</v>
      </c>
      <c r="U7" s="300">
        <f t="shared" si="3"/>
        <v>0</v>
      </c>
      <c r="V7" s="290">
        <f>AX27</f>
        <v>0</v>
      </c>
      <c r="W7" s="290">
        <f>BA27</f>
        <v>156</v>
      </c>
      <c r="X7" s="300">
        <f t="shared" si="4"/>
        <v>0.35044642857142855</v>
      </c>
      <c r="Y7" s="301" t="s">
        <v>290</v>
      </c>
      <c r="Z7" s="301" t="s">
        <v>291</v>
      </c>
      <c r="AA7" s="34"/>
      <c r="AB7" s="7"/>
      <c r="AF7" s="14">
        <f>SUM(AF4:AF6)</f>
        <v>74</v>
      </c>
      <c r="AG7" s="14">
        <f>SUM(AG4:AG6)</f>
        <v>73</v>
      </c>
      <c r="AH7" s="14">
        <f t="shared" ref="AH7:AK7" si="20">SUM(AH4:AH6)</f>
        <v>73</v>
      </c>
      <c r="AI7" s="14">
        <f t="shared" si="20"/>
        <v>1</v>
      </c>
      <c r="AJ7" s="14">
        <f t="shared" si="20"/>
        <v>0</v>
      </c>
      <c r="AK7" s="14">
        <f t="shared" si="20"/>
        <v>0</v>
      </c>
      <c r="AL7" s="163"/>
      <c r="AM7" s="14">
        <f>SUM(AM4:AM6)</f>
        <v>10</v>
      </c>
      <c r="AN7" s="14">
        <f>SUM(AN4:AN6)</f>
        <v>0</v>
      </c>
      <c r="AO7" s="165"/>
      <c r="AP7" s="14">
        <f>SUM(AP4:AP6)</f>
        <v>2</v>
      </c>
      <c r="AQ7" s="14">
        <f>SUM(AQ4:AQ6)</f>
        <v>0</v>
      </c>
      <c r="AR7" s="165"/>
      <c r="AS7" s="14">
        <f>SUM(AS4:AS6)</f>
        <v>0</v>
      </c>
      <c r="AT7" s="14">
        <f>SUM(AT4:AT6)</f>
        <v>0</v>
      </c>
      <c r="AU7" s="165"/>
      <c r="AV7" s="14">
        <f>SUM(AV4:AV6)</f>
        <v>0</v>
      </c>
      <c r="AW7" s="14">
        <f>SUM(AW4:AW6)</f>
        <v>0</v>
      </c>
      <c r="AX7" s="165"/>
      <c r="AY7" s="14">
        <f>SUM(AY4:AY6)</f>
        <v>12</v>
      </c>
      <c r="AZ7" s="14">
        <f>SUM(AZ4:AZ6)</f>
        <v>0</v>
      </c>
      <c r="BA7" s="14">
        <f>SUM(AY7:AZ7)</f>
        <v>12</v>
      </c>
      <c r="BB7" s="137">
        <f>(BA7+1)/(AH7+1)</f>
        <v>0.17567567567567569</v>
      </c>
      <c r="BC7" s="136"/>
      <c r="BD7" s="136"/>
      <c r="BH7" s="29"/>
    </row>
    <row r="8" spans="1:60" ht="13.5" thickBot="1" x14ac:dyDescent="0.25">
      <c r="A8" s="295">
        <v>6</v>
      </c>
      <c r="B8" s="296">
        <v>46003</v>
      </c>
      <c r="C8" s="296">
        <v>46004</v>
      </c>
      <c r="D8" s="302">
        <v>1</v>
      </c>
      <c r="E8" s="290">
        <f t="shared" ref="E8:J8" si="21">AF32</f>
        <v>439</v>
      </c>
      <c r="F8" s="290">
        <f t="shared" si="21"/>
        <v>438</v>
      </c>
      <c r="G8" s="290">
        <f t="shared" si="21"/>
        <v>437</v>
      </c>
      <c r="H8" s="290">
        <f t="shared" si="21"/>
        <v>0</v>
      </c>
      <c r="I8" s="290">
        <f t="shared" si="21"/>
        <v>0</v>
      </c>
      <c r="J8" s="290">
        <f t="shared" si="21"/>
        <v>1</v>
      </c>
      <c r="K8" s="290">
        <f>AZ32</f>
        <v>0</v>
      </c>
      <c r="L8" s="290">
        <f t="shared" si="6"/>
        <v>1</v>
      </c>
      <c r="M8" s="299">
        <f t="shared" si="19"/>
        <v>2.2779043280182231E-3</v>
      </c>
      <c r="N8" s="290">
        <f>AL32+AM32</f>
        <v>115</v>
      </c>
      <c r="O8" s="300">
        <f t="shared" si="1"/>
        <v>0.26315789473684209</v>
      </c>
      <c r="P8" s="290">
        <f>SUM(AO32:AP32)</f>
        <v>6</v>
      </c>
      <c r="Q8" s="300">
        <f t="shared" si="7"/>
        <v>1.3729977116704805E-2</v>
      </c>
      <c r="R8" s="290">
        <f>SUM(AR32:AS32)</f>
        <v>1</v>
      </c>
      <c r="S8" s="300">
        <f t="shared" si="2"/>
        <v>2.2883295194508009E-3</v>
      </c>
      <c r="T8" s="290">
        <f>SUM(AU32:AV32)</f>
        <v>0</v>
      </c>
      <c r="U8" s="300">
        <f t="shared" si="3"/>
        <v>0</v>
      </c>
      <c r="V8" s="290">
        <f>AX32</f>
        <v>0</v>
      </c>
      <c r="W8" s="290">
        <f>BA32</f>
        <v>122</v>
      </c>
      <c r="X8" s="300">
        <f t="shared" si="4"/>
        <v>0.28082191780821919</v>
      </c>
      <c r="Y8" s="301" t="s">
        <v>290</v>
      </c>
      <c r="Z8" s="301"/>
      <c r="AA8" s="34"/>
      <c r="AB8" s="13" t="s">
        <v>299</v>
      </c>
      <c r="AC8" s="27"/>
      <c r="AD8" s="35"/>
      <c r="AE8" s="28"/>
      <c r="AF8" s="27"/>
      <c r="AG8" s="27"/>
      <c r="AH8" s="27"/>
      <c r="AI8" s="27"/>
      <c r="AJ8" s="27"/>
      <c r="AK8" s="36"/>
      <c r="AL8" s="9"/>
      <c r="AM8" s="35"/>
      <c r="AN8" s="35"/>
      <c r="AO8" s="7"/>
      <c r="AP8" s="27"/>
      <c r="AQ8" s="27"/>
      <c r="AR8" s="7"/>
      <c r="AS8" s="27"/>
      <c r="AT8" s="27"/>
      <c r="AU8" s="7"/>
      <c r="AV8" s="27"/>
      <c r="AW8" s="27"/>
      <c r="AX8" s="18"/>
      <c r="AY8" s="17"/>
      <c r="AZ8" s="15"/>
      <c r="BA8" s="7"/>
      <c r="BB8" s="7"/>
      <c r="BC8" s="7"/>
      <c r="BD8" s="7"/>
      <c r="BH8" s="29"/>
    </row>
    <row r="9" spans="1:60" ht="12.75" x14ac:dyDescent="0.2">
      <c r="A9" s="295">
        <v>7</v>
      </c>
      <c r="B9" s="296">
        <v>46038</v>
      </c>
      <c r="C9" s="296">
        <v>46039</v>
      </c>
      <c r="D9" s="302">
        <v>1</v>
      </c>
      <c r="E9" s="303">
        <f t="shared" ref="E9:J9" si="22">AF37</f>
        <v>509</v>
      </c>
      <c r="F9" s="303">
        <f t="shared" si="22"/>
        <v>504</v>
      </c>
      <c r="G9" s="303">
        <f t="shared" si="22"/>
        <v>503</v>
      </c>
      <c r="H9" s="303">
        <f t="shared" si="22"/>
        <v>0</v>
      </c>
      <c r="I9" s="303">
        <f t="shared" si="22"/>
        <v>0</v>
      </c>
      <c r="J9" s="303">
        <f t="shared" si="22"/>
        <v>0</v>
      </c>
      <c r="K9" s="303">
        <f>AZ37</f>
        <v>2</v>
      </c>
      <c r="L9" s="290">
        <f t="shared" si="6"/>
        <v>2</v>
      </c>
      <c r="M9" s="299">
        <f t="shared" si="19"/>
        <v>3.929273084479371E-3</v>
      </c>
      <c r="N9" s="290">
        <f>AL37+AM37</f>
        <v>54</v>
      </c>
      <c r="O9" s="300">
        <f t="shared" si="1"/>
        <v>0.1073558648111332</v>
      </c>
      <c r="P9" s="290">
        <f>SUM(AO37:AP37)</f>
        <v>0</v>
      </c>
      <c r="Q9" s="300">
        <f t="shared" si="7"/>
        <v>0</v>
      </c>
      <c r="R9" s="290">
        <f>SUM(AR37:AS37)</f>
        <v>0</v>
      </c>
      <c r="S9" s="300">
        <f t="shared" si="2"/>
        <v>0</v>
      </c>
      <c r="T9" s="290">
        <f>SUM(AU37:AV37)</f>
        <v>0</v>
      </c>
      <c r="U9" s="300">
        <f t="shared" si="3"/>
        <v>0</v>
      </c>
      <c r="V9" s="290">
        <f>AX37</f>
        <v>0</v>
      </c>
      <c r="W9" s="290">
        <f>BA37</f>
        <v>56</v>
      </c>
      <c r="X9" s="300">
        <f t="shared" si="4"/>
        <v>0.1130952380952381</v>
      </c>
      <c r="Y9" s="366" t="s">
        <v>290</v>
      </c>
      <c r="Z9" s="301" t="s">
        <v>300</v>
      </c>
      <c r="AA9" s="34"/>
      <c r="AB9" s="205" t="s">
        <v>293</v>
      </c>
      <c r="AC9" s="191"/>
      <c r="AD9" s="191"/>
      <c r="AE9" s="192"/>
      <c r="AF9" s="192"/>
      <c r="AG9" s="193"/>
      <c r="AH9" s="192"/>
      <c r="AI9" s="192"/>
      <c r="AJ9" s="192"/>
      <c r="AK9" s="192"/>
      <c r="AL9" s="194" t="e">
        <f>SUM(AI9:AK9)/AG9</f>
        <v>#DIV/0!</v>
      </c>
      <c r="AM9" s="192"/>
      <c r="AN9" s="192"/>
      <c r="AO9" s="195" t="e">
        <f>SUM(AM9:AN9)/AH9</f>
        <v>#DIV/0!</v>
      </c>
      <c r="AP9" s="192"/>
      <c r="AQ9" s="192"/>
      <c r="AR9" s="195" t="e">
        <f>(AP9+AQ9)/$AH9</f>
        <v>#DIV/0!</v>
      </c>
      <c r="AS9" s="192"/>
      <c r="AT9" s="192"/>
      <c r="AU9" s="195" t="e">
        <f>(AS9+AT9)/$AH9</f>
        <v>#DIV/0!</v>
      </c>
      <c r="AV9" s="192"/>
      <c r="AW9" s="192"/>
      <c r="AX9" s="195" t="e">
        <f>(AV9+AW9)/$AH9</f>
        <v>#DIV/0!</v>
      </c>
      <c r="AY9" s="196">
        <f>SUM(AM9,AP9,AS9,AV9)</f>
        <v>0</v>
      </c>
      <c r="AZ9" s="196">
        <f>SUM(AN9,AQ9,AT9,AW9)</f>
        <v>0</v>
      </c>
      <c r="BA9" s="196">
        <f>SUM(AY9:AZ9)</f>
        <v>0</v>
      </c>
      <c r="BB9" s="195">
        <f>(BA9+1)/(AH9+1)</f>
        <v>1</v>
      </c>
      <c r="BC9" s="138"/>
      <c r="BD9" s="138"/>
      <c r="BH9" s="29"/>
    </row>
    <row r="10" spans="1:60" ht="12.75" x14ac:dyDescent="0.2">
      <c r="A10" s="295">
        <v>8</v>
      </c>
      <c r="B10" s="296">
        <v>46042</v>
      </c>
      <c r="C10" s="296">
        <v>46043</v>
      </c>
      <c r="D10" s="302">
        <v>1</v>
      </c>
      <c r="E10" s="303">
        <f t="shared" ref="E10:J10" si="23">AF42</f>
        <v>545</v>
      </c>
      <c r="F10" s="303">
        <f t="shared" si="23"/>
        <v>541</v>
      </c>
      <c r="G10" s="303">
        <f t="shared" si="23"/>
        <v>535</v>
      </c>
      <c r="H10" s="303">
        <f t="shared" si="23"/>
        <v>0</v>
      </c>
      <c r="I10" s="303">
        <f t="shared" si="23"/>
        <v>0</v>
      </c>
      <c r="J10" s="303">
        <f t="shared" si="23"/>
        <v>0</v>
      </c>
      <c r="K10" s="303">
        <f>AZ42</f>
        <v>0</v>
      </c>
      <c r="L10" s="290">
        <f t="shared" si="6"/>
        <v>0</v>
      </c>
      <c r="M10" s="299">
        <f t="shared" si="19"/>
        <v>0</v>
      </c>
      <c r="N10" s="290">
        <f>AL42+AM42</f>
        <v>89</v>
      </c>
      <c r="O10" s="300">
        <f t="shared" si="1"/>
        <v>0.16635514018691588</v>
      </c>
      <c r="P10" s="290">
        <f>SUM(AO42:AP42)</f>
        <v>4</v>
      </c>
      <c r="Q10" s="300">
        <f t="shared" si="7"/>
        <v>7.4766355140186919E-3</v>
      </c>
      <c r="R10" s="290">
        <f>SUM(AR42:AS42)</f>
        <v>1</v>
      </c>
      <c r="S10" s="300">
        <f t="shared" si="2"/>
        <v>1.869158878504673E-3</v>
      </c>
      <c r="T10" s="290">
        <f>SUM(AU42:AV42)</f>
        <v>0</v>
      </c>
      <c r="U10" s="300">
        <f t="shared" si="3"/>
        <v>0</v>
      </c>
      <c r="V10" s="290">
        <f>AX42</f>
        <v>0</v>
      </c>
      <c r="W10" s="290">
        <f>BA42</f>
        <v>94</v>
      </c>
      <c r="X10" s="300">
        <f t="shared" si="4"/>
        <v>0.17723880597014927</v>
      </c>
      <c r="Y10" s="366" t="s">
        <v>290</v>
      </c>
      <c r="Z10" s="301" t="s">
        <v>300</v>
      </c>
      <c r="AA10" s="34"/>
      <c r="AB10" s="260" t="s">
        <v>295</v>
      </c>
      <c r="AC10" s="147"/>
      <c r="AD10" s="147"/>
      <c r="AE10" s="197"/>
      <c r="AF10" s="197"/>
      <c r="AG10" s="198"/>
      <c r="AH10" s="197"/>
      <c r="AI10" s="197"/>
      <c r="AJ10" s="197"/>
      <c r="AK10" s="197"/>
      <c r="AL10" s="261" t="e">
        <f t="shared" ref="AL10:AL11" si="24">SUM(AI10:AK10)/AG10</f>
        <v>#DIV/0!</v>
      </c>
      <c r="AM10" s="197"/>
      <c r="AN10" s="197"/>
      <c r="AO10" s="262" t="e">
        <f t="shared" ref="AO10:AO11" si="25">SUM(AM10:AN10)/AH10</f>
        <v>#DIV/0!</v>
      </c>
      <c r="AP10" s="197"/>
      <c r="AQ10" s="197"/>
      <c r="AR10" s="262" t="e">
        <f t="shared" ref="AR10:AR11" si="26">(AP10+AQ10)/$AH10</f>
        <v>#DIV/0!</v>
      </c>
      <c r="AS10" s="197"/>
      <c r="AT10" s="197"/>
      <c r="AU10" s="262" t="e">
        <f t="shared" ref="AU10:AU11" si="27">(AS10+AT10)/$AH10</f>
        <v>#DIV/0!</v>
      </c>
      <c r="AV10" s="197"/>
      <c r="AW10" s="197"/>
      <c r="AX10" s="262" t="e">
        <f t="shared" ref="AX10:AX11" si="28">(AV10+AW10)/$AH10</f>
        <v>#DIV/0!</v>
      </c>
      <c r="AY10" s="263">
        <f t="shared" ref="AY10:AZ11" si="29">SUM(AM10,AP10,AS10,AV10)</f>
        <v>0</v>
      </c>
      <c r="AZ10" s="263">
        <f t="shared" si="29"/>
        <v>0</v>
      </c>
      <c r="BA10" s="263">
        <f t="shared" ref="BA10:BA11" si="30">SUM(AY10:AZ10)</f>
        <v>0</v>
      </c>
      <c r="BB10" s="262">
        <f t="shared" ref="BB10:BB11" si="31">(BA10+1)/(AH10+1)</f>
        <v>1</v>
      </c>
      <c r="BC10" s="264"/>
      <c r="BD10" s="264"/>
      <c r="BH10" s="29"/>
    </row>
    <row r="11" spans="1:60" ht="15" customHeight="1" thickBot="1" x14ac:dyDescent="0.25">
      <c r="A11" s="295">
        <v>9</v>
      </c>
      <c r="B11" s="296">
        <v>46045</v>
      </c>
      <c r="C11" s="296">
        <v>46046</v>
      </c>
      <c r="D11" s="302">
        <v>1</v>
      </c>
      <c r="E11" s="303">
        <f t="shared" ref="E11:J11" si="32">AF47</f>
        <v>1028</v>
      </c>
      <c r="F11" s="303">
        <f t="shared" si="32"/>
        <v>510</v>
      </c>
      <c r="G11" s="303">
        <f t="shared" si="32"/>
        <v>508</v>
      </c>
      <c r="H11" s="303">
        <f t="shared" si="32"/>
        <v>0</v>
      </c>
      <c r="I11" s="303">
        <f t="shared" si="32"/>
        <v>3</v>
      </c>
      <c r="J11" s="303">
        <f t="shared" si="32"/>
        <v>2</v>
      </c>
      <c r="K11" s="303">
        <f>AZ47</f>
        <v>1</v>
      </c>
      <c r="L11" s="290">
        <f t="shared" si="6"/>
        <v>6</v>
      </c>
      <c r="M11" s="299">
        <f t="shared" si="19"/>
        <v>5.8365758754863814E-3</v>
      </c>
      <c r="N11" s="290">
        <f>AL47+AM47</f>
        <v>76</v>
      </c>
      <c r="O11" s="300">
        <f t="shared" si="1"/>
        <v>0.14960629921259844</v>
      </c>
      <c r="P11" s="290">
        <f>SUM(AO47:AP47)</f>
        <v>15</v>
      </c>
      <c r="Q11" s="300">
        <f t="shared" si="7"/>
        <v>2.952755905511811E-2</v>
      </c>
      <c r="R11" s="290">
        <f>SUM(AR47:AS47)</f>
        <v>2</v>
      </c>
      <c r="S11" s="300">
        <f t="shared" si="2"/>
        <v>3.937007874015748E-3</v>
      </c>
      <c r="T11" s="290">
        <f>SUM(AU47:AV47)</f>
        <v>0</v>
      </c>
      <c r="U11" s="300">
        <f t="shared" si="3"/>
        <v>0</v>
      </c>
      <c r="V11" s="290">
        <f>AX47</f>
        <v>0</v>
      </c>
      <c r="W11" s="290">
        <f>BA47</f>
        <v>94</v>
      </c>
      <c r="X11" s="300">
        <f t="shared" si="4"/>
        <v>0.18664047151277013</v>
      </c>
      <c r="Y11" s="301" t="s">
        <v>301</v>
      </c>
      <c r="Z11" s="301" t="s">
        <v>300</v>
      </c>
      <c r="AA11" s="34"/>
      <c r="AB11" s="206" t="s">
        <v>296</v>
      </c>
      <c r="AC11" s="199">
        <v>45989</v>
      </c>
      <c r="AD11" s="199">
        <v>45990</v>
      </c>
      <c r="AE11" s="200">
        <v>1</v>
      </c>
      <c r="AF11" s="200">
        <v>506</v>
      </c>
      <c r="AG11" s="201">
        <v>240</v>
      </c>
      <c r="AH11" s="200">
        <v>238</v>
      </c>
      <c r="AI11" s="200">
        <v>2</v>
      </c>
      <c r="AJ11" s="200">
        <v>0</v>
      </c>
      <c r="AK11" s="200">
        <v>2</v>
      </c>
      <c r="AL11" s="202">
        <f t="shared" si="24"/>
        <v>1.6666666666666666E-2</v>
      </c>
      <c r="AM11" s="200">
        <v>57</v>
      </c>
      <c r="AN11" s="200">
        <v>1</v>
      </c>
      <c r="AO11" s="203">
        <f t="shared" si="25"/>
        <v>0.24369747899159663</v>
      </c>
      <c r="AP11" s="200">
        <v>4</v>
      </c>
      <c r="AQ11" s="200">
        <v>0</v>
      </c>
      <c r="AR11" s="203">
        <f t="shared" si="26"/>
        <v>1.680672268907563E-2</v>
      </c>
      <c r="AS11" s="200">
        <v>0</v>
      </c>
      <c r="AT11" s="200">
        <v>0</v>
      </c>
      <c r="AU11" s="203">
        <f t="shared" si="27"/>
        <v>0</v>
      </c>
      <c r="AV11" s="200">
        <v>0</v>
      </c>
      <c r="AW11" s="200">
        <v>0</v>
      </c>
      <c r="AX11" s="203">
        <f t="shared" si="28"/>
        <v>0</v>
      </c>
      <c r="AY11" s="204">
        <f t="shared" si="29"/>
        <v>61</v>
      </c>
      <c r="AZ11" s="204">
        <f t="shared" si="29"/>
        <v>1</v>
      </c>
      <c r="BA11" s="204">
        <f t="shared" si="30"/>
        <v>62</v>
      </c>
      <c r="BB11" s="203">
        <f t="shared" si="31"/>
        <v>0.26359832635983266</v>
      </c>
      <c r="BC11" s="139" t="s">
        <v>302</v>
      </c>
      <c r="BD11" s="139" t="s">
        <v>298</v>
      </c>
      <c r="BH11" s="29"/>
    </row>
    <row r="12" spans="1:60" ht="15" customHeight="1" x14ac:dyDescent="0.2">
      <c r="A12" s="295">
        <v>10</v>
      </c>
      <c r="B12" s="296">
        <v>46052</v>
      </c>
      <c r="C12" s="296">
        <v>46053</v>
      </c>
      <c r="D12" s="302">
        <v>1</v>
      </c>
      <c r="E12" s="303">
        <f>AF52</f>
        <v>477</v>
      </c>
      <c r="F12" s="303">
        <f t="shared" ref="F12:J12" si="33">AG52</f>
        <v>477</v>
      </c>
      <c r="G12" s="303">
        <f t="shared" si="33"/>
        <v>476</v>
      </c>
      <c r="H12" s="303">
        <f t="shared" si="33"/>
        <v>0</v>
      </c>
      <c r="I12" s="303">
        <f t="shared" si="33"/>
        <v>1</v>
      </c>
      <c r="J12" s="303">
        <f t="shared" si="33"/>
        <v>0</v>
      </c>
      <c r="K12" s="303">
        <f>AZ52</f>
        <v>1</v>
      </c>
      <c r="L12" s="290">
        <f t="shared" si="6"/>
        <v>2</v>
      </c>
      <c r="M12" s="299">
        <f t="shared" si="19"/>
        <v>4.1928721174004195E-3</v>
      </c>
      <c r="N12" s="290">
        <f>AL52+AM52</f>
        <v>96</v>
      </c>
      <c r="O12" s="300">
        <f t="shared" si="1"/>
        <v>0.20168067226890757</v>
      </c>
      <c r="P12" s="290">
        <f>SUM(AO52:AP52)</f>
        <v>5</v>
      </c>
      <c r="Q12" s="300">
        <f t="shared" si="7"/>
        <v>1.050420168067227E-2</v>
      </c>
      <c r="R12" s="290">
        <f>SUM(AR52:AS52)</f>
        <v>0</v>
      </c>
      <c r="S12" s="300">
        <f t="shared" si="2"/>
        <v>0</v>
      </c>
      <c r="T12" s="290">
        <f>SUM(AU52:AV52)</f>
        <v>1</v>
      </c>
      <c r="U12" s="300">
        <f t="shared" si="3"/>
        <v>2.1008403361344537E-3</v>
      </c>
      <c r="V12" s="290">
        <f>AX52</f>
        <v>0</v>
      </c>
      <c r="W12" s="290">
        <f>BA52</f>
        <v>103</v>
      </c>
      <c r="X12" s="300">
        <f t="shared" si="4"/>
        <v>0.2180293501048218</v>
      </c>
      <c r="Y12" s="301" t="s">
        <v>301</v>
      </c>
      <c r="Z12" s="301" t="s">
        <v>300</v>
      </c>
      <c r="AA12" s="34"/>
      <c r="AB12" s="7"/>
      <c r="AF12" s="14">
        <f>SUM(AF9:AF11)</f>
        <v>506</v>
      </c>
      <c r="AG12" s="14">
        <f>SUM(AG9:AG11)</f>
        <v>240</v>
      </c>
      <c r="AH12" s="14">
        <f t="shared" ref="AH12:AK12" si="34">SUM(AH9:AH11)</f>
        <v>238</v>
      </c>
      <c r="AI12" s="14">
        <f t="shared" si="34"/>
        <v>2</v>
      </c>
      <c r="AJ12" s="14">
        <f t="shared" si="34"/>
        <v>0</v>
      </c>
      <c r="AK12" s="14">
        <f t="shared" si="34"/>
        <v>2</v>
      </c>
      <c r="AL12" s="163"/>
      <c r="AM12" s="14">
        <f>SUM(AM9:AM11)</f>
        <v>57</v>
      </c>
      <c r="AN12" s="14">
        <f>SUM(AN9:AN11)</f>
        <v>1</v>
      </c>
      <c r="AO12" s="165"/>
      <c r="AP12" s="14">
        <f>SUM(AP9:AP11)</f>
        <v>4</v>
      </c>
      <c r="AQ12" s="14">
        <f>SUM(AQ9:AQ11)</f>
        <v>0</v>
      </c>
      <c r="AR12" s="165"/>
      <c r="AS12" s="14">
        <f>SUM(AS9:AS11)</f>
        <v>0</v>
      </c>
      <c r="AT12" s="14">
        <f>SUM(AT9:AT11)</f>
        <v>0</v>
      </c>
      <c r="AU12" s="165"/>
      <c r="AV12" s="14">
        <f>SUM(AV9:AV11)</f>
        <v>0</v>
      </c>
      <c r="AW12" s="14">
        <f>SUM(AW9:AW11)</f>
        <v>0</v>
      </c>
      <c r="AX12" s="165"/>
      <c r="AY12" s="14">
        <f>SUM(AY9:AY11)</f>
        <v>61</v>
      </c>
      <c r="AZ12" s="14">
        <f>SUM(AZ9:AZ11)</f>
        <v>1</v>
      </c>
      <c r="BA12" s="14">
        <f>SUM(AY12:AZ12)</f>
        <v>62</v>
      </c>
      <c r="BB12" s="137">
        <f>(BA12+1)/(AH12+1)</f>
        <v>0.26359832635983266</v>
      </c>
      <c r="BC12" s="136"/>
      <c r="BD12" s="136"/>
      <c r="BH12" s="29"/>
    </row>
    <row r="13" spans="1:60" ht="15" customHeight="1" thickBot="1" x14ac:dyDescent="0.25">
      <c r="A13" s="295">
        <v>11</v>
      </c>
      <c r="B13" s="296">
        <v>46056</v>
      </c>
      <c r="C13" s="296">
        <v>46057</v>
      </c>
      <c r="D13" s="302">
        <v>1</v>
      </c>
      <c r="E13" s="303">
        <f>AF56</f>
        <v>500</v>
      </c>
      <c r="F13" s="303">
        <v>499</v>
      </c>
      <c r="G13" s="303">
        <f t="shared" ref="G13:J13" si="35">AH57</f>
        <v>497</v>
      </c>
      <c r="H13" s="303">
        <f t="shared" si="35"/>
        <v>1</v>
      </c>
      <c r="I13" s="303">
        <f t="shared" si="35"/>
        <v>0</v>
      </c>
      <c r="J13" s="303">
        <f t="shared" si="35"/>
        <v>2</v>
      </c>
      <c r="K13" s="303">
        <f>AZ57</f>
        <v>0</v>
      </c>
      <c r="L13" s="290">
        <f t="shared" si="6"/>
        <v>3</v>
      </c>
      <c r="M13" s="299">
        <f t="shared" si="19"/>
        <v>6.0000000000000001E-3</v>
      </c>
      <c r="N13" s="290">
        <f>AL57+AM57</f>
        <v>106</v>
      </c>
      <c r="O13" s="300">
        <f t="shared" si="1"/>
        <v>0.21327967806841047</v>
      </c>
      <c r="P13" s="290">
        <f>SUM(AO57:AP57)</f>
        <v>2</v>
      </c>
      <c r="Q13" s="300">
        <f t="shared" si="7"/>
        <v>4.0241448692152921E-3</v>
      </c>
      <c r="R13" s="290">
        <f>SUM(AR57:AS57)</f>
        <v>0</v>
      </c>
      <c r="S13" s="300">
        <f t="shared" si="2"/>
        <v>0</v>
      </c>
      <c r="T13" s="290">
        <f>SUM(AU57:AV57)</f>
        <v>0</v>
      </c>
      <c r="U13" s="300">
        <f t="shared" si="3"/>
        <v>0</v>
      </c>
      <c r="V13" s="290">
        <f>AX57</f>
        <v>0</v>
      </c>
      <c r="W13" s="290">
        <f>BA57</f>
        <v>108</v>
      </c>
      <c r="X13" s="300">
        <f t="shared" si="4"/>
        <v>0.21887550200803213</v>
      </c>
      <c r="Y13" s="301" t="s">
        <v>301</v>
      </c>
      <c r="Z13" s="301" t="s">
        <v>300</v>
      </c>
      <c r="AA13" s="34"/>
      <c r="AB13" s="13" t="s">
        <v>303</v>
      </c>
      <c r="AC13" s="27"/>
      <c r="AD13" s="35"/>
      <c r="AE13" s="28"/>
      <c r="AF13" s="27"/>
      <c r="AG13" s="27"/>
      <c r="AH13" s="27"/>
      <c r="AI13" s="27"/>
      <c r="AJ13" s="27"/>
      <c r="AK13" s="36"/>
      <c r="AL13" s="9"/>
      <c r="AM13" s="35"/>
      <c r="AN13" s="35"/>
      <c r="AO13" s="7"/>
      <c r="AP13" s="27"/>
      <c r="AQ13" s="27"/>
      <c r="AR13" s="7"/>
      <c r="AS13" s="27"/>
      <c r="AT13" s="27"/>
      <c r="AU13" s="7"/>
      <c r="AV13" s="27"/>
      <c r="AW13" s="27"/>
      <c r="AX13" s="18"/>
      <c r="AY13" s="17"/>
      <c r="AZ13" s="15"/>
      <c r="BA13" s="7"/>
      <c r="BB13" s="7"/>
      <c r="BC13" s="7"/>
      <c r="BD13" s="7"/>
      <c r="BH13" s="29"/>
    </row>
    <row r="14" spans="1:60" ht="15" customHeight="1" x14ac:dyDescent="0.2">
      <c r="A14" s="295">
        <v>12</v>
      </c>
      <c r="B14" s="296">
        <v>46059</v>
      </c>
      <c r="C14" s="296">
        <v>46060</v>
      </c>
      <c r="D14" s="302">
        <v>1</v>
      </c>
      <c r="E14" s="303">
        <v>502</v>
      </c>
      <c r="F14" s="303">
        <v>496</v>
      </c>
      <c r="G14" s="303">
        <v>496</v>
      </c>
      <c r="H14" s="303">
        <f t="shared" ref="H14" si="36">AI62</f>
        <v>3</v>
      </c>
      <c r="I14" s="303">
        <v>0</v>
      </c>
      <c r="J14" s="303">
        <v>0</v>
      </c>
      <c r="K14" s="303">
        <f>AZ62</f>
        <v>0</v>
      </c>
      <c r="L14" s="290">
        <f t="shared" si="6"/>
        <v>3</v>
      </c>
      <c r="M14" s="299">
        <f t="shared" si="19"/>
        <v>5.9760956175298804E-3</v>
      </c>
      <c r="N14" s="290">
        <v>69</v>
      </c>
      <c r="O14" s="300">
        <f t="shared" si="1"/>
        <v>0.13911290322580644</v>
      </c>
      <c r="P14" s="290">
        <v>0</v>
      </c>
      <c r="Q14" s="300">
        <f t="shared" si="7"/>
        <v>0</v>
      </c>
      <c r="R14" s="290">
        <f>SUM(AR62:AS62)</f>
        <v>1</v>
      </c>
      <c r="S14" s="300">
        <f t="shared" si="2"/>
        <v>2.0161290322580645E-3</v>
      </c>
      <c r="T14" s="290">
        <f>SUM(AU62:AV62)</f>
        <v>0</v>
      </c>
      <c r="U14" s="300">
        <f t="shared" si="3"/>
        <v>0</v>
      </c>
      <c r="V14" s="290">
        <f>AX62</f>
        <v>0</v>
      </c>
      <c r="W14" s="290">
        <f>BA62</f>
        <v>72</v>
      </c>
      <c r="X14" s="300">
        <f t="shared" si="4"/>
        <v>0.14688128772635814</v>
      </c>
      <c r="Y14" s="301" t="s">
        <v>301</v>
      </c>
      <c r="Z14" s="301" t="s">
        <v>300</v>
      </c>
      <c r="AA14" s="34"/>
      <c r="AB14" s="205" t="s">
        <v>293</v>
      </c>
      <c r="AC14" s="191"/>
      <c r="AD14" s="191"/>
      <c r="AE14" s="192"/>
      <c r="AF14" s="192"/>
      <c r="AG14" s="193"/>
      <c r="AH14" s="192"/>
      <c r="AI14" s="192"/>
      <c r="AJ14" s="192"/>
      <c r="AK14" s="192"/>
      <c r="AL14" s="194" t="e">
        <f>SUM(AI14:AK14)/AG14</f>
        <v>#DIV/0!</v>
      </c>
      <c r="AM14" s="192"/>
      <c r="AN14" s="192"/>
      <c r="AO14" s="195" t="e">
        <f>SUM(AM14:AN14)/AH14</f>
        <v>#DIV/0!</v>
      </c>
      <c r="AP14" s="192"/>
      <c r="AQ14" s="192"/>
      <c r="AR14" s="195" t="e">
        <f>(AP14+AQ14)/$AH14</f>
        <v>#DIV/0!</v>
      </c>
      <c r="AS14" s="192"/>
      <c r="AT14" s="192"/>
      <c r="AU14" s="195" t="e">
        <f>(AS14+AT14)/$AH14</f>
        <v>#DIV/0!</v>
      </c>
      <c r="AV14" s="192"/>
      <c r="AW14" s="192"/>
      <c r="AX14" s="195" t="e">
        <f>(AV14+AW14)/$AH14</f>
        <v>#DIV/0!</v>
      </c>
      <c r="AY14" s="196">
        <f>SUM(AM14,AP14,AS14,AV14)</f>
        <v>0</v>
      </c>
      <c r="AZ14" s="196">
        <f>SUM(AN14,AQ14,AT14,AW14)</f>
        <v>0</v>
      </c>
      <c r="BA14" s="196">
        <f>SUM(AY14:AZ14)</f>
        <v>0</v>
      </c>
      <c r="BB14" s="195">
        <f>(BA14+1)/(AH14+1)</f>
        <v>1</v>
      </c>
      <c r="BC14" s="138"/>
      <c r="BD14" s="138"/>
      <c r="BH14" s="29"/>
    </row>
    <row r="15" spans="1:60" ht="15" customHeight="1" x14ac:dyDescent="0.2">
      <c r="A15" s="295">
        <v>13</v>
      </c>
      <c r="B15" s="296"/>
      <c r="C15" s="296"/>
      <c r="D15" s="302"/>
      <c r="E15" s="303">
        <f t="shared" ref="E15:J15" si="37">AF67</f>
        <v>0</v>
      </c>
      <c r="F15" s="303">
        <f t="shared" si="37"/>
        <v>0</v>
      </c>
      <c r="G15" s="303">
        <f t="shared" si="37"/>
        <v>0</v>
      </c>
      <c r="H15" s="303">
        <f t="shared" si="37"/>
        <v>0</v>
      </c>
      <c r="I15" s="303">
        <f t="shared" si="37"/>
        <v>0</v>
      </c>
      <c r="J15" s="303">
        <f t="shared" si="37"/>
        <v>0</v>
      </c>
      <c r="K15" s="303">
        <f>AZ67</f>
        <v>0</v>
      </c>
      <c r="L15" s="290">
        <f t="shared" si="6"/>
        <v>0</v>
      </c>
      <c r="M15" s="299" t="e">
        <f t="shared" si="19"/>
        <v>#DIV/0!</v>
      </c>
      <c r="N15" s="290">
        <f>AL67+AM67</f>
        <v>0</v>
      </c>
      <c r="O15" s="300" t="e">
        <f t="shared" si="1"/>
        <v>#DIV/0!</v>
      </c>
      <c r="P15" s="290">
        <f>SUM(AO67:AP67)</f>
        <v>0</v>
      </c>
      <c r="Q15" s="300" t="e">
        <f t="shared" si="7"/>
        <v>#DIV/0!</v>
      </c>
      <c r="R15" s="290">
        <f>SUM(AR67:AS67)</f>
        <v>0</v>
      </c>
      <c r="S15" s="300" t="e">
        <f t="shared" si="2"/>
        <v>#DIV/0!</v>
      </c>
      <c r="T15" s="290">
        <f>SUM(AU67:AV67)</f>
        <v>0</v>
      </c>
      <c r="U15" s="300" t="e">
        <f t="shared" si="3"/>
        <v>#DIV/0!</v>
      </c>
      <c r="V15" s="290">
        <f>AX67</f>
        <v>0</v>
      </c>
      <c r="W15" s="290">
        <f>BA67</f>
        <v>0</v>
      </c>
      <c r="X15" s="300">
        <f t="shared" si="4"/>
        <v>1</v>
      </c>
      <c r="Y15" s="301"/>
      <c r="Z15" s="301"/>
      <c r="AA15" s="34"/>
      <c r="AB15" s="260" t="s">
        <v>295</v>
      </c>
      <c r="AC15" s="147"/>
      <c r="AD15" s="147"/>
      <c r="AE15" s="197"/>
      <c r="AF15" s="197"/>
      <c r="AG15" s="198"/>
      <c r="AH15" s="197"/>
      <c r="AI15" s="197"/>
      <c r="AJ15" s="197"/>
      <c r="AK15" s="197"/>
      <c r="AL15" s="261" t="e">
        <f t="shared" ref="AL15:AL16" si="38">SUM(AI15:AK15)/AG15</f>
        <v>#DIV/0!</v>
      </c>
      <c r="AM15" s="197"/>
      <c r="AN15" s="197"/>
      <c r="AO15" s="262" t="e">
        <f t="shared" ref="AO15:AO16" si="39">SUM(AM15:AN15)/AH15</f>
        <v>#DIV/0!</v>
      </c>
      <c r="AP15" s="197"/>
      <c r="AQ15" s="197"/>
      <c r="AR15" s="262" t="e">
        <f t="shared" ref="AR15:AR16" si="40">(AP15+AQ15)/$AH15</f>
        <v>#DIV/0!</v>
      </c>
      <c r="AS15" s="197"/>
      <c r="AT15" s="197"/>
      <c r="AU15" s="262" t="e">
        <f t="shared" ref="AU15:AU16" si="41">(AS15+AT15)/$AH15</f>
        <v>#DIV/0!</v>
      </c>
      <c r="AV15" s="197"/>
      <c r="AW15" s="197"/>
      <c r="AX15" s="262" t="e">
        <f t="shared" ref="AX15:AX16" si="42">(AV15+AW15)/$AH15</f>
        <v>#DIV/0!</v>
      </c>
      <c r="AY15" s="263">
        <f t="shared" ref="AY15:AZ16" si="43">SUM(AM15,AP15,AS15,AV15)</f>
        <v>0</v>
      </c>
      <c r="AZ15" s="263">
        <f t="shared" si="43"/>
        <v>0</v>
      </c>
      <c r="BA15" s="263">
        <f t="shared" ref="BA15:BA16" si="44">SUM(AY15:AZ15)</f>
        <v>0</v>
      </c>
      <c r="BB15" s="262">
        <f t="shared" ref="BB15:BB16" si="45">(BA15+1)/(AH15+1)</f>
        <v>1</v>
      </c>
      <c r="BC15" s="264"/>
      <c r="BD15" s="264"/>
      <c r="BH15" s="29"/>
    </row>
    <row r="16" spans="1:60" ht="15" customHeight="1" thickBot="1" x14ac:dyDescent="0.25">
      <c r="A16" s="295">
        <v>14</v>
      </c>
      <c r="B16" s="296"/>
      <c r="C16" s="296"/>
      <c r="D16" s="302"/>
      <c r="E16" s="303">
        <f t="shared" ref="E16:J16" si="46">AF72</f>
        <v>0</v>
      </c>
      <c r="F16" s="303">
        <f t="shared" si="46"/>
        <v>0</v>
      </c>
      <c r="G16" s="303">
        <f t="shared" si="46"/>
        <v>0</v>
      </c>
      <c r="H16" s="303">
        <f t="shared" si="46"/>
        <v>0</v>
      </c>
      <c r="I16" s="303">
        <f t="shared" si="46"/>
        <v>0</v>
      </c>
      <c r="J16" s="303">
        <f t="shared" si="46"/>
        <v>0</v>
      </c>
      <c r="K16" s="303">
        <f>AZ72</f>
        <v>0</v>
      </c>
      <c r="L16" s="290">
        <f t="shared" si="6"/>
        <v>0</v>
      </c>
      <c r="M16" s="299" t="e">
        <f t="shared" si="19"/>
        <v>#DIV/0!</v>
      </c>
      <c r="N16" s="290">
        <f>AL72+AM72</f>
        <v>0</v>
      </c>
      <c r="O16" s="300" t="e">
        <f t="shared" si="1"/>
        <v>#DIV/0!</v>
      </c>
      <c r="P16" s="290">
        <f>SUM(AO72:AP72)</f>
        <v>0</v>
      </c>
      <c r="Q16" s="300" t="e">
        <f t="shared" si="7"/>
        <v>#DIV/0!</v>
      </c>
      <c r="R16" s="290">
        <f>SUM(AR72:AS72)</f>
        <v>0</v>
      </c>
      <c r="S16" s="300" t="e">
        <f t="shared" si="2"/>
        <v>#DIV/0!</v>
      </c>
      <c r="T16" s="290">
        <f>SUM(AU72:AV72)</f>
        <v>0</v>
      </c>
      <c r="U16" s="300" t="e">
        <f t="shared" si="3"/>
        <v>#DIV/0!</v>
      </c>
      <c r="V16" s="290">
        <f>AX72</f>
        <v>0</v>
      </c>
      <c r="W16" s="290">
        <f>BA72</f>
        <v>0</v>
      </c>
      <c r="X16" s="300">
        <f t="shared" si="4"/>
        <v>1</v>
      </c>
      <c r="Y16" s="301"/>
      <c r="Z16" s="301"/>
      <c r="AA16" s="34"/>
      <c r="AB16" s="206" t="s">
        <v>296</v>
      </c>
      <c r="AC16" s="199">
        <v>45993</v>
      </c>
      <c r="AD16" s="199">
        <v>45994</v>
      </c>
      <c r="AE16" s="200">
        <v>1</v>
      </c>
      <c r="AF16" s="200">
        <v>608</v>
      </c>
      <c r="AG16" s="201">
        <v>335</v>
      </c>
      <c r="AH16" s="200">
        <v>335</v>
      </c>
      <c r="AI16" s="200">
        <v>2</v>
      </c>
      <c r="AJ16" s="200">
        <v>0</v>
      </c>
      <c r="AK16" s="200">
        <v>0</v>
      </c>
      <c r="AL16" s="202">
        <f t="shared" si="38"/>
        <v>5.9701492537313433E-3</v>
      </c>
      <c r="AM16" s="200">
        <v>76</v>
      </c>
      <c r="AN16" s="200">
        <v>0</v>
      </c>
      <c r="AO16" s="203">
        <f t="shared" si="39"/>
        <v>0.22686567164179106</v>
      </c>
      <c r="AP16" s="200">
        <v>3</v>
      </c>
      <c r="AQ16" s="200">
        <v>1</v>
      </c>
      <c r="AR16" s="203">
        <f t="shared" si="40"/>
        <v>1.1940298507462687E-2</v>
      </c>
      <c r="AS16" s="200">
        <v>0</v>
      </c>
      <c r="AT16" s="200">
        <v>0</v>
      </c>
      <c r="AU16" s="203">
        <f t="shared" si="41"/>
        <v>0</v>
      </c>
      <c r="AV16" s="200">
        <v>0</v>
      </c>
      <c r="AW16" s="200">
        <v>0</v>
      </c>
      <c r="AX16" s="203">
        <f t="shared" si="42"/>
        <v>0</v>
      </c>
      <c r="AY16" s="204">
        <f t="shared" si="43"/>
        <v>79</v>
      </c>
      <c r="AZ16" s="204">
        <f t="shared" si="43"/>
        <v>1</v>
      </c>
      <c r="BA16" s="204">
        <f t="shared" si="44"/>
        <v>80</v>
      </c>
      <c r="BB16" s="203">
        <f t="shared" si="45"/>
        <v>0.24107142857142858</v>
      </c>
      <c r="BC16" s="139" t="s">
        <v>302</v>
      </c>
      <c r="BD16" s="139" t="s">
        <v>294</v>
      </c>
      <c r="BH16" s="29"/>
    </row>
    <row r="17" spans="1:60" ht="15" customHeight="1" x14ac:dyDescent="0.2">
      <c r="A17" s="295">
        <v>15</v>
      </c>
      <c r="B17" s="296"/>
      <c r="C17" s="296"/>
      <c r="D17" s="302"/>
      <c r="E17" s="303">
        <f t="shared" ref="E17:J17" si="47">AF77</f>
        <v>0</v>
      </c>
      <c r="F17" s="303">
        <f t="shared" si="47"/>
        <v>0</v>
      </c>
      <c r="G17" s="303">
        <f t="shared" si="47"/>
        <v>0</v>
      </c>
      <c r="H17" s="303">
        <f t="shared" si="47"/>
        <v>0</v>
      </c>
      <c r="I17" s="303">
        <f t="shared" si="47"/>
        <v>0</v>
      </c>
      <c r="J17" s="303">
        <f t="shared" si="47"/>
        <v>0</v>
      </c>
      <c r="K17" s="303">
        <f>AZ77</f>
        <v>0</v>
      </c>
      <c r="L17" s="290">
        <f t="shared" si="6"/>
        <v>0</v>
      </c>
      <c r="M17" s="299" t="e">
        <f t="shared" si="19"/>
        <v>#DIV/0!</v>
      </c>
      <c r="N17" s="290">
        <f>AL77+AM77</f>
        <v>0</v>
      </c>
      <c r="O17" s="300" t="e">
        <f t="shared" si="1"/>
        <v>#DIV/0!</v>
      </c>
      <c r="P17" s="290">
        <f>SUM(AO77:AP77)</f>
        <v>0</v>
      </c>
      <c r="Q17" s="300" t="e">
        <f t="shared" si="7"/>
        <v>#DIV/0!</v>
      </c>
      <c r="R17" s="290">
        <f>SUM(AR77:AS77)</f>
        <v>0</v>
      </c>
      <c r="S17" s="300" t="e">
        <f t="shared" si="2"/>
        <v>#DIV/0!</v>
      </c>
      <c r="T17" s="290">
        <f>SUM(AU77:AV77)</f>
        <v>0</v>
      </c>
      <c r="U17" s="300" t="e">
        <f t="shared" si="3"/>
        <v>#DIV/0!</v>
      </c>
      <c r="V17" s="290">
        <f>AX77</f>
        <v>0</v>
      </c>
      <c r="W17" s="290">
        <f>BA77</f>
        <v>0</v>
      </c>
      <c r="X17" s="300">
        <f t="shared" si="4"/>
        <v>1</v>
      </c>
      <c r="Y17" s="301"/>
      <c r="Z17" s="301"/>
      <c r="AA17" s="34"/>
      <c r="AB17" s="7"/>
      <c r="AF17" s="14">
        <f>SUM(AF14:AF16)</f>
        <v>608</v>
      </c>
      <c r="AG17" s="14">
        <f>SUM(AG14:AG16)</f>
        <v>335</v>
      </c>
      <c r="AH17" s="14">
        <f t="shared" ref="AH17:AK17" si="48">SUM(AH14:AH16)</f>
        <v>335</v>
      </c>
      <c r="AI17" s="14">
        <f t="shared" si="48"/>
        <v>2</v>
      </c>
      <c r="AJ17" s="14">
        <f t="shared" si="48"/>
        <v>0</v>
      </c>
      <c r="AK17" s="14">
        <f t="shared" si="48"/>
        <v>0</v>
      </c>
      <c r="AL17" s="163"/>
      <c r="AM17" s="14">
        <f>SUM(AM14:AM16)</f>
        <v>76</v>
      </c>
      <c r="AN17" s="14">
        <f>SUM(AN14:AN16)</f>
        <v>0</v>
      </c>
      <c r="AO17" s="165"/>
      <c r="AP17" s="14">
        <f>SUM(AP14:AP16)</f>
        <v>3</v>
      </c>
      <c r="AQ17" s="14">
        <f>SUM(AQ14:AQ16)</f>
        <v>1</v>
      </c>
      <c r="AR17" s="165"/>
      <c r="AS17" s="14">
        <f>SUM(AS14:AS16)</f>
        <v>0</v>
      </c>
      <c r="AT17" s="14">
        <f>SUM(AT14:AT16)</f>
        <v>0</v>
      </c>
      <c r="AU17" s="165"/>
      <c r="AV17" s="14">
        <f>SUM(AV14:AV16)</f>
        <v>0</v>
      </c>
      <c r="AW17" s="14">
        <f>SUM(AW14:AW16)</f>
        <v>0</v>
      </c>
      <c r="AX17" s="165"/>
      <c r="AY17" s="14">
        <f>SUM(AY14:AY16)</f>
        <v>79</v>
      </c>
      <c r="AZ17" s="14">
        <f>SUM(AZ14:AZ16)</f>
        <v>1</v>
      </c>
      <c r="BA17" s="14">
        <f>SUM(AY17:AZ17)</f>
        <v>80</v>
      </c>
      <c r="BB17" s="137">
        <f>(BA17+1)/(AH17+1)</f>
        <v>0.24107142857142858</v>
      </c>
      <c r="BC17" s="136"/>
      <c r="BD17" s="136"/>
      <c r="BH17" s="29"/>
    </row>
    <row r="18" spans="1:60" ht="15" customHeight="1" thickBot="1" x14ac:dyDescent="0.25">
      <c r="A18" s="295">
        <v>16</v>
      </c>
      <c r="B18" s="296"/>
      <c r="C18" s="296"/>
      <c r="D18" s="302"/>
      <c r="E18" s="303">
        <f t="shared" ref="E18:J18" si="49">AF82</f>
        <v>0</v>
      </c>
      <c r="F18" s="303">
        <f t="shared" si="49"/>
        <v>0</v>
      </c>
      <c r="G18" s="303">
        <f t="shared" si="49"/>
        <v>0</v>
      </c>
      <c r="H18" s="303">
        <f t="shared" si="49"/>
        <v>0</v>
      </c>
      <c r="I18" s="303">
        <f t="shared" si="49"/>
        <v>0</v>
      </c>
      <c r="J18" s="303">
        <f t="shared" si="49"/>
        <v>0</v>
      </c>
      <c r="K18" s="303">
        <f>AZ82</f>
        <v>0</v>
      </c>
      <c r="L18" s="290">
        <f t="shared" si="6"/>
        <v>0</v>
      </c>
      <c r="M18" s="299" t="e">
        <f t="shared" si="19"/>
        <v>#DIV/0!</v>
      </c>
      <c r="N18" s="290">
        <f>AL82+AM82</f>
        <v>0</v>
      </c>
      <c r="O18" s="300" t="e">
        <f t="shared" si="1"/>
        <v>#DIV/0!</v>
      </c>
      <c r="P18" s="290">
        <f>SUM(AO82:AP82)</f>
        <v>0</v>
      </c>
      <c r="Q18" s="300" t="e">
        <f t="shared" si="7"/>
        <v>#DIV/0!</v>
      </c>
      <c r="R18" s="290">
        <f>SUM(AR82:AS82)</f>
        <v>0</v>
      </c>
      <c r="S18" s="300" t="e">
        <f t="shared" si="2"/>
        <v>#DIV/0!</v>
      </c>
      <c r="T18" s="290">
        <f>SUM(AU82:AV82)</f>
        <v>0</v>
      </c>
      <c r="U18" s="300" t="e">
        <f t="shared" si="3"/>
        <v>#DIV/0!</v>
      </c>
      <c r="V18" s="290">
        <f>AX82</f>
        <v>0</v>
      </c>
      <c r="W18" s="290">
        <f>BA82</f>
        <v>0</v>
      </c>
      <c r="X18" s="300">
        <f t="shared" si="4"/>
        <v>1</v>
      </c>
      <c r="Y18" s="301"/>
      <c r="Z18" s="301"/>
      <c r="AA18" s="34"/>
      <c r="AB18" s="13" t="s">
        <v>304</v>
      </c>
      <c r="AC18" s="27"/>
      <c r="AD18" s="35"/>
      <c r="AE18" s="28"/>
      <c r="AF18" s="27"/>
      <c r="AG18" s="27"/>
      <c r="AH18" s="27"/>
      <c r="AI18" s="27"/>
      <c r="AJ18" s="27"/>
      <c r="AK18" s="36"/>
      <c r="AL18" s="9"/>
      <c r="AM18" s="35"/>
      <c r="AN18" s="35"/>
      <c r="AO18" s="7"/>
      <c r="AP18" s="27"/>
      <c r="AQ18" s="27"/>
      <c r="AR18" s="7"/>
      <c r="AS18" s="27"/>
      <c r="AT18" s="27"/>
      <c r="AU18" s="7"/>
      <c r="AV18" s="27"/>
      <c r="AW18" s="27"/>
      <c r="AX18" s="18"/>
      <c r="AY18" s="17"/>
      <c r="AZ18" s="15"/>
      <c r="BA18" s="7"/>
      <c r="BB18" s="7"/>
      <c r="BC18" s="7"/>
      <c r="BD18" s="7"/>
      <c r="BE18" s="29"/>
    </row>
    <row r="19" spans="1:60" ht="15" customHeight="1" x14ac:dyDescent="0.2">
      <c r="A19" s="295">
        <v>17</v>
      </c>
      <c r="B19" s="296"/>
      <c r="C19" s="296"/>
      <c r="D19" s="302"/>
      <c r="E19" s="303">
        <f>AF87</f>
        <v>0</v>
      </c>
      <c r="F19" s="303">
        <f>AG87</f>
        <v>0</v>
      </c>
      <c r="G19" s="303">
        <f>AH87</f>
        <v>0</v>
      </c>
      <c r="H19" s="303">
        <f>AI87</f>
        <v>0</v>
      </c>
      <c r="I19" s="303">
        <f>AJ87</f>
        <v>0</v>
      </c>
      <c r="J19" s="303">
        <f>AK887</f>
        <v>0</v>
      </c>
      <c r="K19" s="303">
        <f>AZ87</f>
        <v>0</v>
      </c>
      <c r="L19" s="290">
        <f t="shared" si="6"/>
        <v>0</v>
      </c>
      <c r="M19" s="299" t="e">
        <f t="shared" si="19"/>
        <v>#DIV/0!</v>
      </c>
      <c r="N19" s="290">
        <f>AL87+AM87</f>
        <v>0</v>
      </c>
      <c r="O19" s="300" t="e">
        <f t="shared" si="1"/>
        <v>#DIV/0!</v>
      </c>
      <c r="P19" s="290">
        <f>SUM(AO87:AP87)</f>
        <v>0</v>
      </c>
      <c r="Q19" s="300" t="e">
        <f t="shared" si="7"/>
        <v>#DIV/0!</v>
      </c>
      <c r="R19" s="290">
        <f>SUM(AR87:AS87)</f>
        <v>0</v>
      </c>
      <c r="S19" s="300" t="e">
        <f t="shared" si="2"/>
        <v>#DIV/0!</v>
      </c>
      <c r="T19" s="290">
        <f>SUM(AU87:AV87)</f>
        <v>0</v>
      </c>
      <c r="U19" s="300" t="e">
        <f t="shared" si="3"/>
        <v>#DIV/0!</v>
      </c>
      <c r="V19" s="290">
        <f>AX87</f>
        <v>0</v>
      </c>
      <c r="W19" s="290">
        <f>BA87</f>
        <v>0</v>
      </c>
      <c r="X19" s="300">
        <f t="shared" si="4"/>
        <v>1</v>
      </c>
      <c r="Y19" s="301"/>
      <c r="Z19" s="301"/>
      <c r="AA19" s="34"/>
      <c r="AB19" s="205" t="s">
        <v>293</v>
      </c>
      <c r="AC19" s="191"/>
      <c r="AD19" s="191"/>
      <c r="AE19" s="192"/>
      <c r="AF19" s="192"/>
      <c r="AG19" s="193"/>
      <c r="AH19" s="192"/>
      <c r="AI19" s="192"/>
      <c r="AJ19" s="192"/>
      <c r="AK19" s="192"/>
      <c r="AL19" s="194" t="e">
        <f>SUM(AI19:AK19)/AG19</f>
        <v>#DIV/0!</v>
      </c>
      <c r="AM19" s="192"/>
      <c r="AN19" s="192"/>
      <c r="AO19" s="195" t="e">
        <f>SUM(AM19:AN19)/AH19</f>
        <v>#DIV/0!</v>
      </c>
      <c r="AP19" s="192"/>
      <c r="AQ19" s="192"/>
      <c r="AR19" s="195" t="e">
        <f>(AP19+AQ19)/$AH19</f>
        <v>#DIV/0!</v>
      </c>
      <c r="AS19" s="192"/>
      <c r="AT19" s="192"/>
      <c r="AU19" s="195" t="e">
        <f>(AS19+AT19)/$AH19</f>
        <v>#DIV/0!</v>
      </c>
      <c r="AV19" s="192"/>
      <c r="AW19" s="192"/>
      <c r="AX19" s="195" t="e">
        <f>(AV19+AW19)/$AH19</f>
        <v>#DIV/0!</v>
      </c>
      <c r="AY19" s="196">
        <f>SUM(AM19,AP19,AS19,AV19)</f>
        <v>0</v>
      </c>
      <c r="AZ19" s="196">
        <f>SUM(AN19,AQ19,AT19,AW19)</f>
        <v>0</v>
      </c>
      <c r="BA19" s="196">
        <f>SUM(AY19:AZ19)</f>
        <v>0</v>
      </c>
      <c r="BB19" s="195">
        <f>(BA19+1)/(AH19+1)</f>
        <v>1</v>
      </c>
      <c r="BC19" s="138"/>
      <c r="BD19" s="138"/>
      <c r="BE19" s="29"/>
    </row>
    <row r="20" spans="1:60" ht="15" customHeight="1" x14ac:dyDescent="0.2">
      <c r="A20" s="295">
        <v>18</v>
      </c>
      <c r="B20" s="296"/>
      <c r="C20" s="296"/>
      <c r="D20" s="302"/>
      <c r="E20" s="303">
        <f t="shared" ref="E20:J20" si="50">AF92</f>
        <v>0</v>
      </c>
      <c r="F20" s="303">
        <f t="shared" si="50"/>
        <v>0</v>
      </c>
      <c r="G20" s="303">
        <f t="shared" si="50"/>
        <v>0</v>
      </c>
      <c r="H20" s="303">
        <f t="shared" si="50"/>
        <v>0</v>
      </c>
      <c r="I20" s="303">
        <f t="shared" si="50"/>
        <v>0</v>
      </c>
      <c r="J20" s="303">
        <f t="shared" si="50"/>
        <v>0</v>
      </c>
      <c r="K20" s="303">
        <f>AZ92</f>
        <v>0</v>
      </c>
      <c r="L20" s="290">
        <f t="shared" si="6"/>
        <v>0</v>
      </c>
      <c r="M20" s="299" t="e">
        <f t="shared" si="19"/>
        <v>#DIV/0!</v>
      </c>
      <c r="N20" s="290">
        <f>AL92+AM92</f>
        <v>0</v>
      </c>
      <c r="O20" s="300" t="e">
        <f t="shared" si="1"/>
        <v>#DIV/0!</v>
      </c>
      <c r="P20" s="290">
        <f>SUM(AO92:AP92)</f>
        <v>0</v>
      </c>
      <c r="Q20" s="300" t="e">
        <f t="shared" si="7"/>
        <v>#DIV/0!</v>
      </c>
      <c r="R20" s="290">
        <f>SUM(AR92:AS92)</f>
        <v>0</v>
      </c>
      <c r="S20" s="300" t="e">
        <f t="shared" si="2"/>
        <v>#DIV/0!</v>
      </c>
      <c r="T20" s="290">
        <f>SUM(AU92:AV92)</f>
        <v>0</v>
      </c>
      <c r="U20" s="300" t="e">
        <f t="shared" si="3"/>
        <v>#DIV/0!</v>
      </c>
      <c r="V20" s="290">
        <f>AX92</f>
        <v>0</v>
      </c>
      <c r="W20" s="290">
        <f>BA92</f>
        <v>0</v>
      </c>
      <c r="X20" s="300">
        <f t="shared" si="4"/>
        <v>1</v>
      </c>
      <c r="Y20" s="301"/>
      <c r="Z20" s="301"/>
      <c r="AA20" s="34"/>
      <c r="AB20" s="260" t="s">
        <v>295</v>
      </c>
      <c r="AC20" s="147"/>
      <c r="AD20" s="147"/>
      <c r="AE20" s="197"/>
      <c r="AF20" s="197"/>
      <c r="AG20" s="198"/>
      <c r="AH20" s="197"/>
      <c r="AI20" s="197"/>
      <c r="AJ20" s="197"/>
      <c r="AK20" s="197"/>
      <c r="AL20" s="261" t="e">
        <f t="shared" ref="AL20:AL21" si="51">SUM(AI20:AK20)/AG20</f>
        <v>#DIV/0!</v>
      </c>
      <c r="AM20" s="197"/>
      <c r="AN20" s="197"/>
      <c r="AO20" s="262" t="e">
        <f t="shared" ref="AO20:AO21" si="52">SUM(AM20:AN20)/AH20</f>
        <v>#DIV/0!</v>
      </c>
      <c r="AP20" s="197"/>
      <c r="AQ20" s="197"/>
      <c r="AR20" s="262" t="e">
        <f t="shared" ref="AR20:AR21" si="53">(AP20+AQ20)/$AH20</f>
        <v>#DIV/0!</v>
      </c>
      <c r="AS20" s="197"/>
      <c r="AT20" s="197"/>
      <c r="AU20" s="262" t="e">
        <f t="shared" ref="AU20:AU21" si="54">(AS20+AT20)/$AH20</f>
        <v>#DIV/0!</v>
      </c>
      <c r="AV20" s="197"/>
      <c r="AW20" s="197"/>
      <c r="AX20" s="262" t="e">
        <f t="shared" ref="AX20:AX21" si="55">(AV20+AW20)/$AH20</f>
        <v>#DIV/0!</v>
      </c>
      <c r="AY20" s="263">
        <f t="shared" ref="AY20:AZ21" si="56">SUM(AM20,AP20,AS20,AV20)</f>
        <v>0</v>
      </c>
      <c r="AZ20" s="263">
        <f t="shared" si="56"/>
        <v>0</v>
      </c>
      <c r="BA20" s="263">
        <f t="shared" ref="BA20:BA21" si="57">SUM(AY20:AZ20)</f>
        <v>0</v>
      </c>
      <c r="BB20" s="262">
        <f t="shared" ref="BB20:BB21" si="58">(BA20+1)/(AH20+1)</f>
        <v>1</v>
      </c>
      <c r="BC20" s="264"/>
      <c r="BD20" s="264"/>
      <c r="BE20" s="29"/>
    </row>
    <row r="21" spans="1:60" ht="15" customHeight="1" thickBot="1" x14ac:dyDescent="0.25">
      <c r="A21" s="295">
        <v>19</v>
      </c>
      <c r="B21" s="296"/>
      <c r="C21" s="296"/>
      <c r="D21" s="302"/>
      <c r="E21" s="303">
        <f t="shared" ref="E21:J21" si="59">AF97</f>
        <v>0</v>
      </c>
      <c r="F21" s="303">
        <f t="shared" si="59"/>
        <v>0</v>
      </c>
      <c r="G21" s="303">
        <f t="shared" si="59"/>
        <v>0</v>
      </c>
      <c r="H21" s="303">
        <f t="shared" si="59"/>
        <v>0</v>
      </c>
      <c r="I21" s="303">
        <f t="shared" si="59"/>
        <v>0</v>
      </c>
      <c r="J21" s="303">
        <f t="shared" si="59"/>
        <v>0</v>
      </c>
      <c r="K21" s="303">
        <f>AZ97</f>
        <v>0</v>
      </c>
      <c r="L21" s="290">
        <f t="shared" si="6"/>
        <v>0</v>
      </c>
      <c r="M21" s="299" t="e">
        <f t="shared" si="19"/>
        <v>#DIV/0!</v>
      </c>
      <c r="N21" s="290">
        <f>AL97+AM97</f>
        <v>0</v>
      </c>
      <c r="O21" s="300" t="e">
        <f t="shared" si="1"/>
        <v>#DIV/0!</v>
      </c>
      <c r="P21" s="290">
        <f>SUM(AO97:AP97)</f>
        <v>0</v>
      </c>
      <c r="Q21" s="300" t="e">
        <f t="shared" si="7"/>
        <v>#DIV/0!</v>
      </c>
      <c r="R21" s="290">
        <f>SUM(AR97:AS97)</f>
        <v>0</v>
      </c>
      <c r="S21" s="300" t="e">
        <f t="shared" si="2"/>
        <v>#DIV/0!</v>
      </c>
      <c r="T21" s="290">
        <f>SUM(AU97:AV97)</f>
        <v>0</v>
      </c>
      <c r="U21" s="300" t="e">
        <f t="shared" si="3"/>
        <v>#DIV/0!</v>
      </c>
      <c r="V21" s="290">
        <f>AX97</f>
        <v>0</v>
      </c>
      <c r="W21" s="290">
        <f>AB97</f>
        <v>0</v>
      </c>
      <c r="X21" s="300">
        <f t="shared" si="4"/>
        <v>1</v>
      </c>
      <c r="Y21" s="301"/>
      <c r="Z21" s="301"/>
      <c r="AA21" s="34"/>
      <c r="AB21" s="206" t="s">
        <v>296</v>
      </c>
      <c r="AC21" s="199">
        <v>45996</v>
      </c>
      <c r="AD21" s="199">
        <v>45997</v>
      </c>
      <c r="AE21" s="200">
        <v>1</v>
      </c>
      <c r="AF21" s="200">
        <v>1030</v>
      </c>
      <c r="AG21" s="201">
        <v>501</v>
      </c>
      <c r="AH21" s="200">
        <v>497</v>
      </c>
      <c r="AI21" s="200">
        <v>3</v>
      </c>
      <c r="AJ21" s="200">
        <v>1</v>
      </c>
      <c r="AK21" s="200">
        <v>1</v>
      </c>
      <c r="AL21" s="202">
        <f t="shared" si="51"/>
        <v>9.9800399201596807E-3</v>
      </c>
      <c r="AM21" s="200">
        <v>162</v>
      </c>
      <c r="AN21" s="200">
        <v>1</v>
      </c>
      <c r="AO21" s="203">
        <f t="shared" si="52"/>
        <v>0.32796780684104626</v>
      </c>
      <c r="AP21" s="200">
        <v>6</v>
      </c>
      <c r="AQ21" s="200">
        <v>0</v>
      </c>
      <c r="AR21" s="203">
        <f t="shared" si="53"/>
        <v>1.2072434607645875E-2</v>
      </c>
      <c r="AS21" s="200">
        <v>0</v>
      </c>
      <c r="AT21" s="200">
        <v>1</v>
      </c>
      <c r="AU21" s="203">
        <f t="shared" si="54"/>
        <v>2.012072434607646E-3</v>
      </c>
      <c r="AV21" s="200"/>
      <c r="AW21" s="200"/>
      <c r="AX21" s="203">
        <f t="shared" si="55"/>
        <v>0</v>
      </c>
      <c r="AY21" s="204">
        <f t="shared" si="56"/>
        <v>168</v>
      </c>
      <c r="AZ21" s="204">
        <f t="shared" si="56"/>
        <v>2</v>
      </c>
      <c r="BA21" s="204">
        <f t="shared" si="57"/>
        <v>170</v>
      </c>
      <c r="BB21" s="203">
        <f t="shared" si="58"/>
        <v>0.34337349397590361</v>
      </c>
      <c r="BC21" s="139"/>
      <c r="BD21" s="139"/>
    </row>
    <row r="22" spans="1:60" ht="15" customHeight="1" thickBot="1" x14ac:dyDescent="0.25">
      <c r="A22" s="304">
        <v>20</v>
      </c>
      <c r="B22" s="305"/>
      <c r="C22" s="305"/>
      <c r="D22" s="306"/>
      <c r="E22" s="307">
        <f t="shared" ref="E22:J22" si="60">AF102</f>
        <v>0</v>
      </c>
      <c r="F22" s="307">
        <f t="shared" si="60"/>
        <v>0</v>
      </c>
      <c r="G22" s="307">
        <f t="shared" si="60"/>
        <v>0</v>
      </c>
      <c r="H22" s="307">
        <f t="shared" si="60"/>
        <v>0</v>
      </c>
      <c r="I22" s="307">
        <f t="shared" si="60"/>
        <v>0</v>
      </c>
      <c r="J22" s="307">
        <f t="shared" si="60"/>
        <v>0</v>
      </c>
      <c r="K22" s="307">
        <f>AZ102</f>
        <v>0</v>
      </c>
      <c r="L22" s="308">
        <f t="shared" si="6"/>
        <v>0</v>
      </c>
      <c r="M22" s="309" t="e">
        <f t="shared" si="19"/>
        <v>#DIV/0!</v>
      </c>
      <c r="N22" s="308">
        <f>AL102+AM102</f>
        <v>0</v>
      </c>
      <c r="O22" s="310" t="e">
        <f t="shared" si="1"/>
        <v>#DIV/0!</v>
      </c>
      <c r="P22" s="308">
        <f>SUM(AO102:AP102)</f>
        <v>0</v>
      </c>
      <c r="Q22" s="310" t="e">
        <f t="shared" si="7"/>
        <v>#DIV/0!</v>
      </c>
      <c r="R22" s="308">
        <f>SUM(AR102:AS102)</f>
        <v>0</v>
      </c>
      <c r="S22" s="310" t="e">
        <f t="shared" si="2"/>
        <v>#DIV/0!</v>
      </c>
      <c r="T22" s="308">
        <f>SUM(AU102:AV102)</f>
        <v>0</v>
      </c>
      <c r="U22" s="310" t="e">
        <f t="shared" si="3"/>
        <v>#DIV/0!</v>
      </c>
      <c r="V22" s="308">
        <f>AX102</f>
        <v>0</v>
      </c>
      <c r="W22" s="308">
        <f>BA102</f>
        <v>0</v>
      </c>
      <c r="X22" s="310">
        <f t="shared" si="4"/>
        <v>1</v>
      </c>
      <c r="Y22" s="311"/>
      <c r="Z22" s="311"/>
      <c r="AA22" s="34"/>
      <c r="AB22" s="7"/>
      <c r="AF22" s="14">
        <f>SUM(AF19:AF21)</f>
        <v>1030</v>
      </c>
      <c r="AG22" s="14">
        <f>SUM(AG19:AG21)</f>
        <v>501</v>
      </c>
      <c r="AH22" s="14">
        <f t="shared" ref="AH22:AK22" si="61">SUM(AH19:AH21)</f>
        <v>497</v>
      </c>
      <c r="AI22" s="14">
        <f t="shared" si="61"/>
        <v>3</v>
      </c>
      <c r="AJ22" s="14">
        <f t="shared" si="61"/>
        <v>1</v>
      </c>
      <c r="AK22" s="14">
        <f t="shared" si="61"/>
        <v>1</v>
      </c>
      <c r="AL22" s="163"/>
      <c r="AM22" s="14">
        <f>SUM(AM19:AM21)</f>
        <v>162</v>
      </c>
      <c r="AN22" s="14">
        <f>SUM(AN19:AN21)</f>
        <v>1</v>
      </c>
      <c r="AO22" s="165"/>
      <c r="AP22" s="14">
        <f>SUM(AP19:AP21)</f>
        <v>6</v>
      </c>
      <c r="AQ22" s="14">
        <f>SUM(AQ19:AQ21)</f>
        <v>0</v>
      </c>
      <c r="AR22" s="165"/>
      <c r="AS22" s="14">
        <f>SUM(AS19:AS21)</f>
        <v>0</v>
      </c>
      <c r="AT22" s="14">
        <f>SUM(AT19:AT21)</f>
        <v>1</v>
      </c>
      <c r="AU22" s="165"/>
      <c r="AV22" s="14">
        <f>SUM(AV19:AV21)</f>
        <v>0</v>
      </c>
      <c r="AW22" s="14">
        <f>SUM(AW19:AW21)</f>
        <v>0</v>
      </c>
      <c r="AX22" s="165"/>
      <c r="AY22" s="14">
        <f>SUM(AY19:AY21)</f>
        <v>168</v>
      </c>
      <c r="AZ22" s="14">
        <f>SUM(AZ19:AZ21)</f>
        <v>2</v>
      </c>
      <c r="BA22" s="14">
        <f>SUM(AY22:AZ22)</f>
        <v>170</v>
      </c>
      <c r="BB22" s="137">
        <f>(BA22+1)/(AH22+1)</f>
        <v>0.34337349397590361</v>
      </c>
      <c r="BC22" s="136"/>
      <c r="BD22" s="136"/>
      <c r="BE22" s="43"/>
    </row>
    <row r="23" spans="1:60" ht="15" customHeight="1" thickBot="1" x14ac:dyDescent="0.25">
      <c r="D23" s="37"/>
      <c r="E23" s="140">
        <f>SUM(E3:E22)</f>
        <v>6675</v>
      </c>
      <c r="F23" s="140">
        <f t="shared" ref="F23:L23" si="62">SUM(F3:F22)</f>
        <v>5062</v>
      </c>
      <c r="G23" s="140">
        <f t="shared" si="62"/>
        <v>5042</v>
      </c>
      <c r="H23" s="140">
        <f t="shared" si="62"/>
        <v>15</v>
      </c>
      <c r="I23" s="140">
        <f t="shared" si="62"/>
        <v>5</v>
      </c>
      <c r="J23" s="140">
        <f t="shared" si="62"/>
        <v>8</v>
      </c>
      <c r="K23" s="140">
        <f t="shared" si="62"/>
        <v>8</v>
      </c>
      <c r="L23" s="140">
        <f t="shared" si="62"/>
        <v>36</v>
      </c>
      <c r="M23" s="142">
        <f t="shared" si="19"/>
        <v>5.3932584269662919E-3</v>
      </c>
      <c r="N23" s="140">
        <f>SUM(N3:N22)</f>
        <v>1047</v>
      </c>
      <c r="O23" s="141">
        <f t="shared" si="1"/>
        <v>0.20765569218564062</v>
      </c>
      <c r="P23" s="140">
        <f t="shared" ref="P23:R23" si="63">SUM(P3:P22)</f>
        <v>58</v>
      </c>
      <c r="Q23" s="141">
        <f t="shared" si="7"/>
        <v>1.1503371677905593E-2</v>
      </c>
      <c r="R23" s="140">
        <f t="shared" si="63"/>
        <v>14</v>
      </c>
      <c r="S23" s="141">
        <f t="shared" si="2"/>
        <v>2.776675922253074E-3</v>
      </c>
      <c r="T23" s="140">
        <f>SUM(T3:T6)</f>
        <v>0</v>
      </c>
      <c r="U23" s="141">
        <f t="shared" si="3"/>
        <v>0</v>
      </c>
      <c r="V23" s="140">
        <f t="shared" ref="V23" si="64">SUM(V3:V22)</f>
        <v>0</v>
      </c>
      <c r="W23" s="140">
        <f>SUM(W3:W22)</f>
        <v>1129</v>
      </c>
      <c r="X23" s="141"/>
      <c r="Y23" s="142"/>
      <c r="Z23" s="142"/>
      <c r="AA23" s="34"/>
      <c r="AB23" s="13" t="s">
        <v>305</v>
      </c>
      <c r="AC23" s="27"/>
      <c r="AD23" s="35"/>
      <c r="AE23" s="28"/>
      <c r="AF23" s="27"/>
      <c r="AG23" s="27"/>
      <c r="AH23" s="27"/>
      <c r="AI23" s="27"/>
      <c r="AJ23" s="27"/>
      <c r="AK23" s="36"/>
      <c r="AL23" s="9"/>
      <c r="AM23" s="35"/>
      <c r="AN23" s="35"/>
      <c r="AO23" s="7"/>
      <c r="AP23" s="27"/>
      <c r="AQ23" s="27"/>
      <c r="AR23" s="7"/>
      <c r="AS23" s="27"/>
      <c r="AT23" s="27"/>
      <c r="AU23" s="7"/>
      <c r="AV23" s="27"/>
      <c r="AW23" s="27"/>
      <c r="AX23" s="18"/>
      <c r="AY23" s="17"/>
      <c r="AZ23" s="15"/>
      <c r="BA23" s="7"/>
      <c r="BB23" s="7"/>
      <c r="BC23" s="7"/>
      <c r="BD23" s="7"/>
    </row>
    <row r="24" spans="1:60" ht="15" customHeight="1" x14ac:dyDescent="0.2">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4"/>
      <c r="AB24" s="205" t="s">
        <v>293</v>
      </c>
      <c r="AC24" s="191"/>
      <c r="AD24" s="191"/>
      <c r="AE24" s="192"/>
      <c r="AF24" s="192"/>
      <c r="AG24" s="193"/>
      <c r="AH24" s="192"/>
      <c r="AI24" s="192"/>
      <c r="AJ24" s="192"/>
      <c r="AK24" s="192"/>
      <c r="AL24" s="194" t="e">
        <f>SUM(AI24:AK24)/AG24</f>
        <v>#DIV/0!</v>
      </c>
      <c r="AM24" s="192"/>
      <c r="AN24" s="192"/>
      <c r="AO24" s="195" t="e">
        <f>SUM(AM24:AN24)/AH24</f>
        <v>#DIV/0!</v>
      </c>
      <c r="AP24" s="192"/>
      <c r="AQ24" s="192"/>
      <c r="AR24" s="195" t="e">
        <f>(AP24+AQ24)/$AH24</f>
        <v>#DIV/0!</v>
      </c>
      <c r="AS24" s="192"/>
      <c r="AT24" s="192"/>
      <c r="AU24" s="195" t="e">
        <f>(AS24+AT24)/$AH24</f>
        <v>#DIV/0!</v>
      </c>
      <c r="AV24" s="192"/>
      <c r="AW24" s="192"/>
      <c r="AX24" s="195" t="e">
        <f>(AV24+AW24)/$AH24</f>
        <v>#DIV/0!</v>
      </c>
      <c r="AY24" s="196">
        <f>SUM(AM24,AP24,AS24,AV24)</f>
        <v>0</v>
      </c>
      <c r="AZ24" s="196">
        <f>SUM(AN24,AQ24,AT24,AW24)</f>
        <v>0</v>
      </c>
      <c r="BA24" s="196">
        <f>SUM(AY24:AZ24)</f>
        <v>0</v>
      </c>
      <c r="BB24" s="195">
        <f>(BA24+1)/(AH24+1)</f>
        <v>1</v>
      </c>
      <c r="BC24" s="138"/>
      <c r="BD24" s="138"/>
    </row>
    <row r="25" spans="1:60" ht="15" customHeight="1" x14ac:dyDescent="0.3">
      <c r="A25" s="34"/>
      <c r="B25" s="34"/>
      <c r="C25" s="34"/>
      <c r="D25" s="34"/>
      <c r="E25" s="34"/>
      <c r="F25" s="19" t="s">
        <v>306</v>
      </c>
      <c r="G25" s="21"/>
      <c r="H25" s="22"/>
      <c r="I25" s="22"/>
      <c r="J25" s="23"/>
      <c r="K25" s="20"/>
      <c r="L25" s="20"/>
      <c r="M25" s="24"/>
      <c r="N25" s="20"/>
      <c r="O25" s="24"/>
      <c r="P25" s="20"/>
      <c r="Q25" s="25"/>
      <c r="R25" s="26"/>
      <c r="S25" s="210"/>
      <c r="T25" s="210"/>
      <c r="U25" s="210"/>
      <c r="V25" s="210"/>
      <c r="W25" s="34"/>
      <c r="X25" s="34"/>
      <c r="Y25" s="34"/>
      <c r="Z25" s="34"/>
      <c r="AA25" s="34"/>
      <c r="AB25" s="260" t="s">
        <v>295</v>
      </c>
      <c r="AC25" s="147"/>
      <c r="AD25" s="147"/>
      <c r="AE25" s="197"/>
      <c r="AF25" s="197"/>
      <c r="AG25" s="198"/>
      <c r="AH25" s="197"/>
      <c r="AI25" s="197"/>
      <c r="AJ25" s="197"/>
      <c r="AK25" s="197"/>
      <c r="AL25" s="261" t="e">
        <f t="shared" ref="AL25:AL26" si="65">SUM(AI25:AK25)/AG25</f>
        <v>#DIV/0!</v>
      </c>
      <c r="AM25" s="197"/>
      <c r="AN25" s="197"/>
      <c r="AO25" s="262" t="e">
        <f t="shared" ref="AO25:AO26" si="66">SUM(AM25:AN25)/AH25</f>
        <v>#DIV/0!</v>
      </c>
      <c r="AP25" s="197"/>
      <c r="AQ25" s="197"/>
      <c r="AR25" s="262" t="e">
        <f t="shared" ref="AR25:AR26" si="67">(AP25+AQ25)/$AH25</f>
        <v>#DIV/0!</v>
      </c>
      <c r="AS25" s="197"/>
      <c r="AT25" s="197"/>
      <c r="AU25" s="262" t="e">
        <f t="shared" ref="AU25:AU26" si="68">(AS25+AT25)/$AH25</f>
        <v>#DIV/0!</v>
      </c>
      <c r="AV25" s="197"/>
      <c r="AW25" s="197"/>
      <c r="AX25" s="262" t="e">
        <f t="shared" ref="AX25:AX26" si="69">(AV25+AW25)/$AH25</f>
        <v>#DIV/0!</v>
      </c>
      <c r="AY25" s="263">
        <f t="shared" ref="AY25:AZ26" si="70">SUM(AM25,AP25,AS25,AV25)</f>
        <v>0</v>
      </c>
      <c r="AZ25" s="263">
        <f t="shared" si="70"/>
        <v>0</v>
      </c>
      <c r="BA25" s="263">
        <f t="shared" ref="BA25:BA26" si="71">SUM(AY25:AZ25)</f>
        <v>0</v>
      </c>
      <c r="BB25" s="262">
        <f t="shared" ref="BB25:BB26" si="72">(BA25+1)/(AH25+1)</f>
        <v>1</v>
      </c>
      <c r="BC25" s="264"/>
      <c r="BD25" s="264"/>
    </row>
    <row r="26" spans="1:60" ht="15" customHeight="1" thickBot="1" x14ac:dyDescent="0.35">
      <c r="A26" s="34"/>
      <c r="B26" s="34"/>
      <c r="C26" s="34"/>
      <c r="D26" s="34"/>
      <c r="E26" s="34"/>
      <c r="F26" s="180" t="s">
        <v>270</v>
      </c>
      <c r="G26" s="183"/>
      <c r="H26" s="184"/>
      <c r="I26" s="184"/>
      <c r="J26" s="185"/>
      <c r="K26" s="182"/>
      <c r="L26" s="182"/>
      <c r="M26" s="186"/>
      <c r="N26" s="182"/>
      <c r="O26" s="186"/>
      <c r="P26" s="182"/>
      <c r="Q26" s="187"/>
      <c r="R26" s="188"/>
      <c r="S26" s="34"/>
      <c r="T26" s="34"/>
      <c r="U26" s="34"/>
      <c r="V26" s="34"/>
      <c r="W26" s="34"/>
      <c r="X26" s="34"/>
      <c r="Y26" s="34"/>
      <c r="Z26" s="34"/>
      <c r="AA26" s="34"/>
      <c r="AB26" s="206" t="s">
        <v>296</v>
      </c>
      <c r="AC26" s="199">
        <v>46000</v>
      </c>
      <c r="AD26" s="199">
        <v>46001</v>
      </c>
      <c r="AE26" s="200">
        <v>1</v>
      </c>
      <c r="AF26" s="200">
        <v>457</v>
      </c>
      <c r="AG26" s="201">
        <v>448</v>
      </c>
      <c r="AH26" s="200">
        <v>447</v>
      </c>
      <c r="AI26" s="200">
        <v>3</v>
      </c>
      <c r="AJ26" s="200">
        <v>0</v>
      </c>
      <c r="AK26" s="200">
        <v>0</v>
      </c>
      <c r="AL26" s="202">
        <f t="shared" si="65"/>
        <v>6.6964285714285711E-3</v>
      </c>
      <c r="AM26" s="200">
        <v>136</v>
      </c>
      <c r="AN26" s="200">
        <v>0</v>
      </c>
      <c r="AO26" s="203">
        <f t="shared" si="66"/>
        <v>0.30425055928411632</v>
      </c>
      <c r="AP26" s="200">
        <v>11</v>
      </c>
      <c r="AQ26" s="200">
        <v>0</v>
      </c>
      <c r="AR26" s="203">
        <f t="shared" si="67"/>
        <v>2.4608501118568233E-2</v>
      </c>
      <c r="AS26" s="200">
        <v>9</v>
      </c>
      <c r="AT26" s="200">
        <v>0</v>
      </c>
      <c r="AU26" s="203">
        <f t="shared" si="68"/>
        <v>2.0134228187919462E-2</v>
      </c>
      <c r="AV26" s="200">
        <v>0</v>
      </c>
      <c r="AW26" s="200">
        <v>0</v>
      </c>
      <c r="AX26" s="203">
        <f t="shared" si="69"/>
        <v>0</v>
      </c>
      <c r="AY26" s="204">
        <f t="shared" si="70"/>
        <v>156</v>
      </c>
      <c r="AZ26" s="204">
        <f t="shared" si="70"/>
        <v>0</v>
      </c>
      <c r="BA26" s="204">
        <f t="shared" si="71"/>
        <v>156</v>
      </c>
      <c r="BB26" s="203">
        <f t="shared" si="72"/>
        <v>0.35044642857142855</v>
      </c>
      <c r="BC26" s="139"/>
      <c r="BD26" s="139"/>
    </row>
    <row r="27" spans="1:60" ht="12.75" x14ac:dyDescent="0.2">
      <c r="B27" s="38"/>
      <c r="C27" s="38"/>
      <c r="D27" s="27"/>
      <c r="E27" s="27"/>
      <c r="F27" s="37"/>
      <c r="G27" s="41"/>
      <c r="H27" s="27"/>
      <c r="I27" s="27"/>
      <c r="J27" s="39"/>
      <c r="K27" s="37"/>
      <c r="L27" s="37"/>
      <c r="M27" s="31"/>
      <c r="N27" s="37"/>
      <c r="O27" s="31"/>
      <c r="P27" s="37"/>
      <c r="Q27" s="31"/>
      <c r="R27" s="37"/>
      <c r="S27" s="31"/>
      <c r="T27" s="42"/>
      <c r="U27" s="42"/>
      <c r="V27" s="42"/>
      <c r="W27" s="42"/>
      <c r="X27" s="42"/>
      <c r="Y27" s="35"/>
      <c r="Z27" s="35"/>
      <c r="AA27" s="34"/>
      <c r="AB27" s="7"/>
      <c r="AF27" s="14">
        <f>SUM(AF24:AF26)</f>
        <v>457</v>
      </c>
      <c r="AG27" s="14">
        <f>SUM(AG24:AG26)</f>
        <v>448</v>
      </c>
      <c r="AH27" s="14">
        <f t="shared" ref="AH27:AK27" si="73">SUM(AH24:AH26)</f>
        <v>447</v>
      </c>
      <c r="AI27" s="14">
        <f t="shared" si="73"/>
        <v>3</v>
      </c>
      <c r="AJ27" s="14">
        <f t="shared" si="73"/>
        <v>0</v>
      </c>
      <c r="AK27" s="14">
        <f t="shared" si="73"/>
        <v>0</v>
      </c>
      <c r="AL27" s="163"/>
      <c r="AM27" s="14">
        <f>SUM(AM24:AM26)</f>
        <v>136</v>
      </c>
      <c r="AN27" s="14">
        <f>SUM(AN24:AN26)</f>
        <v>0</v>
      </c>
      <c r="AO27" s="165"/>
      <c r="AP27" s="14">
        <f>SUM(AP24:AP26)</f>
        <v>11</v>
      </c>
      <c r="AQ27" s="14">
        <f>SUM(AQ24:AQ26)</f>
        <v>0</v>
      </c>
      <c r="AR27" s="165"/>
      <c r="AS27" s="14">
        <f>SUM(AS24:AS26)</f>
        <v>9</v>
      </c>
      <c r="AT27" s="14">
        <f>SUM(AT24:AT26)</f>
        <v>0</v>
      </c>
      <c r="AU27" s="165"/>
      <c r="AV27" s="14">
        <f>SUM(AV24:AV26)</f>
        <v>0</v>
      </c>
      <c r="AW27" s="14">
        <f>SUM(AW24:AW26)</f>
        <v>0</v>
      </c>
      <c r="AX27" s="165"/>
      <c r="AY27" s="14">
        <f>SUM(AY24:AY26)</f>
        <v>156</v>
      </c>
      <c r="AZ27" s="14">
        <f>SUM(AZ24:AZ26)</f>
        <v>0</v>
      </c>
      <c r="BA27" s="14">
        <f>SUM(AY27:AZ27)</f>
        <v>156</v>
      </c>
      <c r="BB27" s="137">
        <f>(BA27+1)/(AH27+1)</f>
        <v>0.35044642857142855</v>
      </c>
      <c r="BC27" s="136"/>
      <c r="BD27" s="136"/>
      <c r="BE27" s="43"/>
    </row>
    <row r="28" spans="1:60" ht="13.5" thickBot="1" x14ac:dyDescent="0.25">
      <c r="B28" s="38"/>
      <c r="C28" s="38"/>
      <c r="D28" s="27"/>
      <c r="E28" s="27"/>
      <c r="F28" s="37"/>
      <c r="G28" s="41"/>
      <c r="H28" s="44"/>
      <c r="I28" s="2" t="s">
        <v>307</v>
      </c>
      <c r="J28" s="3" t="s">
        <v>308</v>
      </c>
      <c r="K28" s="4" t="s">
        <v>309</v>
      </c>
      <c r="L28" s="4"/>
      <c r="M28" s="27"/>
      <c r="N28" s="37"/>
      <c r="P28" s="37"/>
      <c r="R28" s="37"/>
      <c r="S28" s="31"/>
      <c r="T28" s="42"/>
      <c r="U28" s="42"/>
      <c r="V28" s="42"/>
      <c r="W28" s="42"/>
      <c r="X28" s="42"/>
      <c r="Y28" s="35"/>
      <c r="Z28" s="35"/>
      <c r="AA28" s="34"/>
      <c r="AB28" s="13" t="s">
        <v>310</v>
      </c>
      <c r="AC28" s="27"/>
      <c r="AD28" s="35"/>
      <c r="AE28" s="28"/>
      <c r="AF28" s="27"/>
      <c r="AG28" s="27"/>
      <c r="AH28" s="27"/>
      <c r="AI28" s="27"/>
      <c r="AJ28" s="27"/>
      <c r="AK28" s="36"/>
      <c r="AL28" s="9"/>
      <c r="AM28" s="35"/>
      <c r="AN28" s="35"/>
      <c r="AO28" s="7"/>
      <c r="AP28" s="27"/>
      <c r="AQ28" s="27"/>
      <c r="AR28" s="7"/>
      <c r="AS28" s="27"/>
      <c r="AT28" s="27"/>
      <c r="AU28" s="7"/>
      <c r="AV28" s="27"/>
      <c r="AW28" s="27"/>
      <c r="AX28" s="18"/>
      <c r="AY28" s="17"/>
      <c r="AZ28" s="15"/>
      <c r="BA28" s="7"/>
      <c r="BB28" s="7"/>
      <c r="BC28" s="7"/>
      <c r="BD28" s="7"/>
    </row>
    <row r="29" spans="1:60" ht="12.75" x14ac:dyDescent="0.2">
      <c r="B29" s="38"/>
      <c r="C29" s="38"/>
      <c r="D29" s="47"/>
      <c r="E29" s="47"/>
      <c r="F29" s="48"/>
      <c r="G29" s="41"/>
      <c r="H29" s="49"/>
      <c r="I29" s="5">
        <f>AVERAGE(G3:G14)</f>
        <v>420.16666666666669</v>
      </c>
      <c r="J29" s="5">
        <f>AVERAGE(W3:W14)</f>
        <v>94.083333333333329</v>
      </c>
      <c r="K29" s="6">
        <f>ROUND((J29+1)/(I29+1),4)</f>
        <v>0.2258</v>
      </c>
      <c r="L29" s="6"/>
      <c r="M29" s="27"/>
      <c r="N29" s="37"/>
      <c r="P29" s="37"/>
      <c r="R29" s="37"/>
      <c r="S29" s="31"/>
      <c r="T29" s="42"/>
      <c r="U29" s="42"/>
      <c r="V29" s="42"/>
      <c r="W29" s="42"/>
      <c r="X29" s="42"/>
      <c r="Y29" s="35"/>
      <c r="Z29" s="35"/>
      <c r="AA29" s="34"/>
      <c r="AB29" s="205" t="s">
        <v>293</v>
      </c>
      <c r="AC29" s="191"/>
      <c r="AD29" s="191"/>
      <c r="AE29" s="192"/>
      <c r="AF29" s="192"/>
      <c r="AG29" s="193"/>
      <c r="AH29" s="192"/>
      <c r="AI29" s="192"/>
      <c r="AJ29" s="192"/>
      <c r="AK29" s="192"/>
      <c r="AL29" s="194" t="e">
        <f>SUM(AI29:AK29)/AG29</f>
        <v>#DIV/0!</v>
      </c>
      <c r="AM29" s="192"/>
      <c r="AN29" s="192"/>
      <c r="AO29" s="195" t="e">
        <f>SUM(AM29:AN29)/AH29</f>
        <v>#DIV/0!</v>
      </c>
      <c r="AP29" s="192"/>
      <c r="AQ29" s="192"/>
      <c r="AR29" s="195" t="e">
        <f>(AP29+AQ29)/$AH29</f>
        <v>#DIV/0!</v>
      </c>
      <c r="AS29" s="192"/>
      <c r="AT29" s="192"/>
      <c r="AU29" s="195" t="e">
        <f>(AS29+AT29)/$AH29</f>
        <v>#DIV/0!</v>
      </c>
      <c r="AV29" s="192"/>
      <c r="AW29" s="192"/>
      <c r="AX29" s="195" t="e">
        <f>(AV29+AW29)/$AH29</f>
        <v>#DIV/0!</v>
      </c>
      <c r="AY29" s="196">
        <f>SUM(AM29,AP29,AS29,AV29)</f>
        <v>0</v>
      </c>
      <c r="AZ29" s="196">
        <f>SUM(AN29,AQ29,AT29,AW29)</f>
        <v>0</v>
      </c>
      <c r="BA29" s="196">
        <f>SUM(AY29:AZ29)</f>
        <v>0</v>
      </c>
      <c r="BB29" s="195">
        <f>(BA29+1)/(AH29+1)</f>
        <v>1</v>
      </c>
      <c r="BC29" s="138"/>
      <c r="BD29" s="138"/>
    </row>
    <row r="30" spans="1:60" ht="15" customHeight="1" x14ac:dyDescent="0.2">
      <c r="B30" s="38"/>
      <c r="C30" s="38"/>
      <c r="D30" s="27"/>
      <c r="E30" s="27"/>
      <c r="F30" s="37"/>
      <c r="G30" s="41"/>
      <c r="H30" s="44"/>
      <c r="I30" s="374" t="s">
        <v>311</v>
      </c>
      <c r="J30" s="374"/>
      <c r="K30"/>
      <c r="L30" s="1"/>
      <c r="M30" s="27"/>
      <c r="N30" s="37"/>
      <c r="P30" s="37"/>
      <c r="R30" s="37"/>
      <c r="S30" s="31"/>
      <c r="T30" s="42"/>
      <c r="U30" s="42"/>
      <c r="V30" s="42"/>
      <c r="W30" s="42"/>
      <c r="X30" s="42"/>
      <c r="Y30" s="35"/>
      <c r="Z30" s="35"/>
      <c r="AA30" s="34"/>
      <c r="AB30" s="260" t="s">
        <v>295</v>
      </c>
      <c r="AC30" s="147"/>
      <c r="AD30" s="147"/>
      <c r="AE30" s="197"/>
      <c r="AF30" s="197"/>
      <c r="AG30" s="198"/>
      <c r="AH30" s="197"/>
      <c r="AI30" s="197"/>
      <c r="AJ30" s="197"/>
      <c r="AK30" s="197"/>
      <c r="AL30" s="261" t="e">
        <f t="shared" ref="AL30:AL31" si="74">SUM(AI30:AK30)/AG30</f>
        <v>#DIV/0!</v>
      </c>
      <c r="AM30" s="197"/>
      <c r="AN30" s="197"/>
      <c r="AO30" s="262" t="e">
        <f t="shared" ref="AO30:AO31" si="75">SUM(AM30:AN30)/AH30</f>
        <v>#DIV/0!</v>
      </c>
      <c r="AP30" s="197"/>
      <c r="AQ30" s="197"/>
      <c r="AR30" s="262" t="e">
        <f t="shared" ref="AR30:AR31" si="76">(AP30+AQ30)/$AH30</f>
        <v>#DIV/0!</v>
      </c>
      <c r="AS30" s="197"/>
      <c r="AT30" s="197"/>
      <c r="AU30" s="262" t="e">
        <f t="shared" ref="AU30:AU31" si="77">(AS30+AT30)/$AH30</f>
        <v>#DIV/0!</v>
      </c>
      <c r="AV30" s="197"/>
      <c r="AW30" s="197"/>
      <c r="AX30" s="262" t="e">
        <f t="shared" ref="AX30:AX31" si="78">(AV30+AW30)/$AH30</f>
        <v>#DIV/0!</v>
      </c>
      <c r="AY30" s="263">
        <f t="shared" ref="AY30:AZ31" si="79">SUM(AM30,AP30,AS30,AV30)</f>
        <v>0</v>
      </c>
      <c r="AZ30" s="263">
        <f t="shared" si="79"/>
        <v>0</v>
      </c>
      <c r="BA30" s="263">
        <f t="shared" ref="BA30:BA31" si="80">SUM(AY30:AZ30)</f>
        <v>0</v>
      </c>
      <c r="BB30" s="262">
        <f t="shared" ref="BB30:BB31" si="81">(BA30+1)/(AH30+1)</f>
        <v>1</v>
      </c>
      <c r="BC30" s="264"/>
      <c r="BD30" s="264"/>
    </row>
    <row r="31" spans="1:60" ht="15" customHeight="1" thickBot="1" x14ac:dyDescent="0.25">
      <c r="AA31" s="34"/>
      <c r="AB31" s="206" t="s">
        <v>296</v>
      </c>
      <c r="AC31" s="199">
        <v>46003</v>
      </c>
      <c r="AD31" s="199">
        <v>46004</v>
      </c>
      <c r="AE31" s="200"/>
      <c r="AF31" s="200">
        <v>439</v>
      </c>
      <c r="AG31" s="201">
        <v>438</v>
      </c>
      <c r="AH31" s="200">
        <v>437</v>
      </c>
      <c r="AI31" s="200">
        <v>0</v>
      </c>
      <c r="AJ31" s="200">
        <v>0</v>
      </c>
      <c r="AK31" s="200">
        <v>1</v>
      </c>
      <c r="AL31" s="202">
        <f t="shared" si="74"/>
        <v>2.2831050228310501E-3</v>
      </c>
      <c r="AM31" s="200">
        <v>115</v>
      </c>
      <c r="AN31" s="200">
        <v>0</v>
      </c>
      <c r="AO31" s="203">
        <f t="shared" si="75"/>
        <v>0.26315789473684209</v>
      </c>
      <c r="AP31" s="200">
        <v>6</v>
      </c>
      <c r="AQ31" s="200">
        <v>0</v>
      </c>
      <c r="AR31" s="203">
        <f t="shared" si="76"/>
        <v>1.3729977116704805E-2</v>
      </c>
      <c r="AS31" s="200">
        <v>1</v>
      </c>
      <c r="AT31" s="200">
        <v>0</v>
      </c>
      <c r="AU31" s="203">
        <f t="shared" si="77"/>
        <v>2.2883295194508009E-3</v>
      </c>
      <c r="AV31" s="200">
        <v>0</v>
      </c>
      <c r="AW31" s="200">
        <v>0</v>
      </c>
      <c r="AX31" s="203">
        <f t="shared" si="78"/>
        <v>0</v>
      </c>
      <c r="AY31" s="204">
        <f t="shared" si="79"/>
        <v>122</v>
      </c>
      <c r="AZ31" s="204">
        <f t="shared" si="79"/>
        <v>0</v>
      </c>
      <c r="BA31" s="204">
        <f t="shared" si="80"/>
        <v>122</v>
      </c>
      <c r="BB31" s="203">
        <f t="shared" si="81"/>
        <v>0.28082191780821919</v>
      </c>
      <c r="BC31" s="139"/>
      <c r="BD31" s="139"/>
    </row>
    <row r="32" spans="1:60" ht="15" customHeight="1" x14ac:dyDescent="0.2">
      <c r="AA32" s="34"/>
      <c r="AB32" s="7"/>
      <c r="AF32" s="14">
        <f>SUM(AF29:AF31)</f>
        <v>439</v>
      </c>
      <c r="AG32" s="14">
        <f>SUM(AG29:AG31)</f>
        <v>438</v>
      </c>
      <c r="AH32" s="14">
        <f t="shared" ref="AH32:AK32" si="82">SUM(AH29:AH31)</f>
        <v>437</v>
      </c>
      <c r="AI32" s="14">
        <f t="shared" si="82"/>
        <v>0</v>
      </c>
      <c r="AJ32" s="14">
        <f t="shared" si="82"/>
        <v>0</v>
      </c>
      <c r="AK32" s="14">
        <f t="shared" si="82"/>
        <v>1</v>
      </c>
      <c r="AL32" s="163"/>
      <c r="AM32" s="14">
        <f>SUM(AM29:AM31)</f>
        <v>115</v>
      </c>
      <c r="AN32" s="14">
        <f>SUM(AN29:AN31)</f>
        <v>0</v>
      </c>
      <c r="AO32" s="165"/>
      <c r="AP32" s="14">
        <f>SUM(AP29:AP31)</f>
        <v>6</v>
      </c>
      <c r="AQ32" s="14">
        <f>SUM(AQ29:AQ31)</f>
        <v>0</v>
      </c>
      <c r="AR32" s="165"/>
      <c r="AS32" s="14">
        <f>SUM(AS29:AS31)</f>
        <v>1</v>
      </c>
      <c r="AT32" s="14">
        <f>SUM(AT29:AT31)</f>
        <v>0</v>
      </c>
      <c r="AU32" s="165"/>
      <c r="AV32" s="14">
        <f>SUM(AV29:AV31)</f>
        <v>0</v>
      </c>
      <c r="AW32" s="14">
        <f>SUM(AW29:AW31)</f>
        <v>0</v>
      </c>
      <c r="AX32" s="165"/>
      <c r="AY32" s="14">
        <f>SUM(AY29:AY31)</f>
        <v>122</v>
      </c>
      <c r="AZ32" s="14">
        <f>SUM(AZ29:AZ31)</f>
        <v>0</v>
      </c>
      <c r="BA32" s="14">
        <f>SUM(AY32:AZ32)</f>
        <v>122</v>
      </c>
      <c r="BB32" s="137">
        <f>(BA32+1)/(AH32+1)</f>
        <v>0.28082191780821919</v>
      </c>
      <c r="BC32" s="136"/>
      <c r="BD32" s="136"/>
      <c r="BE32" s="43"/>
    </row>
    <row r="33" spans="19:59" ht="15" customHeight="1" thickBot="1" x14ac:dyDescent="0.25">
      <c r="AA33" s="34"/>
      <c r="AB33" s="13" t="s">
        <v>312</v>
      </c>
      <c r="AC33" s="27"/>
      <c r="AD33" s="35"/>
      <c r="AE33" s="28"/>
      <c r="AF33" s="27"/>
      <c r="AG33" s="27"/>
      <c r="AH33" s="27"/>
      <c r="AI33" s="27"/>
      <c r="AJ33" s="27"/>
      <c r="AK33" s="36"/>
      <c r="AL33" s="9"/>
      <c r="AM33" s="35"/>
      <c r="AN33" s="35"/>
      <c r="AO33" s="7"/>
      <c r="AP33" s="27"/>
      <c r="AQ33" s="27"/>
      <c r="AR33" s="7"/>
      <c r="AS33" s="27"/>
      <c r="AT33" s="27"/>
      <c r="AU33" s="7"/>
      <c r="AV33" s="27"/>
      <c r="AW33" s="27"/>
      <c r="AX33" s="18"/>
      <c r="AY33" s="17"/>
      <c r="AZ33" s="15"/>
      <c r="BA33" s="7"/>
      <c r="BB33" s="7"/>
      <c r="BC33" s="7"/>
      <c r="BD33" s="7"/>
    </row>
    <row r="34" spans="19:59" ht="15" customHeight="1" x14ac:dyDescent="0.2">
      <c r="U34" s="31"/>
      <c r="AA34" s="34"/>
      <c r="AB34" s="205" t="s">
        <v>293</v>
      </c>
      <c r="AC34" s="191"/>
      <c r="AD34" s="191"/>
      <c r="AE34" s="192"/>
      <c r="AF34" s="192"/>
      <c r="AG34" s="193"/>
      <c r="AH34" s="192"/>
      <c r="AI34" s="192"/>
      <c r="AJ34" s="192"/>
      <c r="AK34" s="192"/>
      <c r="AL34" s="194" t="e">
        <f>SUM(AI34:AK34)/AG34</f>
        <v>#DIV/0!</v>
      </c>
      <c r="AM34" s="192"/>
      <c r="AN34" s="192"/>
      <c r="AO34" s="195" t="e">
        <f>SUM(AM34:AN34)/AH34</f>
        <v>#DIV/0!</v>
      </c>
      <c r="AP34" s="192"/>
      <c r="AQ34" s="192"/>
      <c r="AR34" s="195" t="e">
        <f>(AP34+AQ34)/$AH34</f>
        <v>#DIV/0!</v>
      </c>
      <c r="AS34" s="192"/>
      <c r="AT34" s="192"/>
      <c r="AU34" s="195" t="e">
        <f>(AS34+AT34)/$AH34</f>
        <v>#DIV/0!</v>
      </c>
      <c r="AV34" s="192"/>
      <c r="AW34" s="192"/>
      <c r="AX34" s="195" t="e">
        <f>(AV34+AW34)/$AH34</f>
        <v>#DIV/0!</v>
      </c>
      <c r="AY34" s="196">
        <f>SUM(AM34,AP34,AS34,AV34)</f>
        <v>0</v>
      </c>
      <c r="AZ34" s="196">
        <f>SUM(AN34,AQ34,AT34,AW34)</f>
        <v>0</v>
      </c>
      <c r="BA34" s="196">
        <f>SUM(AY34:AZ34)</f>
        <v>0</v>
      </c>
      <c r="BB34" s="195">
        <f>(BA34+1)/(AH34+1)</f>
        <v>1</v>
      </c>
      <c r="BC34" s="138"/>
      <c r="BD34" s="138"/>
    </row>
    <row r="35" spans="19:59" ht="15" customHeight="1" x14ac:dyDescent="0.2">
      <c r="AA35" s="34"/>
      <c r="AB35" s="260" t="s">
        <v>295</v>
      </c>
      <c r="AC35" s="147"/>
      <c r="AD35" s="147"/>
      <c r="AE35" s="197"/>
      <c r="AF35" s="197"/>
      <c r="AG35" s="198"/>
      <c r="AH35" s="197"/>
      <c r="AI35" s="197"/>
      <c r="AJ35" s="197"/>
      <c r="AK35" s="197"/>
      <c r="AL35" s="261" t="e">
        <f t="shared" ref="AL35:AL36" si="83">SUM(AI35:AK35)/AG35</f>
        <v>#DIV/0!</v>
      </c>
      <c r="AM35" s="197"/>
      <c r="AN35" s="197"/>
      <c r="AO35" s="262" t="e">
        <f t="shared" ref="AO35:AO36" si="84">SUM(AM35:AN35)/AH35</f>
        <v>#DIV/0!</v>
      </c>
      <c r="AP35" s="197"/>
      <c r="AQ35" s="197"/>
      <c r="AR35" s="262" t="e">
        <f t="shared" ref="AR35:AR36" si="85">(AP35+AQ35)/$AH35</f>
        <v>#DIV/0!</v>
      </c>
      <c r="AS35" s="197"/>
      <c r="AT35" s="197"/>
      <c r="AU35" s="262" t="e">
        <f t="shared" ref="AU35:AU36" si="86">(AS35+AT35)/$AH35</f>
        <v>#DIV/0!</v>
      </c>
      <c r="AV35" s="197"/>
      <c r="AW35" s="197"/>
      <c r="AX35" s="262" t="e">
        <f t="shared" ref="AX35:AX36" si="87">(AV35+AW35)/$AH35</f>
        <v>#DIV/0!</v>
      </c>
      <c r="AY35" s="263">
        <f t="shared" ref="AY35:AZ36" si="88">SUM(AM35,AP35,AS35,AV35)</f>
        <v>0</v>
      </c>
      <c r="AZ35" s="263">
        <f t="shared" si="88"/>
        <v>0</v>
      </c>
      <c r="BA35" s="263">
        <f t="shared" ref="BA35:BA36" si="89">SUM(AY35:AZ35)</f>
        <v>0</v>
      </c>
      <c r="BB35" s="262">
        <f t="shared" ref="BB35:BB36" si="90">(BA35+1)/(AH35+1)</f>
        <v>1</v>
      </c>
      <c r="BC35" s="264"/>
      <c r="BD35" s="264"/>
    </row>
    <row r="36" spans="19:59" ht="15" customHeight="1" thickBot="1" x14ac:dyDescent="0.25">
      <c r="AA36" s="34"/>
      <c r="AB36" s="206" t="s">
        <v>296</v>
      </c>
      <c r="AC36" s="199">
        <v>46038</v>
      </c>
      <c r="AD36" s="199">
        <v>46039</v>
      </c>
      <c r="AE36" s="200">
        <v>1</v>
      </c>
      <c r="AF36" s="200">
        <v>509</v>
      </c>
      <c r="AG36" s="201">
        <v>504</v>
      </c>
      <c r="AH36" s="200">
        <v>503</v>
      </c>
      <c r="AI36" s="200">
        <v>0</v>
      </c>
      <c r="AJ36" s="200">
        <v>0</v>
      </c>
      <c r="AK36" s="200"/>
      <c r="AL36" s="202">
        <f t="shared" si="83"/>
        <v>0</v>
      </c>
      <c r="AM36" s="200">
        <v>54</v>
      </c>
      <c r="AN36" s="200">
        <v>2</v>
      </c>
      <c r="AO36" s="203">
        <f t="shared" si="84"/>
        <v>0.11133200795228629</v>
      </c>
      <c r="AP36" s="200">
        <v>0</v>
      </c>
      <c r="AQ36" s="200">
        <v>0</v>
      </c>
      <c r="AR36" s="203">
        <f t="shared" si="85"/>
        <v>0</v>
      </c>
      <c r="AS36" s="200">
        <v>0</v>
      </c>
      <c r="AT36" s="200">
        <v>0</v>
      </c>
      <c r="AU36" s="203">
        <f t="shared" si="86"/>
        <v>0</v>
      </c>
      <c r="AV36" s="200">
        <v>0</v>
      </c>
      <c r="AW36" s="200">
        <v>0</v>
      </c>
      <c r="AX36" s="203">
        <f t="shared" si="87"/>
        <v>0</v>
      </c>
      <c r="AY36" s="204">
        <f t="shared" si="88"/>
        <v>54</v>
      </c>
      <c r="AZ36" s="204">
        <f t="shared" si="88"/>
        <v>2</v>
      </c>
      <c r="BA36" s="204">
        <f t="shared" si="89"/>
        <v>56</v>
      </c>
      <c r="BB36" s="203">
        <f t="shared" si="90"/>
        <v>0.1130952380952381</v>
      </c>
      <c r="BC36" s="139"/>
      <c r="BD36" s="139"/>
      <c r="BE36" s="43"/>
    </row>
    <row r="37" spans="19:59" ht="15" customHeight="1" x14ac:dyDescent="0.2">
      <c r="AA37" s="31"/>
      <c r="AB37" s="7"/>
      <c r="AF37" s="14">
        <f>SUM(AF34:AF36)</f>
        <v>509</v>
      </c>
      <c r="AG37" s="14">
        <f>SUM(AG34:AG36)</f>
        <v>504</v>
      </c>
      <c r="AH37" s="14">
        <f t="shared" ref="AH37:AK37" si="91">SUM(AH34:AH36)</f>
        <v>503</v>
      </c>
      <c r="AI37" s="14">
        <f t="shared" si="91"/>
        <v>0</v>
      </c>
      <c r="AJ37" s="14">
        <f t="shared" si="91"/>
        <v>0</v>
      </c>
      <c r="AK37" s="14">
        <f t="shared" si="91"/>
        <v>0</v>
      </c>
      <c r="AL37" s="163"/>
      <c r="AM37" s="14">
        <f>SUM(AM34:AM36)</f>
        <v>54</v>
      </c>
      <c r="AN37" s="14">
        <f>SUM(AN34:AN36)</f>
        <v>2</v>
      </c>
      <c r="AO37" s="165"/>
      <c r="AP37" s="14">
        <f>SUM(AP34:AP36)</f>
        <v>0</v>
      </c>
      <c r="AQ37" s="14">
        <f>SUM(AQ34:AQ36)</f>
        <v>0</v>
      </c>
      <c r="AR37" s="165"/>
      <c r="AS37" s="14">
        <f>SUM(AS34:AS36)</f>
        <v>0</v>
      </c>
      <c r="AT37" s="14">
        <f>SUM(AT34:AT36)</f>
        <v>0</v>
      </c>
      <c r="AU37" s="165"/>
      <c r="AV37" s="14">
        <f>SUM(AV34:AV36)</f>
        <v>0</v>
      </c>
      <c r="AW37" s="14">
        <f>SUM(AW34:AW36)</f>
        <v>0</v>
      </c>
      <c r="AX37" s="165"/>
      <c r="AY37" s="14">
        <f>SUM(AY34:AY36)</f>
        <v>54</v>
      </c>
      <c r="AZ37" s="14">
        <f>SUM(AZ34:AZ36)</f>
        <v>2</v>
      </c>
      <c r="BA37" s="14">
        <f>SUM(AY37:AZ37)</f>
        <v>56</v>
      </c>
      <c r="BB37" s="137">
        <f>(BA37+1)/(AH37+1)</f>
        <v>0.1130952380952381</v>
      </c>
      <c r="BC37" s="136"/>
      <c r="BD37" s="136"/>
    </row>
    <row r="38" spans="19:59" ht="15" customHeight="1" thickBot="1" x14ac:dyDescent="0.25">
      <c r="AA38" s="31"/>
      <c r="AB38" s="13" t="s">
        <v>313</v>
      </c>
      <c r="AC38" s="27"/>
      <c r="AD38" s="35"/>
      <c r="AE38" s="28"/>
      <c r="AF38" s="27"/>
      <c r="AG38" s="27"/>
      <c r="AH38" s="27"/>
      <c r="AI38" s="27"/>
      <c r="AJ38" s="27"/>
      <c r="AK38" s="36"/>
      <c r="AL38" s="9"/>
      <c r="AM38" s="35"/>
      <c r="AN38" s="35"/>
      <c r="AO38" s="7"/>
      <c r="AP38" s="27"/>
      <c r="AQ38" s="27"/>
      <c r="AR38" s="7"/>
      <c r="AS38" s="27"/>
      <c r="AT38" s="27"/>
      <c r="AU38" s="7"/>
      <c r="AV38" s="27"/>
      <c r="AW38" s="27"/>
      <c r="AX38" s="18"/>
      <c r="AY38" s="17"/>
      <c r="AZ38" s="15"/>
      <c r="BA38" s="7"/>
      <c r="BB38" s="7"/>
      <c r="BC38" s="7"/>
      <c r="BD38" s="7"/>
    </row>
    <row r="39" spans="19:59" ht="15" customHeight="1" x14ac:dyDescent="0.2">
      <c r="AA39" s="31"/>
      <c r="AB39" s="205" t="s">
        <v>293</v>
      </c>
      <c r="AC39" s="191"/>
      <c r="AD39" s="191"/>
      <c r="AE39" s="192"/>
      <c r="AF39" s="192"/>
      <c r="AG39" s="193"/>
      <c r="AH39" s="192"/>
      <c r="AI39" s="192"/>
      <c r="AJ39" s="192"/>
      <c r="AK39" s="192"/>
      <c r="AL39" s="194" t="e">
        <f>SUM(AI39:AK39)/AG39</f>
        <v>#DIV/0!</v>
      </c>
      <c r="AM39" s="192"/>
      <c r="AN39" s="192"/>
      <c r="AO39" s="195" t="e">
        <f>SUM(AM39:AN39)/AH39</f>
        <v>#DIV/0!</v>
      </c>
      <c r="AP39" s="192"/>
      <c r="AQ39" s="192"/>
      <c r="AR39" s="195" t="e">
        <f>(AP39+AQ39)/$AH39</f>
        <v>#DIV/0!</v>
      </c>
      <c r="AS39" s="192"/>
      <c r="AT39" s="192"/>
      <c r="AU39" s="195" t="e">
        <f>(AS39+AT39)/$AH39</f>
        <v>#DIV/0!</v>
      </c>
      <c r="AV39" s="192"/>
      <c r="AW39" s="192"/>
      <c r="AX39" s="195" t="e">
        <f>(AV39+AW39)/$AH39</f>
        <v>#DIV/0!</v>
      </c>
      <c r="AY39" s="196">
        <f>SUM(AM39,AP39,AS39,AV39)</f>
        <v>0</v>
      </c>
      <c r="AZ39" s="196">
        <f>SUM(AN39,AQ39,AT39,AW39)</f>
        <v>0</v>
      </c>
      <c r="BA39" s="196">
        <f>SUM(AY39:AZ39)</f>
        <v>0</v>
      </c>
      <c r="BB39" s="195">
        <f>(BA39+1)/(AH39+1)</f>
        <v>1</v>
      </c>
      <c r="BC39" s="138"/>
      <c r="BD39" s="138"/>
    </row>
    <row r="40" spans="19:59" ht="15" customHeight="1" x14ac:dyDescent="0.2">
      <c r="AA40" s="31"/>
      <c r="AB40" s="260" t="s">
        <v>295</v>
      </c>
      <c r="AC40" s="147"/>
      <c r="AD40" s="147"/>
      <c r="AE40" s="197"/>
      <c r="AF40" s="197"/>
      <c r="AG40" s="198"/>
      <c r="AH40" s="197"/>
      <c r="AI40" s="197"/>
      <c r="AJ40" s="197"/>
      <c r="AK40" s="197"/>
      <c r="AL40" s="261" t="e">
        <f t="shared" ref="AL40:AL41" si="92">SUM(AI40:AK40)/AG40</f>
        <v>#DIV/0!</v>
      </c>
      <c r="AM40" s="197"/>
      <c r="AN40" s="197"/>
      <c r="AO40" s="262" t="e">
        <f t="shared" ref="AO40:AO41" si="93">SUM(AM40:AN40)/AH40</f>
        <v>#DIV/0!</v>
      </c>
      <c r="AP40" s="197"/>
      <c r="AQ40" s="197"/>
      <c r="AR40" s="262" t="e">
        <f t="shared" ref="AR40:AR41" si="94">(AP40+AQ40)/$AH40</f>
        <v>#DIV/0!</v>
      </c>
      <c r="AS40" s="197"/>
      <c r="AT40" s="197"/>
      <c r="AU40" s="262" t="e">
        <f t="shared" ref="AU40:AU41" si="95">(AS40+AT40)/$AH40</f>
        <v>#DIV/0!</v>
      </c>
      <c r="AV40" s="197"/>
      <c r="AW40" s="197"/>
      <c r="AX40" s="262" t="e">
        <f t="shared" ref="AX40:AX41" si="96">(AV40+AW40)/$AH40</f>
        <v>#DIV/0!</v>
      </c>
      <c r="AY40" s="263">
        <f t="shared" ref="AY40:AZ41" si="97">SUM(AM40,AP40,AS40,AV40)</f>
        <v>0</v>
      </c>
      <c r="AZ40" s="263">
        <f t="shared" si="97"/>
        <v>0</v>
      </c>
      <c r="BA40" s="263">
        <f t="shared" ref="BA40:BA41" si="98">SUM(AY40:AZ40)</f>
        <v>0</v>
      </c>
      <c r="BB40" s="262">
        <f t="shared" ref="BB40:BB41" si="99">(BA40+1)/(AH40+1)</f>
        <v>1</v>
      </c>
      <c r="BC40" s="264"/>
      <c r="BD40" s="264"/>
    </row>
    <row r="41" spans="19:59" ht="15" customHeight="1" thickBot="1" x14ac:dyDescent="0.25">
      <c r="AA41" s="31"/>
      <c r="AB41" s="206" t="s">
        <v>296</v>
      </c>
      <c r="AC41" s="199">
        <v>46042</v>
      </c>
      <c r="AD41" s="199">
        <v>46043</v>
      </c>
      <c r="AE41" s="200">
        <v>1</v>
      </c>
      <c r="AF41" s="200">
        <v>545</v>
      </c>
      <c r="AG41" s="201">
        <v>541</v>
      </c>
      <c r="AH41" s="200">
        <v>535</v>
      </c>
      <c r="AI41" s="200">
        <v>0</v>
      </c>
      <c r="AJ41" s="200">
        <v>0</v>
      </c>
      <c r="AK41" s="200">
        <v>0</v>
      </c>
      <c r="AL41" s="202">
        <f t="shared" si="92"/>
        <v>0</v>
      </c>
      <c r="AM41" s="200">
        <v>89</v>
      </c>
      <c r="AN41" s="200">
        <v>0</v>
      </c>
      <c r="AO41" s="203">
        <f t="shared" si="93"/>
        <v>0.16635514018691588</v>
      </c>
      <c r="AP41" s="200">
        <v>4</v>
      </c>
      <c r="AQ41" s="200">
        <v>0</v>
      </c>
      <c r="AR41" s="203">
        <f t="shared" si="94"/>
        <v>7.4766355140186919E-3</v>
      </c>
      <c r="AS41" s="200">
        <v>1</v>
      </c>
      <c r="AT41" s="200">
        <v>0</v>
      </c>
      <c r="AU41" s="203">
        <f t="shared" si="95"/>
        <v>1.869158878504673E-3</v>
      </c>
      <c r="AV41" s="200">
        <v>0</v>
      </c>
      <c r="AW41" s="200">
        <v>0</v>
      </c>
      <c r="AX41" s="203">
        <f t="shared" si="96"/>
        <v>0</v>
      </c>
      <c r="AY41" s="204">
        <f t="shared" si="97"/>
        <v>94</v>
      </c>
      <c r="AZ41" s="204">
        <f t="shared" si="97"/>
        <v>0</v>
      </c>
      <c r="BA41" s="204">
        <f t="shared" si="98"/>
        <v>94</v>
      </c>
      <c r="BB41" s="203">
        <f t="shared" si="99"/>
        <v>0.17723880597014927</v>
      </c>
      <c r="BC41" s="139"/>
      <c r="BD41" s="139"/>
      <c r="BE41" s="43"/>
    </row>
    <row r="42" spans="19:59" ht="15" customHeight="1" x14ac:dyDescent="0.2">
      <c r="AA42" s="31"/>
      <c r="AB42" s="7"/>
      <c r="AF42" s="14">
        <f>SUM(AF39:AF41)</f>
        <v>545</v>
      </c>
      <c r="AG42" s="14">
        <f>SUM(AG39:AG41)</f>
        <v>541</v>
      </c>
      <c r="AH42" s="14">
        <f t="shared" ref="AH42:AK42" si="100">SUM(AH39:AH41)</f>
        <v>535</v>
      </c>
      <c r="AI42" s="14">
        <f t="shared" si="100"/>
        <v>0</v>
      </c>
      <c r="AJ42" s="14">
        <f t="shared" si="100"/>
        <v>0</v>
      </c>
      <c r="AK42" s="14">
        <f t="shared" si="100"/>
        <v>0</v>
      </c>
      <c r="AL42" s="163"/>
      <c r="AM42" s="14">
        <f>SUM(AM39:AM41)</f>
        <v>89</v>
      </c>
      <c r="AN42" s="14">
        <f>SUM(AN39:AN41)</f>
        <v>0</v>
      </c>
      <c r="AO42" s="165"/>
      <c r="AP42" s="14">
        <f>SUM(AP39:AP41)</f>
        <v>4</v>
      </c>
      <c r="AQ42" s="14">
        <f>SUM(AQ39:AQ41)</f>
        <v>0</v>
      </c>
      <c r="AR42" s="165"/>
      <c r="AS42" s="14">
        <f>SUM(AS39:AS41)</f>
        <v>1</v>
      </c>
      <c r="AT42" s="14">
        <f>SUM(AT39:AT41)</f>
        <v>0</v>
      </c>
      <c r="AU42" s="165"/>
      <c r="AV42" s="14">
        <f>SUM(AV39:AV41)</f>
        <v>0</v>
      </c>
      <c r="AW42" s="14">
        <f>SUM(AW39:AW41)</f>
        <v>0</v>
      </c>
      <c r="AX42" s="165"/>
      <c r="AY42" s="14">
        <f>SUM(AY39:AY41)</f>
        <v>94</v>
      </c>
      <c r="AZ42" s="14">
        <f>SUM(AZ39:AZ41)</f>
        <v>0</v>
      </c>
      <c r="BA42" s="14">
        <f>SUM(AY42:AZ42)</f>
        <v>94</v>
      </c>
      <c r="BB42" s="137">
        <f>(BA42+1)/(AH42+1)</f>
        <v>0.17723880597014927</v>
      </c>
      <c r="BC42" s="136"/>
      <c r="BD42" s="136"/>
    </row>
    <row r="43" spans="19:59" ht="15" customHeight="1" thickBot="1" x14ac:dyDescent="0.25">
      <c r="AA43" s="31"/>
      <c r="AB43" s="13" t="s">
        <v>314</v>
      </c>
      <c r="AC43" s="27"/>
      <c r="AD43" s="35"/>
      <c r="AE43" s="28"/>
      <c r="AF43" s="27"/>
      <c r="AG43" s="27"/>
      <c r="AH43" s="27"/>
      <c r="AI43" s="27"/>
      <c r="AJ43" s="27"/>
      <c r="AK43" s="36"/>
      <c r="AL43" s="9"/>
      <c r="AM43" s="35"/>
      <c r="AN43" s="35"/>
      <c r="AO43" s="7"/>
      <c r="AP43" s="27"/>
      <c r="AQ43" s="27"/>
      <c r="AR43" s="7"/>
      <c r="AS43" s="27"/>
      <c r="AT43" s="27"/>
      <c r="AU43" s="7"/>
      <c r="AV43" s="27"/>
      <c r="AW43" s="27"/>
      <c r="AX43" s="18"/>
      <c r="AY43" s="17"/>
      <c r="AZ43" s="15"/>
      <c r="BA43" s="7"/>
      <c r="BB43" s="7"/>
      <c r="BC43" s="7"/>
      <c r="BD43" s="7"/>
    </row>
    <row r="44" spans="19:59" ht="15" customHeight="1" x14ac:dyDescent="0.2">
      <c r="AA44" s="31"/>
      <c r="AB44" s="205" t="s">
        <v>293</v>
      </c>
      <c r="AC44" s="191"/>
      <c r="AD44" s="191"/>
      <c r="AE44" s="192"/>
      <c r="AF44" s="192"/>
      <c r="AG44" s="193"/>
      <c r="AH44" s="192"/>
      <c r="AI44" s="192"/>
      <c r="AJ44" s="192"/>
      <c r="AK44" s="192"/>
      <c r="AL44" s="194" t="e">
        <f>SUM(AI44:AK44)/AG44</f>
        <v>#DIV/0!</v>
      </c>
      <c r="AM44" s="192"/>
      <c r="AN44" s="192"/>
      <c r="AO44" s="195" t="e">
        <f>SUM(AM44:AN44)/AH44</f>
        <v>#DIV/0!</v>
      </c>
      <c r="AP44" s="192"/>
      <c r="AQ44" s="192"/>
      <c r="AR44" s="195" t="e">
        <f>(AP44+AQ44)/$AH44</f>
        <v>#DIV/0!</v>
      </c>
      <c r="AS44" s="192"/>
      <c r="AT44" s="192"/>
      <c r="AU44" s="195" t="e">
        <f>(AS44+AT44)/$AH44</f>
        <v>#DIV/0!</v>
      </c>
      <c r="AV44" s="192"/>
      <c r="AW44" s="192"/>
      <c r="AX44" s="195" t="e">
        <f>(AV44+AW44)/$AH44</f>
        <v>#DIV/0!</v>
      </c>
      <c r="AY44" s="196">
        <f>SUM(AM44,AP44,AS44,AV44)</f>
        <v>0</v>
      </c>
      <c r="AZ44" s="196">
        <f>SUM(AN44,AQ44,AT44,AW44)</f>
        <v>0</v>
      </c>
      <c r="BA44" s="196">
        <f>SUM(AY44:AZ44)</f>
        <v>0</v>
      </c>
      <c r="BB44" s="195">
        <f>(BA44+1)/(AH44+1)</f>
        <v>1</v>
      </c>
      <c r="BC44" s="138"/>
      <c r="BD44" s="138"/>
    </row>
    <row r="45" spans="19:59" ht="15" customHeight="1" x14ac:dyDescent="0.2">
      <c r="AA45" s="31"/>
      <c r="AB45" s="260" t="s">
        <v>295</v>
      </c>
      <c r="AC45" s="147"/>
      <c r="AD45" s="147"/>
      <c r="AE45" s="197"/>
      <c r="AF45" s="197"/>
      <c r="AG45" s="198"/>
      <c r="AH45" s="197"/>
      <c r="AI45" s="197"/>
      <c r="AJ45" s="197"/>
      <c r="AK45" s="197"/>
      <c r="AL45" s="261" t="e">
        <f t="shared" ref="AL45:AL46" si="101">SUM(AI45:AK45)/AG45</f>
        <v>#DIV/0!</v>
      </c>
      <c r="AM45" s="197"/>
      <c r="AN45" s="197"/>
      <c r="AO45" s="262" t="e">
        <f t="shared" ref="AO45:AO46" si="102">SUM(AM45:AN45)/AH45</f>
        <v>#DIV/0!</v>
      </c>
      <c r="AP45" s="197"/>
      <c r="AQ45" s="197"/>
      <c r="AR45" s="262" t="e">
        <f t="shared" ref="AR45:AR46" si="103">(AP45+AQ45)/$AH45</f>
        <v>#DIV/0!</v>
      </c>
      <c r="AS45" s="197"/>
      <c r="AT45" s="197"/>
      <c r="AU45" s="262" t="e">
        <f t="shared" ref="AU45:AU46" si="104">(AS45+AT45)/$AH45</f>
        <v>#DIV/0!</v>
      </c>
      <c r="AV45" s="197"/>
      <c r="AW45" s="197"/>
      <c r="AX45" s="262" t="e">
        <f t="shared" ref="AX45:AX46" si="105">(AV45+AW45)/$AH45</f>
        <v>#DIV/0!</v>
      </c>
      <c r="AY45" s="263">
        <f t="shared" ref="AY45:AZ46" si="106">SUM(AM45,AP45,AS45,AV45)</f>
        <v>0</v>
      </c>
      <c r="AZ45" s="263">
        <f t="shared" si="106"/>
        <v>0</v>
      </c>
      <c r="BA45" s="263">
        <f t="shared" ref="BA45:BA46" si="107">SUM(AY45:AZ45)</f>
        <v>0</v>
      </c>
      <c r="BB45" s="262">
        <f t="shared" ref="BB45:BB46" si="108">(BA45+1)/(AH45+1)</f>
        <v>1</v>
      </c>
      <c r="BC45" s="264"/>
      <c r="BD45" s="264"/>
    </row>
    <row r="46" spans="19:59" ht="15" customHeight="1" thickBot="1" x14ac:dyDescent="0.25">
      <c r="AB46" s="206" t="s">
        <v>296</v>
      </c>
      <c r="AC46" s="199">
        <v>46045</v>
      </c>
      <c r="AD46" s="199">
        <v>46046</v>
      </c>
      <c r="AE46" s="200">
        <v>1</v>
      </c>
      <c r="AF46" s="200">
        <v>1028</v>
      </c>
      <c r="AG46" s="201">
        <v>510</v>
      </c>
      <c r="AH46" s="200">
        <v>508</v>
      </c>
      <c r="AI46" s="200">
        <v>0</v>
      </c>
      <c r="AJ46" s="200">
        <v>3</v>
      </c>
      <c r="AK46" s="200">
        <v>2</v>
      </c>
      <c r="AL46" s="202">
        <f t="shared" si="101"/>
        <v>9.8039215686274508E-3</v>
      </c>
      <c r="AM46" s="200">
        <v>76</v>
      </c>
      <c r="AN46" s="200">
        <v>1</v>
      </c>
      <c r="AO46" s="203">
        <f t="shared" si="102"/>
        <v>0.15157480314960631</v>
      </c>
      <c r="AP46" s="200">
        <v>15</v>
      </c>
      <c r="AQ46" s="200">
        <v>0</v>
      </c>
      <c r="AR46" s="203">
        <f t="shared" si="103"/>
        <v>2.952755905511811E-2</v>
      </c>
      <c r="AS46" s="200">
        <v>2</v>
      </c>
      <c r="AT46" s="200">
        <v>0</v>
      </c>
      <c r="AU46" s="203">
        <f t="shared" si="104"/>
        <v>3.937007874015748E-3</v>
      </c>
      <c r="AV46" s="200">
        <v>0</v>
      </c>
      <c r="AW46" s="200">
        <v>0</v>
      </c>
      <c r="AX46" s="203">
        <f t="shared" si="105"/>
        <v>0</v>
      </c>
      <c r="AY46" s="204">
        <f t="shared" si="106"/>
        <v>93</v>
      </c>
      <c r="AZ46" s="204">
        <f t="shared" si="106"/>
        <v>1</v>
      </c>
      <c r="BA46" s="204">
        <f t="shared" si="107"/>
        <v>94</v>
      </c>
      <c r="BB46" s="203">
        <f t="shared" si="108"/>
        <v>0.18664047151277013</v>
      </c>
      <c r="BC46" s="139"/>
      <c r="BD46" s="139"/>
      <c r="BE46" s="43"/>
    </row>
    <row r="47" spans="19:59" ht="12.75" x14ac:dyDescent="0.2">
      <c r="S47" s="31"/>
      <c r="AB47" s="7"/>
      <c r="AF47" s="14">
        <f>SUM(AF44:AF46)</f>
        <v>1028</v>
      </c>
      <c r="AG47" s="14">
        <f>SUM(AG44:AG46)</f>
        <v>510</v>
      </c>
      <c r="AH47" s="14">
        <f t="shared" ref="AH47:AK47" si="109">SUM(AH44:AH46)</f>
        <v>508</v>
      </c>
      <c r="AI47" s="14">
        <f t="shared" si="109"/>
        <v>0</v>
      </c>
      <c r="AJ47" s="14">
        <f t="shared" si="109"/>
        <v>3</v>
      </c>
      <c r="AK47" s="14">
        <f t="shared" si="109"/>
        <v>2</v>
      </c>
      <c r="AL47" s="163"/>
      <c r="AM47" s="14">
        <f>SUM(AM44:AM46)</f>
        <v>76</v>
      </c>
      <c r="AN47" s="14">
        <f>SUM(AN44:AN46)</f>
        <v>1</v>
      </c>
      <c r="AO47" s="165"/>
      <c r="AP47" s="14">
        <f>SUM(AP44:AP46)</f>
        <v>15</v>
      </c>
      <c r="AQ47" s="14">
        <f>SUM(AQ44:AQ46)</f>
        <v>0</v>
      </c>
      <c r="AR47" s="165"/>
      <c r="AS47" s="14">
        <f>SUM(AS44:AS46)</f>
        <v>2</v>
      </c>
      <c r="AT47" s="14">
        <f>SUM(AT44:AT46)</f>
        <v>0</v>
      </c>
      <c r="AU47" s="165"/>
      <c r="AV47" s="14">
        <f>SUM(AV44:AV46)</f>
        <v>0</v>
      </c>
      <c r="AW47" s="14">
        <f>SUM(AW44:AW46)</f>
        <v>0</v>
      </c>
      <c r="AX47" s="165"/>
      <c r="AY47" s="14">
        <f>SUM(AY44:AY46)</f>
        <v>93</v>
      </c>
      <c r="AZ47" s="14">
        <f>SUM(AZ44:AZ46)</f>
        <v>1</v>
      </c>
      <c r="BA47" s="14">
        <f>SUM(AY47:AZ47)</f>
        <v>94</v>
      </c>
      <c r="BB47" s="137">
        <f>(BA47+1)/(AH47+1)</f>
        <v>0.18664047151277013</v>
      </c>
      <c r="BC47" s="136"/>
      <c r="BD47" s="136"/>
      <c r="BG47" s="29"/>
    </row>
    <row r="48" spans="19:59" ht="15" customHeight="1" thickBot="1" x14ac:dyDescent="0.25">
      <c r="S48" s="31"/>
      <c r="AB48" s="13" t="s">
        <v>315</v>
      </c>
      <c r="AC48" s="27"/>
      <c r="AD48" s="35"/>
      <c r="AE48" s="28"/>
      <c r="AF48" s="27"/>
      <c r="AG48" s="27"/>
      <c r="AH48" s="27"/>
      <c r="AI48" s="27"/>
      <c r="AJ48" s="27"/>
      <c r="AK48" s="36"/>
      <c r="AL48" s="9"/>
      <c r="AM48" s="35"/>
      <c r="AN48" s="35"/>
      <c r="AO48" s="7"/>
      <c r="AP48" s="27"/>
      <c r="AQ48" s="27"/>
      <c r="AR48" s="7"/>
      <c r="AS48" s="27"/>
      <c r="AT48" s="27"/>
      <c r="AU48" s="7"/>
      <c r="AV48" s="27"/>
      <c r="AW48" s="27"/>
      <c r="AX48" s="18"/>
      <c r="AY48" s="17"/>
      <c r="AZ48" s="15"/>
      <c r="BA48" s="7"/>
      <c r="BB48" s="7"/>
      <c r="BC48" s="7"/>
      <c r="BD48" s="7"/>
      <c r="BG48" s="29"/>
    </row>
    <row r="49" spans="6:60" ht="15" customHeight="1" x14ac:dyDescent="0.2">
      <c r="S49" s="31"/>
      <c r="AB49" s="205" t="s">
        <v>293</v>
      </c>
      <c r="AC49" s="191"/>
      <c r="AD49" s="191"/>
      <c r="AE49" s="192"/>
      <c r="AF49" s="192"/>
      <c r="AG49" s="193"/>
      <c r="AH49" s="192"/>
      <c r="AI49" s="192"/>
      <c r="AJ49" s="192"/>
      <c r="AK49" s="192"/>
      <c r="AL49" s="194" t="e">
        <f>SUM(AI49:AK49)/AG49</f>
        <v>#DIV/0!</v>
      </c>
      <c r="AM49" s="192"/>
      <c r="AN49" s="192"/>
      <c r="AO49" s="195" t="e">
        <f>SUM(AM49:AN49)/AH49</f>
        <v>#DIV/0!</v>
      </c>
      <c r="AP49" s="192"/>
      <c r="AQ49" s="192"/>
      <c r="AR49" s="195" t="e">
        <f>(AP49+AQ49)/$AH49</f>
        <v>#DIV/0!</v>
      </c>
      <c r="AS49" s="192"/>
      <c r="AT49" s="192"/>
      <c r="AU49" s="195" t="e">
        <f>(AS49+AT49)/$AH49</f>
        <v>#DIV/0!</v>
      </c>
      <c r="AV49" s="192"/>
      <c r="AW49" s="192"/>
      <c r="AX49" s="195" t="e">
        <f>(AV49+AW49)/$AH49</f>
        <v>#DIV/0!</v>
      </c>
      <c r="AY49" s="196">
        <f>SUM(AM49,AP49,AS49,AV49)</f>
        <v>0</v>
      </c>
      <c r="AZ49" s="196">
        <f>SUM(AN49,AQ49,AT49,AW49)</f>
        <v>0</v>
      </c>
      <c r="BA49" s="196">
        <f>SUM(AY49:AZ49)</f>
        <v>0</v>
      </c>
      <c r="BB49" s="195">
        <f>(BA49+1)/(AH49+1)</f>
        <v>1</v>
      </c>
      <c r="BC49" s="138"/>
      <c r="BD49" s="138"/>
      <c r="BG49" s="29"/>
    </row>
    <row r="50" spans="6:60" ht="15" customHeight="1" x14ac:dyDescent="0.2">
      <c r="S50" s="31"/>
      <c r="AA50" s="31"/>
      <c r="AB50" s="260" t="s">
        <v>295</v>
      </c>
      <c r="AC50" s="147"/>
      <c r="AD50" s="147"/>
      <c r="AE50" s="197"/>
      <c r="AF50" s="197"/>
      <c r="AG50" s="198"/>
      <c r="AH50" s="197"/>
      <c r="AI50" s="197"/>
      <c r="AJ50" s="197"/>
      <c r="AK50" s="197"/>
      <c r="AL50" s="261" t="e">
        <f t="shared" ref="AL50:AL51" si="110">SUM(AI50:AK50)/AG50</f>
        <v>#DIV/0!</v>
      </c>
      <c r="AM50" s="197"/>
      <c r="AN50" s="197"/>
      <c r="AO50" s="262" t="e">
        <f t="shared" ref="AO50:AO51" si="111">SUM(AM50:AN50)/AH50</f>
        <v>#DIV/0!</v>
      </c>
      <c r="AP50" s="197"/>
      <c r="AQ50" s="197"/>
      <c r="AR50" s="262" t="e">
        <f t="shared" ref="AR50:AR51" si="112">(AP50+AQ50)/$AH50</f>
        <v>#DIV/0!</v>
      </c>
      <c r="AS50" s="197"/>
      <c r="AT50" s="197"/>
      <c r="AU50" s="262" t="e">
        <f t="shared" ref="AU50:AU51" si="113">(AS50+AT50)/$AH50</f>
        <v>#DIV/0!</v>
      </c>
      <c r="AV50" s="197"/>
      <c r="AW50" s="197"/>
      <c r="AX50" s="262" t="e">
        <f t="shared" ref="AX50:AX51" si="114">(AV50+AW50)/$AH50</f>
        <v>#DIV/0!</v>
      </c>
      <c r="AY50" s="263">
        <f t="shared" ref="AY50:AZ51" si="115">SUM(AM50,AP50,AS50,AV50)</f>
        <v>0</v>
      </c>
      <c r="AZ50" s="263">
        <f t="shared" si="115"/>
        <v>0</v>
      </c>
      <c r="BA50" s="263">
        <f t="shared" ref="BA50:BA51" si="116">SUM(AY50:AZ50)</f>
        <v>0</v>
      </c>
      <c r="BB50" s="262">
        <f t="shared" ref="BB50:BB51" si="117">(BA50+1)/(AH50+1)</f>
        <v>1</v>
      </c>
      <c r="BC50" s="264"/>
      <c r="BD50" s="264"/>
      <c r="BE50" s="43"/>
      <c r="BG50" s="29"/>
    </row>
    <row r="51" spans="6:60" ht="15" customHeight="1" thickBot="1" x14ac:dyDescent="0.25">
      <c r="S51" s="31"/>
      <c r="AB51" s="206" t="s">
        <v>296</v>
      </c>
      <c r="AC51" s="199">
        <v>46052</v>
      </c>
      <c r="AD51" s="199">
        <v>46053</v>
      </c>
      <c r="AE51" s="200">
        <v>1</v>
      </c>
      <c r="AF51" s="200">
        <v>477</v>
      </c>
      <c r="AG51" s="201">
        <v>477</v>
      </c>
      <c r="AH51" s="200">
        <v>476</v>
      </c>
      <c r="AI51" s="200">
        <v>0</v>
      </c>
      <c r="AJ51" s="200">
        <v>1</v>
      </c>
      <c r="AK51" s="200"/>
      <c r="AL51" s="202">
        <f t="shared" si="110"/>
        <v>2.0964360587002098E-3</v>
      </c>
      <c r="AM51" s="200">
        <v>96</v>
      </c>
      <c r="AN51" s="200">
        <v>1</v>
      </c>
      <c r="AO51" s="203">
        <f t="shared" si="111"/>
        <v>0.20378151260504201</v>
      </c>
      <c r="AP51" s="200">
        <v>5</v>
      </c>
      <c r="AQ51" s="200">
        <v>0</v>
      </c>
      <c r="AR51" s="203">
        <f t="shared" si="112"/>
        <v>1.050420168067227E-2</v>
      </c>
      <c r="AS51" s="200">
        <v>0</v>
      </c>
      <c r="AT51" s="200">
        <v>0</v>
      </c>
      <c r="AU51" s="203">
        <f t="shared" si="113"/>
        <v>0</v>
      </c>
      <c r="AV51" s="200">
        <v>1</v>
      </c>
      <c r="AW51" s="200">
        <v>0</v>
      </c>
      <c r="AX51" s="203">
        <f t="shared" si="114"/>
        <v>2.1008403361344537E-3</v>
      </c>
      <c r="AY51" s="204">
        <f t="shared" si="115"/>
        <v>102</v>
      </c>
      <c r="AZ51" s="204">
        <f t="shared" si="115"/>
        <v>1</v>
      </c>
      <c r="BA51" s="204">
        <f t="shared" si="116"/>
        <v>103</v>
      </c>
      <c r="BB51" s="203">
        <f t="shared" si="117"/>
        <v>0.2180293501048218</v>
      </c>
      <c r="BC51" s="139"/>
      <c r="BD51" s="139"/>
      <c r="BG51" s="29"/>
    </row>
    <row r="52" spans="6:60" ht="15" customHeight="1" x14ac:dyDescent="0.2">
      <c r="S52" s="31"/>
      <c r="AB52" s="7"/>
      <c r="AF52" s="14">
        <f>SUM(AF49:AF51)</f>
        <v>477</v>
      </c>
      <c r="AG52" s="14">
        <f>SUM(AG49:AG51)</f>
        <v>477</v>
      </c>
      <c r="AH52" s="14">
        <f t="shared" ref="AH52:AK52" si="118">SUM(AH49:AH51)</f>
        <v>476</v>
      </c>
      <c r="AI52" s="14">
        <f t="shared" si="118"/>
        <v>0</v>
      </c>
      <c r="AJ52" s="14">
        <f t="shared" si="118"/>
        <v>1</v>
      </c>
      <c r="AK52" s="14">
        <f t="shared" si="118"/>
        <v>0</v>
      </c>
      <c r="AL52" s="163"/>
      <c r="AM52" s="14">
        <f>SUM(AM49:AM51)</f>
        <v>96</v>
      </c>
      <c r="AN52" s="14">
        <f>SUM(AN49:AN51)</f>
        <v>1</v>
      </c>
      <c r="AO52" s="165"/>
      <c r="AP52" s="14">
        <f>SUM(AP49:AP51)</f>
        <v>5</v>
      </c>
      <c r="AQ52" s="14">
        <f>SUM(AQ49:AQ51)</f>
        <v>0</v>
      </c>
      <c r="AR52" s="165"/>
      <c r="AS52" s="14">
        <f>SUM(AS49:AS51)</f>
        <v>0</v>
      </c>
      <c r="AT52" s="14">
        <f>SUM(AT49:AT51)</f>
        <v>0</v>
      </c>
      <c r="AU52" s="165"/>
      <c r="AV52" s="14">
        <f>SUM(AV49:AV51)</f>
        <v>1</v>
      </c>
      <c r="AW52" s="14">
        <f>SUM(AW49:AW51)</f>
        <v>0</v>
      </c>
      <c r="AX52" s="165"/>
      <c r="AY52" s="14">
        <f>SUM(AY49:AY51)</f>
        <v>102</v>
      </c>
      <c r="AZ52" s="14">
        <f>SUM(AZ49:AZ51)</f>
        <v>1</v>
      </c>
      <c r="BA52" s="14">
        <f>SUM(AY52:AZ52)</f>
        <v>103</v>
      </c>
      <c r="BB52" s="137">
        <f>(BA52+1)/(AH52+1)</f>
        <v>0.2180293501048218</v>
      </c>
      <c r="BC52" s="136"/>
      <c r="BD52" s="136"/>
      <c r="BG52" s="29"/>
    </row>
    <row r="53" spans="6:60" ht="15" customHeight="1" thickBot="1" x14ac:dyDescent="0.25">
      <c r="S53" s="31"/>
      <c r="AB53" s="13" t="s">
        <v>316</v>
      </c>
      <c r="AC53" s="27"/>
      <c r="AD53" s="35"/>
      <c r="AE53" s="28"/>
      <c r="AF53" s="27"/>
      <c r="AG53" s="27"/>
      <c r="AH53" s="27"/>
      <c r="AI53" s="27"/>
      <c r="AJ53" s="27"/>
      <c r="AK53" s="36"/>
      <c r="AL53" s="9"/>
      <c r="AM53" s="35"/>
      <c r="AN53" s="35"/>
      <c r="AO53" s="7"/>
      <c r="AP53" s="27"/>
      <c r="AQ53" s="27"/>
      <c r="AR53" s="7"/>
      <c r="AS53" s="27"/>
      <c r="AT53" s="27"/>
      <c r="AU53" s="7"/>
      <c r="AV53" s="27"/>
      <c r="AW53" s="27"/>
      <c r="AX53" s="18"/>
      <c r="AY53" s="17"/>
      <c r="AZ53" s="15"/>
      <c r="BA53" s="7"/>
      <c r="BB53" s="7"/>
      <c r="BC53" s="7"/>
      <c r="BD53" s="7"/>
      <c r="BF53" s="29"/>
    </row>
    <row r="54" spans="6:60" ht="15" customHeight="1" x14ac:dyDescent="0.2">
      <c r="S54" s="31"/>
      <c r="AB54" s="205" t="s">
        <v>293</v>
      </c>
      <c r="AC54" s="191"/>
      <c r="AD54" s="191"/>
      <c r="AE54" s="192"/>
      <c r="AF54" s="192"/>
      <c r="AG54" s="193"/>
      <c r="AH54" s="192"/>
      <c r="AI54" s="192"/>
      <c r="AJ54" s="192"/>
      <c r="AK54" s="192"/>
      <c r="AL54" s="194" t="e">
        <f>SUM(AI54:AK54)/AG54</f>
        <v>#DIV/0!</v>
      </c>
      <c r="AM54" s="192"/>
      <c r="AN54" s="192"/>
      <c r="AO54" s="195" t="e">
        <f>SUM(AM54:AN54)/AH54</f>
        <v>#DIV/0!</v>
      </c>
      <c r="AP54" s="192"/>
      <c r="AQ54" s="192"/>
      <c r="AR54" s="195" t="e">
        <f>(AP54+AQ54)/$AH54</f>
        <v>#DIV/0!</v>
      </c>
      <c r="AS54" s="192"/>
      <c r="AT54" s="192"/>
      <c r="AU54" s="195" t="e">
        <f>(AS54+AT54)/$AH54</f>
        <v>#DIV/0!</v>
      </c>
      <c r="AV54" s="192"/>
      <c r="AW54" s="192"/>
      <c r="AX54" s="195" t="e">
        <f>(AV54+AW54)/$AH54</f>
        <v>#DIV/0!</v>
      </c>
      <c r="AY54" s="196">
        <f>SUM(AM54,AP54,AS54,AV54)</f>
        <v>0</v>
      </c>
      <c r="AZ54" s="196">
        <f>SUM(AN54,AQ54,AT54,AW54)</f>
        <v>0</v>
      </c>
      <c r="BA54" s="196">
        <f>SUM(AY54:AZ54)</f>
        <v>0</v>
      </c>
      <c r="BB54" s="195">
        <f>(BA54+1)/(AH54+1)</f>
        <v>1</v>
      </c>
      <c r="BC54" s="138"/>
      <c r="BD54" s="138"/>
      <c r="BH54" s="29"/>
    </row>
    <row r="55" spans="6:60" ht="15" customHeight="1" x14ac:dyDescent="0.2">
      <c r="F55" s="159"/>
      <c r="G55" s="160"/>
      <c r="H55" s="160"/>
      <c r="I55" s="160"/>
      <c r="J55" s="159"/>
      <c r="K55" s="159"/>
      <c r="L55" s="159"/>
      <c r="S55" s="31"/>
      <c r="AA55" s="31"/>
      <c r="AB55" s="260" t="s">
        <v>295</v>
      </c>
      <c r="AC55" s="147"/>
      <c r="AD55" s="147"/>
      <c r="AE55" s="197"/>
      <c r="AF55" s="197"/>
      <c r="AG55" s="198"/>
      <c r="AH55" s="197"/>
      <c r="AI55" s="197"/>
      <c r="AJ55" s="197"/>
      <c r="AK55" s="197"/>
      <c r="AL55" s="261" t="e">
        <f t="shared" ref="AL55:AL56" si="119">SUM(AI55:AK55)/AG55</f>
        <v>#DIV/0!</v>
      </c>
      <c r="AM55" s="197"/>
      <c r="AN55" s="197"/>
      <c r="AO55" s="262" t="e">
        <f t="shared" ref="AO55:AO56" si="120">SUM(AM55:AN55)/AH55</f>
        <v>#DIV/0!</v>
      </c>
      <c r="AP55" s="197"/>
      <c r="AQ55" s="197"/>
      <c r="AR55" s="262" t="e">
        <f t="shared" ref="AR55:AR56" si="121">(AP55+AQ55)/$AH55</f>
        <v>#DIV/0!</v>
      </c>
      <c r="AS55" s="197"/>
      <c r="AT55" s="197"/>
      <c r="AU55" s="262" t="e">
        <f t="shared" ref="AU55:AU56" si="122">(AS55+AT55)/$AH55</f>
        <v>#DIV/0!</v>
      </c>
      <c r="AV55" s="197"/>
      <c r="AW55" s="197"/>
      <c r="AX55" s="262" t="e">
        <f t="shared" ref="AX55:AX56" si="123">(AV55+AW55)/$AH55</f>
        <v>#DIV/0!</v>
      </c>
      <c r="AY55" s="263">
        <f t="shared" ref="AY55:AZ56" si="124">SUM(AM55,AP55,AS55,AV55)</f>
        <v>0</v>
      </c>
      <c r="AZ55" s="263">
        <f t="shared" si="124"/>
        <v>0</v>
      </c>
      <c r="BA55" s="263">
        <f t="shared" ref="BA55:BA56" si="125">SUM(AY55:AZ55)</f>
        <v>0</v>
      </c>
      <c r="BB55" s="262">
        <f t="shared" ref="BB55:BB56" si="126">(BA55+1)/(AH55+1)</f>
        <v>1</v>
      </c>
      <c r="BC55" s="264"/>
      <c r="BD55" s="264"/>
      <c r="BE55" s="43"/>
      <c r="BH55" s="29"/>
    </row>
    <row r="56" spans="6:60" ht="15" customHeight="1" thickBot="1" x14ac:dyDescent="0.25">
      <c r="F56" s="159"/>
      <c r="G56" s="160"/>
      <c r="H56" s="160"/>
      <c r="I56" s="160"/>
      <c r="J56" s="159"/>
      <c r="K56" s="159"/>
      <c r="L56" s="159"/>
      <c r="S56" s="31"/>
      <c r="AB56" s="206" t="s">
        <v>296</v>
      </c>
      <c r="AC56" s="199">
        <v>46056</v>
      </c>
      <c r="AD56" s="199">
        <v>46057</v>
      </c>
      <c r="AE56" s="200">
        <v>1</v>
      </c>
      <c r="AF56" s="200">
        <v>500</v>
      </c>
      <c r="AG56" s="201">
        <v>499</v>
      </c>
      <c r="AH56" s="200">
        <v>497</v>
      </c>
      <c r="AI56" s="200">
        <v>1</v>
      </c>
      <c r="AJ56" s="200">
        <v>0</v>
      </c>
      <c r="AK56" s="200">
        <v>2</v>
      </c>
      <c r="AL56" s="202">
        <f t="shared" si="119"/>
        <v>6.0120240480961923E-3</v>
      </c>
      <c r="AM56" s="200">
        <v>106</v>
      </c>
      <c r="AN56" s="200">
        <v>0</v>
      </c>
      <c r="AO56" s="203">
        <f t="shared" si="120"/>
        <v>0.21327967806841047</v>
      </c>
      <c r="AP56" s="200">
        <v>2</v>
      </c>
      <c r="AQ56" s="200">
        <v>0</v>
      </c>
      <c r="AR56" s="203">
        <f t="shared" si="121"/>
        <v>4.0241448692152921E-3</v>
      </c>
      <c r="AS56" s="200">
        <v>0</v>
      </c>
      <c r="AT56" s="200">
        <v>0</v>
      </c>
      <c r="AU56" s="203">
        <f t="shared" si="122"/>
        <v>0</v>
      </c>
      <c r="AV56" s="200">
        <v>0</v>
      </c>
      <c r="AW56" s="200">
        <v>0</v>
      </c>
      <c r="AX56" s="203">
        <f t="shared" si="123"/>
        <v>0</v>
      </c>
      <c r="AY56" s="204">
        <f t="shared" si="124"/>
        <v>108</v>
      </c>
      <c r="AZ56" s="204">
        <f t="shared" si="124"/>
        <v>0</v>
      </c>
      <c r="BA56" s="204">
        <f t="shared" si="125"/>
        <v>108</v>
      </c>
      <c r="BB56" s="203">
        <f t="shared" si="126"/>
        <v>0.21887550200803213</v>
      </c>
      <c r="BC56" s="139"/>
      <c r="BD56" s="139"/>
      <c r="BH56" s="29"/>
    </row>
    <row r="57" spans="6:60" ht="15" customHeight="1" x14ac:dyDescent="0.2">
      <c r="F57" s="159"/>
      <c r="G57" s="160"/>
      <c r="H57" s="160"/>
      <c r="I57" s="160"/>
      <c r="J57" s="159"/>
      <c r="K57" s="159"/>
      <c r="L57" s="159"/>
      <c r="S57" s="31"/>
      <c r="AB57" s="7"/>
      <c r="AF57" s="14">
        <f>SUM(AF54:AF56)</f>
        <v>500</v>
      </c>
      <c r="AG57" s="14">
        <f>SUM(AG54:AG56)</f>
        <v>499</v>
      </c>
      <c r="AH57" s="14">
        <f t="shared" ref="AH57:AK57" si="127">SUM(AH54:AH56)</f>
        <v>497</v>
      </c>
      <c r="AI57" s="14">
        <f t="shared" si="127"/>
        <v>1</v>
      </c>
      <c r="AJ57" s="14">
        <f t="shared" si="127"/>
        <v>0</v>
      </c>
      <c r="AK57" s="14">
        <f t="shared" si="127"/>
        <v>2</v>
      </c>
      <c r="AL57" s="163"/>
      <c r="AM57" s="14">
        <f>SUM(AM54:AM56)</f>
        <v>106</v>
      </c>
      <c r="AN57" s="14">
        <f>SUM(AN54:AN56)</f>
        <v>0</v>
      </c>
      <c r="AO57" s="165"/>
      <c r="AP57" s="14">
        <f>SUM(AP54:AP56)</f>
        <v>2</v>
      </c>
      <c r="AQ57" s="14">
        <f>SUM(AQ54:AQ56)</f>
        <v>0</v>
      </c>
      <c r="AR57" s="165"/>
      <c r="AS57" s="14">
        <f>SUM(AS54:AS56)</f>
        <v>0</v>
      </c>
      <c r="AT57" s="14">
        <f>SUM(AT54:AT56)</f>
        <v>0</v>
      </c>
      <c r="AU57" s="165"/>
      <c r="AV57" s="14">
        <f>SUM(AV54:AV56)</f>
        <v>0</v>
      </c>
      <c r="AW57" s="14">
        <f>SUM(AW54:AW56)</f>
        <v>0</v>
      </c>
      <c r="AX57" s="165"/>
      <c r="AY57" s="14">
        <f>SUM(AY54:AY56)</f>
        <v>108</v>
      </c>
      <c r="AZ57" s="14">
        <f>SUM(AZ54:AZ56)</f>
        <v>0</v>
      </c>
      <c r="BA57" s="14">
        <f>SUM(AY57:AZ57)</f>
        <v>108</v>
      </c>
      <c r="BB57" s="137">
        <f>(BA57+1)/(AH57+1)</f>
        <v>0.21887550200803213</v>
      </c>
      <c r="BC57" s="136"/>
      <c r="BD57" s="136"/>
      <c r="BH57" s="29"/>
    </row>
    <row r="58" spans="6:60" ht="15" customHeight="1" thickBot="1" x14ac:dyDescent="0.25">
      <c r="F58" s="159"/>
      <c r="G58" s="160"/>
      <c r="H58" s="160"/>
      <c r="I58" s="160"/>
      <c r="J58" s="159"/>
      <c r="K58" s="159"/>
      <c r="L58" s="159"/>
      <c r="AB58" s="13" t="s">
        <v>317</v>
      </c>
      <c r="AC58" s="27"/>
      <c r="AD58" s="35"/>
      <c r="AE58" s="28"/>
      <c r="AF58" s="27"/>
      <c r="AG58" s="27"/>
      <c r="AH58" s="27"/>
      <c r="AI58" s="27"/>
      <c r="AJ58" s="27"/>
      <c r="AK58" s="36"/>
      <c r="AL58" s="9"/>
      <c r="AM58" s="35"/>
      <c r="AN58" s="35"/>
      <c r="AO58" s="7"/>
      <c r="AP58" s="27"/>
      <c r="AQ58" s="27"/>
      <c r="AR58" s="7"/>
      <c r="AS58" s="27"/>
      <c r="AT58" s="27"/>
      <c r="AU58" s="7"/>
      <c r="AV58" s="27"/>
      <c r="AW58" s="27"/>
      <c r="AX58" s="18"/>
      <c r="AY58" s="17"/>
      <c r="AZ58" s="15"/>
      <c r="BA58" s="7"/>
      <c r="BB58" s="7"/>
      <c r="BC58" s="7"/>
      <c r="BD58" s="7"/>
      <c r="BH58" s="29"/>
    </row>
    <row r="59" spans="6:60" ht="15" customHeight="1" x14ac:dyDescent="0.2">
      <c r="F59" s="159"/>
      <c r="G59" s="160"/>
      <c r="H59" s="160"/>
      <c r="I59" s="160"/>
      <c r="J59" s="159"/>
      <c r="K59" s="159"/>
      <c r="L59" s="159"/>
      <c r="AB59" s="205" t="s">
        <v>293</v>
      </c>
      <c r="AC59" s="191"/>
      <c r="AD59" s="191"/>
      <c r="AE59" s="192"/>
      <c r="AF59" s="192"/>
      <c r="AG59" s="193"/>
      <c r="AH59" s="192"/>
      <c r="AI59" s="192"/>
      <c r="AJ59" s="192"/>
      <c r="AK59" s="192"/>
      <c r="AL59" s="194" t="e">
        <f>SUM(AI59:AK59)/AG59</f>
        <v>#DIV/0!</v>
      </c>
      <c r="AM59" s="192"/>
      <c r="AN59" s="192"/>
      <c r="AO59" s="195" t="e">
        <f>SUM(AM59:AN59)/AH59</f>
        <v>#DIV/0!</v>
      </c>
      <c r="AP59" s="192"/>
      <c r="AQ59" s="192"/>
      <c r="AR59" s="195" t="e">
        <f>(AP59+AQ59)/$AH59</f>
        <v>#DIV/0!</v>
      </c>
      <c r="AS59" s="192"/>
      <c r="AT59" s="192"/>
      <c r="AU59" s="195" t="e">
        <f>(AS59+AT59)/$AH59</f>
        <v>#DIV/0!</v>
      </c>
      <c r="AV59" s="192"/>
      <c r="AW59" s="192"/>
      <c r="AX59" s="195" t="e">
        <f>(AV59+AW59)/$AH59</f>
        <v>#DIV/0!</v>
      </c>
      <c r="AY59" s="196">
        <f>SUM(AM59,AP59,AS59,AV59)</f>
        <v>0</v>
      </c>
      <c r="AZ59" s="196">
        <f>SUM(AN59,AQ59,AT59,AW59)</f>
        <v>0</v>
      </c>
      <c r="BA59" s="196">
        <f>SUM(AY59:AZ59)</f>
        <v>0</v>
      </c>
      <c r="BB59" s="195">
        <f>(BA59+1)/(AH59+1)</f>
        <v>1</v>
      </c>
      <c r="BC59" s="138"/>
      <c r="BD59" s="138"/>
      <c r="BH59" s="29"/>
    </row>
    <row r="60" spans="6:60" ht="15" customHeight="1" x14ac:dyDescent="0.2">
      <c r="AB60" s="260" t="s">
        <v>295</v>
      </c>
      <c r="AC60" s="147"/>
      <c r="AD60" s="147"/>
      <c r="AE60" s="197"/>
      <c r="AF60" s="197"/>
      <c r="AG60" s="198"/>
      <c r="AH60" s="197"/>
      <c r="AI60" s="197"/>
      <c r="AJ60" s="197"/>
      <c r="AK60" s="197"/>
      <c r="AL60" s="261" t="e">
        <f t="shared" ref="AL60:AL61" si="128">SUM(AI60:AK60)/AG60</f>
        <v>#DIV/0!</v>
      </c>
      <c r="AM60" s="197"/>
      <c r="AN60" s="197"/>
      <c r="AO60" s="262" t="e">
        <f t="shared" ref="AO60:AO61" si="129">SUM(AM60:AN60)/AH60</f>
        <v>#DIV/0!</v>
      </c>
      <c r="AP60" s="197"/>
      <c r="AQ60" s="197"/>
      <c r="AR60" s="262" t="e">
        <f t="shared" ref="AR60:AR61" si="130">(AP60+AQ60)/$AH60</f>
        <v>#DIV/0!</v>
      </c>
      <c r="AS60" s="197"/>
      <c r="AT60" s="197"/>
      <c r="AU60" s="262" t="e">
        <f t="shared" ref="AU60:AU61" si="131">(AS60+AT60)/$AH60</f>
        <v>#DIV/0!</v>
      </c>
      <c r="AV60" s="197"/>
      <c r="AW60" s="197"/>
      <c r="AX60" s="262" t="e">
        <f t="shared" ref="AX60:AX61" si="132">(AV60+AW60)/$AH60</f>
        <v>#DIV/0!</v>
      </c>
      <c r="AY60" s="263">
        <f t="shared" ref="AY60:AZ61" si="133">SUM(AM60,AP60,AS60,AV60)</f>
        <v>0</v>
      </c>
      <c r="AZ60" s="263">
        <f t="shared" si="133"/>
        <v>0</v>
      </c>
      <c r="BA60" s="263">
        <f t="shared" ref="BA60:BA61" si="134">SUM(AY60:AZ60)</f>
        <v>0</v>
      </c>
      <c r="BB60" s="262">
        <f t="shared" ref="BB60:BB61" si="135">(BA60+1)/(AH60+1)</f>
        <v>1</v>
      </c>
      <c r="BC60" s="264"/>
      <c r="BD60" s="264"/>
      <c r="BE60" s="60"/>
    </row>
    <row r="61" spans="6:60" ht="15" customHeight="1" thickBot="1" x14ac:dyDescent="0.25">
      <c r="AB61" s="206" t="s">
        <v>296</v>
      </c>
      <c r="AC61" s="199">
        <v>46059</v>
      </c>
      <c r="AD61" s="199">
        <v>46060</v>
      </c>
      <c r="AE61" s="200">
        <v>1</v>
      </c>
      <c r="AF61" s="200">
        <v>500</v>
      </c>
      <c r="AG61" s="201">
        <v>496</v>
      </c>
      <c r="AH61" s="200"/>
      <c r="AI61" s="200">
        <v>3</v>
      </c>
      <c r="AJ61" s="200">
        <v>0</v>
      </c>
      <c r="AK61" s="200"/>
      <c r="AL61" s="202">
        <f t="shared" si="128"/>
        <v>6.0483870967741934E-3</v>
      </c>
      <c r="AM61" s="200">
        <v>69</v>
      </c>
      <c r="AN61" s="200">
        <v>0</v>
      </c>
      <c r="AO61" s="203" t="e">
        <f t="shared" si="129"/>
        <v>#DIV/0!</v>
      </c>
      <c r="AP61" s="200">
        <v>2</v>
      </c>
      <c r="AQ61" s="200">
        <v>0</v>
      </c>
      <c r="AR61" s="203" t="e">
        <f t="shared" si="130"/>
        <v>#DIV/0!</v>
      </c>
      <c r="AS61" s="200">
        <v>1</v>
      </c>
      <c r="AT61" s="200">
        <v>0</v>
      </c>
      <c r="AU61" s="203" t="e">
        <f t="shared" si="131"/>
        <v>#DIV/0!</v>
      </c>
      <c r="AV61" s="200">
        <v>0</v>
      </c>
      <c r="AW61" s="200">
        <v>0</v>
      </c>
      <c r="AX61" s="203" t="e">
        <f t="shared" si="132"/>
        <v>#DIV/0!</v>
      </c>
      <c r="AY61" s="204">
        <f t="shared" si="133"/>
        <v>72</v>
      </c>
      <c r="AZ61" s="204">
        <f t="shared" si="133"/>
        <v>0</v>
      </c>
      <c r="BA61" s="204">
        <f t="shared" si="134"/>
        <v>72</v>
      </c>
      <c r="BB61" s="203">
        <f t="shared" si="135"/>
        <v>73</v>
      </c>
      <c r="BC61" s="139"/>
      <c r="BD61" s="139"/>
    </row>
    <row r="62" spans="6:60" ht="18" customHeight="1" x14ac:dyDescent="0.2">
      <c r="AB62" s="7"/>
      <c r="AF62" s="14">
        <f>SUM(AF59:AF61)</f>
        <v>500</v>
      </c>
      <c r="AG62" s="14">
        <f>SUM(AG59:AG61)</f>
        <v>496</v>
      </c>
      <c r="AH62" s="14">
        <f t="shared" ref="AH62:AK62" si="136">SUM(AH59:AH61)</f>
        <v>0</v>
      </c>
      <c r="AI62" s="14">
        <f t="shared" si="136"/>
        <v>3</v>
      </c>
      <c r="AJ62" s="14">
        <f t="shared" si="136"/>
        <v>0</v>
      </c>
      <c r="AK62" s="14">
        <f t="shared" si="136"/>
        <v>0</v>
      </c>
      <c r="AL62" s="163"/>
      <c r="AM62" s="14">
        <f>SUM(AM59:AM61)</f>
        <v>69</v>
      </c>
      <c r="AN62" s="14">
        <f>SUM(AN59:AN61)</f>
        <v>0</v>
      </c>
      <c r="AO62" s="165"/>
      <c r="AP62" s="14">
        <f>SUM(AP59:AP61)</f>
        <v>2</v>
      </c>
      <c r="AQ62" s="14">
        <f>SUM(AQ59:AQ61)</f>
        <v>0</v>
      </c>
      <c r="AR62" s="165"/>
      <c r="AS62" s="14">
        <f>SUM(AS59:AS61)</f>
        <v>1</v>
      </c>
      <c r="AT62" s="14">
        <f>SUM(AT59:AT61)</f>
        <v>0</v>
      </c>
      <c r="AU62" s="165"/>
      <c r="AV62" s="14">
        <f>SUM(AV59:AV61)</f>
        <v>0</v>
      </c>
      <c r="AW62" s="14">
        <f>SUM(AW59:AW61)</f>
        <v>0</v>
      </c>
      <c r="AX62" s="165"/>
      <c r="AY62" s="14">
        <f>SUM(AY59:AY61)</f>
        <v>72</v>
      </c>
      <c r="AZ62" s="14">
        <f>SUM(AZ59:AZ61)</f>
        <v>0</v>
      </c>
      <c r="BA62" s="14">
        <f>SUM(AY62:AZ62)</f>
        <v>72</v>
      </c>
      <c r="BB62" s="137">
        <f>(BA62+1)/(AH62+1)</f>
        <v>73</v>
      </c>
      <c r="BC62" s="136"/>
      <c r="BD62" s="136"/>
    </row>
    <row r="63" spans="6:60" ht="18" customHeight="1" thickBot="1" x14ac:dyDescent="0.25">
      <c r="AB63" s="13" t="s">
        <v>318</v>
      </c>
      <c r="AC63" s="27"/>
      <c r="AD63" s="35"/>
      <c r="AE63" s="28"/>
      <c r="AF63" s="27"/>
      <c r="AG63" s="27"/>
      <c r="AH63" s="27"/>
      <c r="AI63" s="27"/>
      <c r="AJ63" s="27"/>
      <c r="AK63" s="36"/>
      <c r="AL63" s="9"/>
      <c r="AM63" s="35"/>
      <c r="AN63" s="35"/>
      <c r="AO63" s="7"/>
      <c r="AP63" s="27"/>
      <c r="AQ63" s="27"/>
      <c r="AR63" s="7"/>
      <c r="AS63" s="27"/>
      <c r="AT63" s="27"/>
      <c r="AU63" s="7"/>
      <c r="AV63" s="27"/>
      <c r="AW63" s="27"/>
      <c r="AX63" s="18"/>
      <c r="AY63" s="17"/>
      <c r="AZ63" s="15"/>
      <c r="BA63" s="7"/>
      <c r="BB63" s="7"/>
      <c r="BC63" s="7"/>
      <c r="BD63" s="7"/>
    </row>
    <row r="64" spans="6:60" ht="18" customHeight="1" x14ac:dyDescent="0.2">
      <c r="AB64" s="205" t="s">
        <v>293</v>
      </c>
      <c r="AC64" s="191"/>
      <c r="AD64" s="191"/>
      <c r="AE64" s="192"/>
      <c r="AF64" s="192"/>
      <c r="AG64" s="193"/>
      <c r="AH64" s="192"/>
      <c r="AI64" s="192"/>
      <c r="AJ64" s="192"/>
      <c r="AK64" s="192"/>
      <c r="AL64" s="194" t="e">
        <f>SUM(AI64:AK64)/AG64</f>
        <v>#DIV/0!</v>
      </c>
      <c r="AM64" s="192"/>
      <c r="AN64" s="192"/>
      <c r="AO64" s="195" t="e">
        <f>SUM(AM64:AN64)/AH64</f>
        <v>#DIV/0!</v>
      </c>
      <c r="AP64" s="192"/>
      <c r="AQ64" s="192"/>
      <c r="AR64" s="195" t="e">
        <f>(AP64+AQ64)/$AH64</f>
        <v>#DIV/0!</v>
      </c>
      <c r="AS64" s="192"/>
      <c r="AT64" s="192"/>
      <c r="AU64" s="195" t="e">
        <f>(AS64+AT64)/$AH64</f>
        <v>#DIV/0!</v>
      </c>
      <c r="AV64" s="192"/>
      <c r="AW64" s="192"/>
      <c r="AX64" s="195" t="e">
        <f>(AV64+AW64)/$AH64</f>
        <v>#DIV/0!</v>
      </c>
      <c r="AY64" s="196">
        <f>SUM(AM64,AP64,AS64,AV64)</f>
        <v>0</v>
      </c>
      <c r="AZ64" s="196">
        <f>SUM(AN64,AQ64,AT64,AW64)</f>
        <v>0</v>
      </c>
      <c r="BA64" s="196">
        <f>SUM(AY64:AZ64)</f>
        <v>0</v>
      </c>
      <c r="BB64" s="195">
        <f>(BA64+1)/(AH64+1)</f>
        <v>1</v>
      </c>
      <c r="BC64" s="138"/>
      <c r="BD64" s="138"/>
      <c r="BE64" s="43"/>
    </row>
    <row r="65" spans="28:57" ht="18" customHeight="1" x14ac:dyDescent="0.2">
      <c r="AB65" s="260" t="s">
        <v>295</v>
      </c>
      <c r="AC65" s="147"/>
      <c r="AD65" s="147"/>
      <c r="AE65" s="197"/>
      <c r="AF65" s="197"/>
      <c r="AG65" s="198"/>
      <c r="AH65" s="197"/>
      <c r="AI65" s="197"/>
      <c r="AJ65" s="197"/>
      <c r="AK65" s="197"/>
      <c r="AL65" s="261" t="e">
        <f t="shared" ref="AL65:AL66" si="137">SUM(AI65:AK65)/AG65</f>
        <v>#DIV/0!</v>
      </c>
      <c r="AM65" s="197"/>
      <c r="AN65" s="197"/>
      <c r="AO65" s="262" t="e">
        <f t="shared" ref="AO65:AO66" si="138">SUM(AM65:AN65)/AH65</f>
        <v>#DIV/0!</v>
      </c>
      <c r="AP65" s="197"/>
      <c r="AQ65" s="197"/>
      <c r="AR65" s="262" t="e">
        <f t="shared" ref="AR65:AR66" si="139">(AP65+AQ65)/$AH65</f>
        <v>#DIV/0!</v>
      </c>
      <c r="AS65" s="197"/>
      <c r="AT65" s="197"/>
      <c r="AU65" s="262" t="e">
        <f t="shared" ref="AU65:AU66" si="140">(AS65+AT65)/$AH65</f>
        <v>#DIV/0!</v>
      </c>
      <c r="AV65" s="197"/>
      <c r="AW65" s="197"/>
      <c r="AX65" s="262" t="e">
        <f t="shared" ref="AX65:AX66" si="141">(AV65+AW65)/$AH65</f>
        <v>#DIV/0!</v>
      </c>
      <c r="AY65" s="263">
        <f t="shared" ref="AY65:AZ66" si="142">SUM(AM65,AP65,AS65,AV65)</f>
        <v>0</v>
      </c>
      <c r="AZ65" s="263">
        <f t="shared" si="142"/>
        <v>0</v>
      </c>
      <c r="BA65" s="263">
        <f t="shared" ref="BA65:BA66" si="143">SUM(AY65:AZ65)</f>
        <v>0</v>
      </c>
      <c r="BB65" s="262">
        <f t="shared" ref="BB65:BB66" si="144">(BA65+1)/(AH65+1)</f>
        <v>1</v>
      </c>
      <c r="BC65" s="264"/>
      <c r="BD65" s="264"/>
    </row>
    <row r="66" spans="28:57" ht="18" customHeight="1" thickBot="1" x14ac:dyDescent="0.25">
      <c r="AB66" s="206" t="s">
        <v>296</v>
      </c>
      <c r="AC66" s="199"/>
      <c r="AD66" s="199"/>
      <c r="AE66" s="200"/>
      <c r="AF66" s="200"/>
      <c r="AG66" s="201"/>
      <c r="AH66" s="200"/>
      <c r="AI66" s="200"/>
      <c r="AJ66" s="200"/>
      <c r="AK66" s="200"/>
      <c r="AL66" s="202" t="e">
        <f t="shared" si="137"/>
        <v>#DIV/0!</v>
      </c>
      <c r="AM66" s="200"/>
      <c r="AN66" s="200"/>
      <c r="AO66" s="203" t="e">
        <f t="shared" si="138"/>
        <v>#DIV/0!</v>
      </c>
      <c r="AP66" s="200"/>
      <c r="AQ66" s="200"/>
      <c r="AR66" s="203" t="e">
        <f t="shared" si="139"/>
        <v>#DIV/0!</v>
      </c>
      <c r="AS66" s="200"/>
      <c r="AT66" s="200"/>
      <c r="AU66" s="203" t="e">
        <f t="shared" si="140"/>
        <v>#DIV/0!</v>
      </c>
      <c r="AV66" s="200"/>
      <c r="AW66" s="200"/>
      <c r="AX66" s="203" t="e">
        <f t="shared" si="141"/>
        <v>#DIV/0!</v>
      </c>
      <c r="AY66" s="204">
        <f t="shared" si="142"/>
        <v>0</v>
      </c>
      <c r="AZ66" s="204">
        <f t="shared" si="142"/>
        <v>0</v>
      </c>
      <c r="BA66" s="204">
        <f t="shared" si="143"/>
        <v>0</v>
      </c>
      <c r="BB66" s="203">
        <f t="shared" si="144"/>
        <v>1</v>
      </c>
      <c r="BC66" s="139"/>
      <c r="BD66" s="139"/>
    </row>
    <row r="67" spans="28:57" ht="18" customHeight="1" x14ac:dyDescent="0.2">
      <c r="AB67" s="7"/>
      <c r="AF67" s="14">
        <f>SUM(AF64:AF66)</f>
        <v>0</v>
      </c>
      <c r="AG67" s="14">
        <f>SUM(AG64:AG66)</f>
        <v>0</v>
      </c>
      <c r="AH67" s="14">
        <f t="shared" ref="AH67:AK67" si="145">SUM(AH64:AH66)</f>
        <v>0</v>
      </c>
      <c r="AI67" s="14">
        <f t="shared" si="145"/>
        <v>0</v>
      </c>
      <c r="AJ67" s="14">
        <f t="shared" si="145"/>
        <v>0</v>
      </c>
      <c r="AK67" s="14">
        <f t="shared" si="145"/>
        <v>0</v>
      </c>
      <c r="AL67" s="163"/>
      <c r="AM67" s="14">
        <f>SUM(AM64:AM66)</f>
        <v>0</v>
      </c>
      <c r="AN67" s="14">
        <f>SUM(AN64:AN66)</f>
        <v>0</v>
      </c>
      <c r="AO67" s="165"/>
      <c r="AP67" s="14">
        <f>SUM(AP64:AP66)</f>
        <v>0</v>
      </c>
      <c r="AQ67" s="14">
        <f>SUM(AQ64:AQ66)</f>
        <v>0</v>
      </c>
      <c r="AR67" s="165"/>
      <c r="AS67" s="14">
        <f>SUM(AS64:AS66)</f>
        <v>0</v>
      </c>
      <c r="AT67" s="14">
        <f>SUM(AT64:AT66)</f>
        <v>0</v>
      </c>
      <c r="AU67" s="165"/>
      <c r="AV67" s="14">
        <f>SUM(AV64:AV66)</f>
        <v>0</v>
      </c>
      <c r="AW67" s="14">
        <f>SUM(AW64:AW66)</f>
        <v>0</v>
      </c>
      <c r="AX67" s="165"/>
      <c r="AY67" s="14">
        <f>SUM(AY64:AY66)</f>
        <v>0</v>
      </c>
      <c r="AZ67" s="14">
        <f>SUM(AZ64:AZ66)</f>
        <v>0</v>
      </c>
      <c r="BA67" s="14">
        <f>SUM(AY67:AZ67)</f>
        <v>0</v>
      </c>
      <c r="BB67" s="137">
        <f>(BA67+1)/(AH67+1)</f>
        <v>1</v>
      </c>
      <c r="BC67" s="136"/>
      <c r="BD67" s="136"/>
    </row>
    <row r="68" spans="28:57" ht="18" customHeight="1" thickBot="1" x14ac:dyDescent="0.25">
      <c r="AB68" s="13" t="s">
        <v>319</v>
      </c>
      <c r="AC68" s="27"/>
      <c r="AD68" s="35"/>
      <c r="AE68" s="28"/>
      <c r="AF68" s="27"/>
      <c r="AG68" s="27"/>
      <c r="AH68" s="27"/>
      <c r="AI68" s="27"/>
      <c r="AJ68" s="27"/>
      <c r="AK68" s="36"/>
      <c r="AL68" s="9"/>
      <c r="AM68" s="35"/>
      <c r="AN68" s="35"/>
      <c r="AO68" s="7"/>
      <c r="AP68" s="27"/>
      <c r="AQ68" s="27"/>
      <c r="AR68" s="7"/>
      <c r="AS68" s="27"/>
      <c r="AT68" s="27"/>
      <c r="AU68" s="7"/>
      <c r="AV68" s="27"/>
      <c r="AW68" s="27"/>
      <c r="AX68" s="18"/>
      <c r="AY68" s="17"/>
      <c r="AZ68" s="15"/>
      <c r="BA68" s="7"/>
      <c r="BB68" s="7"/>
      <c r="BC68" s="7"/>
      <c r="BD68" s="7"/>
    </row>
    <row r="69" spans="28:57" ht="18" customHeight="1" x14ac:dyDescent="0.2">
      <c r="AB69" s="205" t="s">
        <v>293</v>
      </c>
      <c r="AC69" s="191"/>
      <c r="AD69" s="191"/>
      <c r="AE69" s="192"/>
      <c r="AF69" s="192"/>
      <c r="AG69" s="193"/>
      <c r="AH69" s="192"/>
      <c r="AI69" s="192"/>
      <c r="AJ69" s="192"/>
      <c r="AK69" s="192"/>
      <c r="AL69" s="194" t="e">
        <f>SUM(AI69:AK69)/AG69</f>
        <v>#DIV/0!</v>
      </c>
      <c r="AM69" s="192"/>
      <c r="AN69" s="192"/>
      <c r="AO69" s="195" t="e">
        <f>SUM(AM69:AN69)/AH69</f>
        <v>#DIV/0!</v>
      </c>
      <c r="AP69" s="192"/>
      <c r="AQ69" s="192"/>
      <c r="AR69" s="195" t="e">
        <f>(AP69+AQ69)/$AH69</f>
        <v>#DIV/0!</v>
      </c>
      <c r="AS69" s="192"/>
      <c r="AT69" s="192"/>
      <c r="AU69" s="195" t="e">
        <f>(AS69+AT69)/$AH69</f>
        <v>#DIV/0!</v>
      </c>
      <c r="AV69" s="192"/>
      <c r="AW69" s="192"/>
      <c r="AX69" s="195" t="e">
        <f>(AV69+AW69)/$AH69</f>
        <v>#DIV/0!</v>
      </c>
      <c r="AY69" s="196">
        <f>SUM(AM69,AP69,AS69,AV69)</f>
        <v>0</v>
      </c>
      <c r="AZ69" s="196">
        <f>SUM(AN69,AQ69,AT69,AW69)</f>
        <v>0</v>
      </c>
      <c r="BA69" s="196">
        <f>SUM(AY69:AZ69)</f>
        <v>0</v>
      </c>
      <c r="BB69" s="195">
        <f>(BA69+1)/(AH69+1)</f>
        <v>1</v>
      </c>
      <c r="BC69" s="138"/>
      <c r="BD69" s="138"/>
      <c r="BE69" s="43"/>
    </row>
    <row r="70" spans="28:57" ht="18" customHeight="1" x14ac:dyDescent="0.2">
      <c r="AB70" s="260" t="s">
        <v>295</v>
      </c>
      <c r="AC70" s="147"/>
      <c r="AD70" s="147"/>
      <c r="AE70" s="197"/>
      <c r="AF70" s="197"/>
      <c r="AG70" s="198"/>
      <c r="AH70" s="197"/>
      <c r="AI70" s="197"/>
      <c r="AJ70" s="197"/>
      <c r="AK70" s="197"/>
      <c r="AL70" s="261" t="e">
        <f t="shared" ref="AL70:AL71" si="146">SUM(AI70:AK70)/AG70</f>
        <v>#DIV/0!</v>
      </c>
      <c r="AM70" s="197"/>
      <c r="AN70" s="197"/>
      <c r="AO70" s="262" t="e">
        <f t="shared" ref="AO70:AO71" si="147">SUM(AM70:AN70)/AH70</f>
        <v>#DIV/0!</v>
      </c>
      <c r="AP70" s="197"/>
      <c r="AQ70" s="197"/>
      <c r="AR70" s="262" t="e">
        <f t="shared" ref="AR70:AR71" si="148">(AP70+AQ70)/$AH70</f>
        <v>#DIV/0!</v>
      </c>
      <c r="AS70" s="197"/>
      <c r="AT70" s="197"/>
      <c r="AU70" s="262" t="e">
        <f t="shared" ref="AU70:AU71" si="149">(AS70+AT70)/$AH70</f>
        <v>#DIV/0!</v>
      </c>
      <c r="AV70" s="197"/>
      <c r="AW70" s="197"/>
      <c r="AX70" s="262" t="e">
        <f t="shared" ref="AX70:AX71" si="150">(AV70+AW70)/$AH70</f>
        <v>#DIV/0!</v>
      </c>
      <c r="AY70" s="263">
        <f t="shared" ref="AY70:AZ71" si="151">SUM(AM70,AP70,AS70,AV70)</f>
        <v>0</v>
      </c>
      <c r="AZ70" s="263">
        <f t="shared" si="151"/>
        <v>0</v>
      </c>
      <c r="BA70" s="263">
        <f t="shared" ref="BA70:BA71" si="152">SUM(AY70:AZ70)</f>
        <v>0</v>
      </c>
      <c r="BB70" s="262">
        <f t="shared" ref="BB70:BB71" si="153">(BA70+1)/(AH70+1)</f>
        <v>1</v>
      </c>
      <c r="BC70" s="264"/>
      <c r="BD70" s="264"/>
    </row>
    <row r="71" spans="28:57" ht="18" customHeight="1" thickBot="1" x14ac:dyDescent="0.25">
      <c r="AB71" s="206" t="s">
        <v>296</v>
      </c>
      <c r="AC71" s="199"/>
      <c r="AD71" s="199"/>
      <c r="AE71" s="200"/>
      <c r="AF71" s="200"/>
      <c r="AG71" s="201"/>
      <c r="AH71" s="200"/>
      <c r="AI71" s="200"/>
      <c r="AJ71" s="200"/>
      <c r="AK71" s="200"/>
      <c r="AL71" s="202" t="e">
        <f t="shared" si="146"/>
        <v>#DIV/0!</v>
      </c>
      <c r="AM71" s="200"/>
      <c r="AN71" s="200"/>
      <c r="AO71" s="203" t="e">
        <f t="shared" si="147"/>
        <v>#DIV/0!</v>
      </c>
      <c r="AP71" s="200"/>
      <c r="AQ71" s="200"/>
      <c r="AR71" s="203" t="e">
        <f t="shared" si="148"/>
        <v>#DIV/0!</v>
      </c>
      <c r="AS71" s="200"/>
      <c r="AT71" s="200"/>
      <c r="AU71" s="203" t="e">
        <f t="shared" si="149"/>
        <v>#DIV/0!</v>
      </c>
      <c r="AV71" s="200"/>
      <c r="AW71" s="200"/>
      <c r="AX71" s="203" t="e">
        <f t="shared" si="150"/>
        <v>#DIV/0!</v>
      </c>
      <c r="AY71" s="204">
        <f t="shared" si="151"/>
        <v>0</v>
      </c>
      <c r="AZ71" s="204">
        <f t="shared" si="151"/>
        <v>0</v>
      </c>
      <c r="BA71" s="204">
        <f t="shared" si="152"/>
        <v>0</v>
      </c>
      <c r="BB71" s="203">
        <f t="shared" si="153"/>
        <v>1</v>
      </c>
      <c r="BC71" s="139"/>
      <c r="BD71" s="139"/>
    </row>
    <row r="72" spans="28:57" ht="18" customHeight="1" x14ac:dyDescent="0.2">
      <c r="AB72" s="7"/>
      <c r="AF72" s="14">
        <f>SUM(AF69:AF71)</f>
        <v>0</v>
      </c>
      <c r="AG72" s="14">
        <f>SUM(AG69:AG71)</f>
        <v>0</v>
      </c>
      <c r="AH72" s="14">
        <f t="shared" ref="AH72:AK72" si="154">SUM(AH69:AH71)</f>
        <v>0</v>
      </c>
      <c r="AI72" s="14">
        <f t="shared" si="154"/>
        <v>0</v>
      </c>
      <c r="AJ72" s="14">
        <f t="shared" si="154"/>
        <v>0</v>
      </c>
      <c r="AK72" s="14">
        <f t="shared" si="154"/>
        <v>0</v>
      </c>
      <c r="AL72" s="163"/>
      <c r="AM72" s="14">
        <f>SUM(AM69:AM71)</f>
        <v>0</v>
      </c>
      <c r="AN72" s="14">
        <f>SUM(AN69:AN71)</f>
        <v>0</v>
      </c>
      <c r="AO72" s="165"/>
      <c r="AP72" s="14">
        <f>SUM(AP69:AP71)</f>
        <v>0</v>
      </c>
      <c r="AQ72" s="14">
        <f>SUM(AQ69:AQ71)</f>
        <v>0</v>
      </c>
      <c r="AR72" s="165"/>
      <c r="AS72" s="14">
        <f>SUM(AS69:AS71)</f>
        <v>0</v>
      </c>
      <c r="AT72" s="14">
        <f>SUM(AT69:AT71)</f>
        <v>0</v>
      </c>
      <c r="AU72" s="165"/>
      <c r="AV72" s="14">
        <f>SUM(AV69:AV71)</f>
        <v>0</v>
      </c>
      <c r="AW72" s="14">
        <f>SUM(AW69:AW71)</f>
        <v>0</v>
      </c>
      <c r="AX72" s="165"/>
      <c r="AY72" s="14">
        <f>SUM(AY69:AY71)</f>
        <v>0</v>
      </c>
      <c r="AZ72" s="14">
        <f>SUM(AZ69:AZ71)</f>
        <v>0</v>
      </c>
      <c r="BA72" s="14">
        <f>SUM(AY72:AZ72)</f>
        <v>0</v>
      </c>
      <c r="BB72" s="137">
        <f>(BA72+1)/(AH72+1)</f>
        <v>1</v>
      </c>
      <c r="BC72" s="136"/>
      <c r="BD72" s="136"/>
    </row>
    <row r="73" spans="28:57" ht="18" customHeight="1" thickBot="1" x14ac:dyDescent="0.25">
      <c r="AB73" s="13" t="s">
        <v>320</v>
      </c>
      <c r="AC73" s="27"/>
      <c r="AD73" s="35"/>
      <c r="AE73" s="28"/>
      <c r="AF73" s="27"/>
      <c r="AG73" s="27"/>
      <c r="AH73" s="27"/>
      <c r="AI73" s="27"/>
      <c r="AJ73" s="27"/>
      <c r="AK73" s="36"/>
      <c r="AL73" s="9"/>
      <c r="AM73" s="35"/>
      <c r="AN73" s="35"/>
      <c r="AO73" s="7"/>
      <c r="AP73" s="27"/>
      <c r="AQ73" s="27"/>
      <c r="AR73" s="7"/>
      <c r="AS73" s="27"/>
      <c r="AT73" s="27"/>
      <c r="AU73" s="7"/>
      <c r="AV73" s="27"/>
      <c r="AW73" s="27"/>
      <c r="AX73" s="18"/>
      <c r="AY73" s="17"/>
      <c r="AZ73" s="15"/>
      <c r="BA73" s="7"/>
      <c r="BB73" s="7"/>
      <c r="BC73" s="7"/>
      <c r="BD73" s="7"/>
    </row>
    <row r="74" spans="28:57" ht="18" customHeight="1" x14ac:dyDescent="0.2">
      <c r="AB74" s="205" t="s">
        <v>293</v>
      </c>
      <c r="AC74" s="191"/>
      <c r="AD74" s="191"/>
      <c r="AE74" s="192"/>
      <c r="AF74" s="192"/>
      <c r="AG74" s="193"/>
      <c r="AH74" s="192"/>
      <c r="AI74" s="192"/>
      <c r="AJ74" s="192"/>
      <c r="AK74" s="192"/>
      <c r="AL74" s="194" t="e">
        <f>SUM(AI74:AK74)/AG74</f>
        <v>#DIV/0!</v>
      </c>
      <c r="AM74" s="192"/>
      <c r="AN74" s="192"/>
      <c r="AO74" s="195" t="e">
        <f>SUM(AM74:AN74)/AH74</f>
        <v>#DIV/0!</v>
      </c>
      <c r="AP74" s="192"/>
      <c r="AQ74" s="192"/>
      <c r="AR74" s="195" t="e">
        <f>(AP74+AQ74)/$AH74</f>
        <v>#DIV/0!</v>
      </c>
      <c r="AS74" s="192"/>
      <c r="AT74" s="192"/>
      <c r="AU74" s="195" t="e">
        <f>(AS74+AT74)/$AH74</f>
        <v>#DIV/0!</v>
      </c>
      <c r="AV74" s="192"/>
      <c r="AW74" s="192"/>
      <c r="AX74" s="195" t="e">
        <f>(AV74+AW74)/$AH74</f>
        <v>#DIV/0!</v>
      </c>
      <c r="AY74" s="196">
        <f>SUM(AM74,AP74,AS74,AV74)</f>
        <v>0</v>
      </c>
      <c r="AZ74" s="196">
        <f>SUM(AN74,AQ74,AT74,AW74)</f>
        <v>0</v>
      </c>
      <c r="BA74" s="196">
        <f>SUM(AY74:AZ74)</f>
        <v>0</v>
      </c>
      <c r="BB74" s="195">
        <f>(BA74+1)/(AH74+1)</f>
        <v>1</v>
      </c>
      <c r="BC74" s="138"/>
      <c r="BD74" s="138"/>
    </row>
    <row r="75" spans="28:57" ht="18" customHeight="1" x14ac:dyDescent="0.2">
      <c r="AB75" s="260" t="s">
        <v>295</v>
      </c>
      <c r="AC75" s="147"/>
      <c r="AD75" s="147"/>
      <c r="AE75" s="197"/>
      <c r="AF75" s="197"/>
      <c r="AG75" s="198"/>
      <c r="AH75" s="197"/>
      <c r="AI75" s="197"/>
      <c r="AJ75" s="197"/>
      <c r="AK75" s="197"/>
      <c r="AL75" s="261" t="e">
        <f t="shared" ref="AL75:AL76" si="155">SUM(AI75:AK75)/AG75</f>
        <v>#DIV/0!</v>
      </c>
      <c r="AM75" s="197"/>
      <c r="AN75" s="197"/>
      <c r="AO75" s="262" t="e">
        <f t="shared" ref="AO75:AO76" si="156">SUM(AM75:AN75)/AH75</f>
        <v>#DIV/0!</v>
      </c>
      <c r="AP75" s="197"/>
      <c r="AQ75" s="197"/>
      <c r="AR75" s="262" t="e">
        <f t="shared" ref="AR75:AR76" si="157">(AP75+AQ75)/$AH75</f>
        <v>#DIV/0!</v>
      </c>
      <c r="AS75" s="197"/>
      <c r="AT75" s="197"/>
      <c r="AU75" s="262" t="e">
        <f t="shared" ref="AU75:AU76" si="158">(AS75+AT75)/$AH75</f>
        <v>#DIV/0!</v>
      </c>
      <c r="AV75" s="197"/>
      <c r="AW75" s="197"/>
      <c r="AX75" s="262" t="e">
        <f t="shared" ref="AX75:AX76" si="159">(AV75+AW75)/$AH75</f>
        <v>#DIV/0!</v>
      </c>
      <c r="AY75" s="263">
        <f t="shared" ref="AY75:AZ76" si="160">SUM(AM75,AP75,AS75,AV75)</f>
        <v>0</v>
      </c>
      <c r="AZ75" s="263">
        <f t="shared" si="160"/>
        <v>0</v>
      </c>
      <c r="BA75" s="263">
        <f t="shared" ref="BA75:BA76" si="161">SUM(AY75:AZ75)</f>
        <v>0</v>
      </c>
      <c r="BB75" s="262">
        <f t="shared" ref="BB75:BB76" si="162">(BA75+1)/(AH75+1)</f>
        <v>1</v>
      </c>
      <c r="BC75" s="264"/>
      <c r="BD75" s="264"/>
    </row>
    <row r="76" spans="28:57" ht="18" customHeight="1" thickBot="1" x14ac:dyDescent="0.25">
      <c r="AB76" s="206" t="s">
        <v>296</v>
      </c>
      <c r="AC76" s="199"/>
      <c r="AD76" s="199"/>
      <c r="AE76" s="200"/>
      <c r="AF76" s="200"/>
      <c r="AG76" s="201"/>
      <c r="AH76" s="200"/>
      <c r="AI76" s="200"/>
      <c r="AJ76" s="200"/>
      <c r="AK76" s="200"/>
      <c r="AL76" s="202" t="e">
        <f t="shared" si="155"/>
        <v>#DIV/0!</v>
      </c>
      <c r="AM76" s="200"/>
      <c r="AN76" s="200"/>
      <c r="AO76" s="203" t="e">
        <f t="shared" si="156"/>
        <v>#DIV/0!</v>
      </c>
      <c r="AP76" s="200"/>
      <c r="AQ76" s="200"/>
      <c r="AR76" s="203" t="e">
        <f t="shared" si="157"/>
        <v>#DIV/0!</v>
      </c>
      <c r="AS76" s="200"/>
      <c r="AT76" s="200"/>
      <c r="AU76" s="203" t="e">
        <f t="shared" si="158"/>
        <v>#DIV/0!</v>
      </c>
      <c r="AV76" s="200"/>
      <c r="AW76" s="200"/>
      <c r="AX76" s="203" t="e">
        <f t="shared" si="159"/>
        <v>#DIV/0!</v>
      </c>
      <c r="AY76" s="204">
        <f t="shared" si="160"/>
        <v>0</v>
      </c>
      <c r="AZ76" s="204">
        <f t="shared" si="160"/>
        <v>0</v>
      </c>
      <c r="BA76" s="204">
        <f t="shared" si="161"/>
        <v>0</v>
      </c>
      <c r="BB76" s="203">
        <f t="shared" si="162"/>
        <v>1</v>
      </c>
      <c r="BC76" s="139"/>
      <c r="BD76" s="139"/>
    </row>
    <row r="77" spans="28:57" ht="18" customHeight="1" x14ac:dyDescent="0.2">
      <c r="AB77" s="7"/>
      <c r="AF77" s="14">
        <f>SUM(AF74:AF76)</f>
        <v>0</v>
      </c>
      <c r="AG77" s="14">
        <f>SUM(AG74:AG76)</f>
        <v>0</v>
      </c>
      <c r="AH77" s="14">
        <f t="shared" ref="AH77:AK77" si="163">SUM(AH74:AH76)</f>
        <v>0</v>
      </c>
      <c r="AI77" s="14">
        <f t="shared" si="163"/>
        <v>0</v>
      </c>
      <c r="AJ77" s="14">
        <f t="shared" si="163"/>
        <v>0</v>
      </c>
      <c r="AK77" s="14">
        <f t="shared" si="163"/>
        <v>0</v>
      </c>
      <c r="AL77" s="163"/>
      <c r="AM77" s="14">
        <f>SUM(AM74:AM76)</f>
        <v>0</v>
      </c>
      <c r="AN77" s="14">
        <f>SUM(AN74:AN76)</f>
        <v>0</v>
      </c>
      <c r="AO77" s="165"/>
      <c r="AP77" s="14">
        <f>SUM(AP74:AP76)</f>
        <v>0</v>
      </c>
      <c r="AQ77" s="14">
        <f>SUM(AQ74:AQ76)</f>
        <v>0</v>
      </c>
      <c r="AR77" s="165"/>
      <c r="AS77" s="14">
        <f>SUM(AS74:AS76)</f>
        <v>0</v>
      </c>
      <c r="AT77" s="14">
        <f>SUM(AT74:AT76)</f>
        <v>0</v>
      </c>
      <c r="AU77" s="165"/>
      <c r="AV77" s="14">
        <f>SUM(AV74:AV76)</f>
        <v>0</v>
      </c>
      <c r="AW77" s="14">
        <f>SUM(AW74:AW76)</f>
        <v>0</v>
      </c>
      <c r="AX77" s="165"/>
      <c r="AY77" s="14">
        <f>SUM(AY74:AY76)</f>
        <v>0</v>
      </c>
      <c r="AZ77" s="14">
        <f>SUM(AZ74:AZ76)</f>
        <v>0</v>
      </c>
      <c r="BA77" s="14">
        <f>SUM(AY77:AZ77)</f>
        <v>0</v>
      </c>
      <c r="BB77" s="137">
        <f>(BA77+1)/(AH77+1)</f>
        <v>1</v>
      </c>
      <c r="BC77" s="136"/>
      <c r="BD77" s="136"/>
    </row>
    <row r="78" spans="28:57" ht="18" customHeight="1" thickBot="1" x14ac:dyDescent="0.25">
      <c r="AB78" s="13" t="s">
        <v>321</v>
      </c>
      <c r="AC78" s="27"/>
      <c r="AD78" s="35"/>
      <c r="AE78" s="28"/>
      <c r="AF78" s="27"/>
      <c r="AG78" s="27"/>
      <c r="AH78" s="27"/>
      <c r="AI78" s="27"/>
      <c r="AJ78" s="27"/>
      <c r="AK78" s="36"/>
      <c r="AL78" s="9"/>
      <c r="AM78" s="35"/>
      <c r="AN78" s="35"/>
      <c r="AO78" s="7"/>
      <c r="AP78" s="27"/>
      <c r="AQ78" s="27"/>
      <c r="AR78" s="7"/>
      <c r="AS78" s="27"/>
      <c r="AT78" s="27"/>
      <c r="AU78" s="7"/>
      <c r="AV78" s="27"/>
      <c r="AW78" s="27"/>
      <c r="AX78" s="18"/>
      <c r="AY78" s="17"/>
      <c r="AZ78" s="15"/>
      <c r="BA78" s="7"/>
      <c r="BB78" s="7"/>
      <c r="BC78" s="7"/>
      <c r="BD78" s="7"/>
    </row>
    <row r="79" spans="28:57" ht="18" customHeight="1" x14ac:dyDescent="0.2">
      <c r="AB79" s="205" t="s">
        <v>293</v>
      </c>
      <c r="AC79" s="191"/>
      <c r="AD79" s="191"/>
      <c r="AE79" s="192"/>
      <c r="AF79" s="192"/>
      <c r="AG79" s="193"/>
      <c r="AH79" s="192"/>
      <c r="AI79" s="192"/>
      <c r="AJ79" s="192"/>
      <c r="AK79" s="192"/>
      <c r="AL79" s="194" t="e">
        <f>SUM(AI79:AK79)/AG79</f>
        <v>#DIV/0!</v>
      </c>
      <c r="AM79" s="192"/>
      <c r="AN79" s="192"/>
      <c r="AO79" s="195" t="e">
        <f>SUM(AM79:AN79)/AH79</f>
        <v>#DIV/0!</v>
      </c>
      <c r="AP79" s="192"/>
      <c r="AQ79" s="192"/>
      <c r="AR79" s="195" t="e">
        <f>(AP79+AQ79)/$AH79</f>
        <v>#DIV/0!</v>
      </c>
      <c r="AS79" s="192"/>
      <c r="AT79" s="192"/>
      <c r="AU79" s="195" t="e">
        <f>(AS79+AT79)/$AH79</f>
        <v>#DIV/0!</v>
      </c>
      <c r="AV79" s="192"/>
      <c r="AW79" s="192"/>
      <c r="AX79" s="195" t="e">
        <f>(AV79+AW79)/$AH79</f>
        <v>#DIV/0!</v>
      </c>
      <c r="AY79" s="196">
        <f>SUM(AM79,AP79,AS79,AV79)</f>
        <v>0</v>
      </c>
      <c r="AZ79" s="196">
        <f>SUM(AN79,AQ79,AT79,AW79)</f>
        <v>0</v>
      </c>
      <c r="BA79" s="196">
        <f>SUM(AY79:AZ79)</f>
        <v>0</v>
      </c>
      <c r="BB79" s="195">
        <f>(BA79+1)/(AH79+1)</f>
        <v>1</v>
      </c>
      <c r="BC79" s="138"/>
      <c r="BD79" s="138"/>
    </row>
    <row r="80" spans="28:57" ht="18" customHeight="1" x14ac:dyDescent="0.2">
      <c r="AB80" s="260" t="s">
        <v>295</v>
      </c>
      <c r="AC80" s="147"/>
      <c r="AD80" s="147"/>
      <c r="AE80" s="197"/>
      <c r="AF80" s="197"/>
      <c r="AG80" s="198"/>
      <c r="AH80" s="197"/>
      <c r="AI80" s="197"/>
      <c r="AJ80" s="197"/>
      <c r="AK80" s="197"/>
      <c r="AL80" s="261" t="e">
        <f t="shared" ref="AL80:AL81" si="164">SUM(AI80:AK80)/AG80</f>
        <v>#DIV/0!</v>
      </c>
      <c r="AM80" s="197"/>
      <c r="AN80" s="197"/>
      <c r="AO80" s="262" t="e">
        <f t="shared" ref="AO80:AO81" si="165">SUM(AM80:AN80)/AH80</f>
        <v>#DIV/0!</v>
      </c>
      <c r="AP80" s="197"/>
      <c r="AQ80" s="197"/>
      <c r="AR80" s="262" t="e">
        <f t="shared" ref="AR80:AR81" si="166">(AP80+AQ80)/$AH80</f>
        <v>#DIV/0!</v>
      </c>
      <c r="AS80" s="197"/>
      <c r="AT80" s="197"/>
      <c r="AU80" s="262" t="e">
        <f t="shared" ref="AU80:AU81" si="167">(AS80+AT80)/$AH80</f>
        <v>#DIV/0!</v>
      </c>
      <c r="AV80" s="197"/>
      <c r="AW80" s="197"/>
      <c r="AX80" s="262" t="e">
        <f t="shared" ref="AX80:AX81" si="168">(AV80+AW80)/$AH80</f>
        <v>#DIV/0!</v>
      </c>
      <c r="AY80" s="263">
        <f t="shared" ref="AY80:AZ81" si="169">SUM(AM80,AP80,AS80,AV80)</f>
        <v>0</v>
      </c>
      <c r="AZ80" s="263">
        <f t="shared" si="169"/>
        <v>0</v>
      </c>
      <c r="BA80" s="263">
        <f t="shared" ref="BA80:BA81" si="170">SUM(AY80:AZ80)</f>
        <v>0</v>
      </c>
      <c r="BB80" s="262">
        <f t="shared" ref="BB80:BB81" si="171">(BA80+1)/(AH80+1)</f>
        <v>1</v>
      </c>
      <c r="BC80" s="264"/>
      <c r="BD80" s="264"/>
    </row>
    <row r="81" spans="28:56" ht="18" customHeight="1" thickBot="1" x14ac:dyDescent="0.25">
      <c r="AB81" s="206" t="s">
        <v>296</v>
      </c>
      <c r="AC81" s="199"/>
      <c r="AD81" s="199"/>
      <c r="AE81" s="200"/>
      <c r="AF81" s="200"/>
      <c r="AG81" s="201"/>
      <c r="AH81" s="200"/>
      <c r="AI81" s="200"/>
      <c r="AJ81" s="200"/>
      <c r="AK81" s="200"/>
      <c r="AL81" s="202" t="e">
        <f t="shared" si="164"/>
        <v>#DIV/0!</v>
      </c>
      <c r="AM81" s="200"/>
      <c r="AN81" s="200"/>
      <c r="AO81" s="203" t="e">
        <f t="shared" si="165"/>
        <v>#DIV/0!</v>
      </c>
      <c r="AP81" s="200"/>
      <c r="AQ81" s="200"/>
      <c r="AR81" s="203" t="e">
        <f t="shared" si="166"/>
        <v>#DIV/0!</v>
      </c>
      <c r="AS81" s="200"/>
      <c r="AT81" s="200"/>
      <c r="AU81" s="203" t="e">
        <f t="shared" si="167"/>
        <v>#DIV/0!</v>
      </c>
      <c r="AV81" s="200"/>
      <c r="AW81" s="200"/>
      <c r="AX81" s="203" t="e">
        <f t="shared" si="168"/>
        <v>#DIV/0!</v>
      </c>
      <c r="AY81" s="204">
        <f t="shared" si="169"/>
        <v>0</v>
      </c>
      <c r="AZ81" s="204">
        <f t="shared" si="169"/>
        <v>0</v>
      </c>
      <c r="BA81" s="204">
        <f t="shared" si="170"/>
        <v>0</v>
      </c>
      <c r="BB81" s="203">
        <f t="shared" si="171"/>
        <v>1</v>
      </c>
      <c r="BC81" s="139"/>
      <c r="BD81" s="139"/>
    </row>
    <row r="82" spans="28:56" ht="18" customHeight="1" x14ac:dyDescent="0.2">
      <c r="AB82" s="7"/>
      <c r="AF82" s="14">
        <f>SUM(AF79:AF81)</f>
        <v>0</v>
      </c>
      <c r="AG82" s="14">
        <f>SUM(AG79:AG81)</f>
        <v>0</v>
      </c>
      <c r="AH82" s="14">
        <f t="shared" ref="AH82:AK82" si="172">SUM(AH79:AH81)</f>
        <v>0</v>
      </c>
      <c r="AI82" s="14">
        <f t="shared" si="172"/>
        <v>0</v>
      </c>
      <c r="AJ82" s="14">
        <f t="shared" si="172"/>
        <v>0</v>
      </c>
      <c r="AK82" s="14">
        <f t="shared" si="172"/>
        <v>0</v>
      </c>
      <c r="AL82" s="163"/>
      <c r="AM82" s="14">
        <f>SUM(AM79:AM81)</f>
        <v>0</v>
      </c>
      <c r="AN82" s="14">
        <f>SUM(AN79:AN81)</f>
        <v>0</v>
      </c>
      <c r="AO82" s="165"/>
      <c r="AP82" s="14">
        <f>SUM(AP79:AP81)</f>
        <v>0</v>
      </c>
      <c r="AQ82" s="14">
        <f>SUM(AQ79:AQ81)</f>
        <v>0</v>
      </c>
      <c r="AR82" s="165"/>
      <c r="AS82" s="14">
        <f>SUM(AS79:AS81)</f>
        <v>0</v>
      </c>
      <c r="AT82" s="14">
        <f>SUM(AT79:AT81)</f>
        <v>0</v>
      </c>
      <c r="AU82" s="165"/>
      <c r="AV82" s="14">
        <f>SUM(AV79:AV81)</f>
        <v>0</v>
      </c>
      <c r="AW82" s="14">
        <f>SUM(AW79:AW81)</f>
        <v>0</v>
      </c>
      <c r="AX82" s="165"/>
      <c r="AY82" s="14">
        <f>SUM(AY79:AY81)</f>
        <v>0</v>
      </c>
      <c r="AZ82" s="14">
        <f>SUM(AZ79:AZ81)</f>
        <v>0</v>
      </c>
      <c r="BA82" s="14">
        <f>SUM(AY82:AZ82)</f>
        <v>0</v>
      </c>
      <c r="BB82" s="137">
        <f>(BA82+1)/(AH82+1)</f>
        <v>1</v>
      </c>
      <c r="BC82" s="136"/>
      <c r="BD82" s="136"/>
    </row>
    <row r="83" spans="28:56" ht="18" customHeight="1" thickBot="1" x14ac:dyDescent="0.25">
      <c r="AB83" s="13" t="s">
        <v>322</v>
      </c>
      <c r="AC83" s="27"/>
      <c r="AD83" s="35"/>
      <c r="AE83" s="28"/>
      <c r="AF83" s="27"/>
      <c r="AG83" s="27"/>
      <c r="AH83" s="27"/>
      <c r="AI83" s="27"/>
      <c r="AJ83" s="27"/>
      <c r="AK83" s="36"/>
      <c r="AL83" s="9"/>
      <c r="AM83" s="35"/>
      <c r="AN83" s="35"/>
      <c r="AO83" s="7"/>
      <c r="AP83" s="27"/>
      <c r="AQ83" s="27"/>
      <c r="AR83" s="7"/>
      <c r="AS83" s="27"/>
      <c r="AT83" s="27"/>
      <c r="AU83" s="7"/>
      <c r="AV83" s="27"/>
      <c r="AW83" s="27"/>
      <c r="AX83" s="18"/>
      <c r="AY83" s="17"/>
      <c r="AZ83" s="15"/>
      <c r="BA83" s="7"/>
      <c r="BB83" s="7"/>
      <c r="BC83" s="7"/>
      <c r="BD83" s="7"/>
    </row>
    <row r="84" spans="28:56" ht="18" customHeight="1" x14ac:dyDescent="0.2">
      <c r="AB84" s="205" t="s">
        <v>293</v>
      </c>
      <c r="AC84" s="191"/>
      <c r="AD84" s="191"/>
      <c r="AE84" s="192"/>
      <c r="AF84" s="192"/>
      <c r="AG84" s="193"/>
      <c r="AH84" s="192"/>
      <c r="AI84" s="192"/>
      <c r="AJ84" s="192"/>
      <c r="AK84" s="192"/>
      <c r="AL84" s="194" t="e">
        <f>SUM(AI84:AK84)/AG84</f>
        <v>#DIV/0!</v>
      </c>
      <c r="AM84" s="192"/>
      <c r="AN84" s="192"/>
      <c r="AO84" s="195" t="e">
        <f>SUM(AM84:AN84)/AH84</f>
        <v>#DIV/0!</v>
      </c>
      <c r="AP84" s="192"/>
      <c r="AQ84" s="192"/>
      <c r="AR84" s="195" t="e">
        <f>(AP84+AQ84)/$AH84</f>
        <v>#DIV/0!</v>
      </c>
      <c r="AS84" s="192"/>
      <c r="AT84" s="192"/>
      <c r="AU84" s="195" t="e">
        <f>(AS84+AT84)/$AH84</f>
        <v>#DIV/0!</v>
      </c>
      <c r="AV84" s="192"/>
      <c r="AW84" s="192"/>
      <c r="AX84" s="195" t="e">
        <f>(AV84+AW84)/$AH84</f>
        <v>#DIV/0!</v>
      </c>
      <c r="AY84" s="196">
        <f>SUM(AM84,AP84,AS84,AV84)</f>
        <v>0</v>
      </c>
      <c r="AZ84" s="196">
        <f>SUM(AN84,AQ84,AT84,AW84)</f>
        <v>0</v>
      </c>
      <c r="BA84" s="196">
        <f>SUM(AY84:AZ84)</f>
        <v>0</v>
      </c>
      <c r="BB84" s="195">
        <f>(BA84+1)/(AH84+1)</f>
        <v>1</v>
      </c>
      <c r="BC84" s="138"/>
      <c r="BD84" s="138"/>
    </row>
    <row r="85" spans="28:56" ht="18" customHeight="1" x14ac:dyDescent="0.2">
      <c r="AB85" s="260" t="s">
        <v>295</v>
      </c>
      <c r="AC85" s="147"/>
      <c r="AD85" s="147"/>
      <c r="AE85" s="197"/>
      <c r="AF85" s="197"/>
      <c r="AG85" s="198"/>
      <c r="AH85" s="197"/>
      <c r="AI85" s="197"/>
      <c r="AJ85" s="197"/>
      <c r="AK85" s="197"/>
      <c r="AL85" s="261" t="e">
        <f t="shared" ref="AL85:AL86" si="173">SUM(AI85:AK85)/AG85</f>
        <v>#DIV/0!</v>
      </c>
      <c r="AM85" s="197"/>
      <c r="AN85" s="197"/>
      <c r="AO85" s="262" t="e">
        <f t="shared" ref="AO85:AO86" si="174">SUM(AM85:AN85)/AH85</f>
        <v>#DIV/0!</v>
      </c>
      <c r="AP85" s="197"/>
      <c r="AQ85" s="197"/>
      <c r="AR85" s="262" t="e">
        <f t="shared" ref="AR85:AR86" si="175">(AP85+AQ85)/$AH85</f>
        <v>#DIV/0!</v>
      </c>
      <c r="AS85" s="197"/>
      <c r="AT85" s="197"/>
      <c r="AU85" s="262" t="e">
        <f t="shared" ref="AU85:AU86" si="176">(AS85+AT85)/$AH85</f>
        <v>#DIV/0!</v>
      </c>
      <c r="AV85" s="197"/>
      <c r="AW85" s="197"/>
      <c r="AX85" s="262" t="e">
        <f t="shared" ref="AX85:AX86" si="177">(AV85+AW85)/$AH85</f>
        <v>#DIV/0!</v>
      </c>
      <c r="AY85" s="263">
        <f t="shared" ref="AY85:AZ86" si="178">SUM(AM85,AP85,AS85,AV85)</f>
        <v>0</v>
      </c>
      <c r="AZ85" s="263">
        <f t="shared" si="178"/>
        <v>0</v>
      </c>
      <c r="BA85" s="263">
        <f t="shared" ref="BA85:BA86" si="179">SUM(AY85:AZ85)</f>
        <v>0</v>
      </c>
      <c r="BB85" s="262">
        <f t="shared" ref="BB85:BB86" si="180">(BA85+1)/(AH85+1)</f>
        <v>1</v>
      </c>
      <c r="BC85" s="264"/>
      <c r="BD85" s="264"/>
    </row>
    <row r="86" spans="28:56" ht="18" customHeight="1" thickBot="1" x14ac:dyDescent="0.25">
      <c r="AB86" s="206" t="s">
        <v>296</v>
      </c>
      <c r="AC86" s="199"/>
      <c r="AD86" s="199"/>
      <c r="AE86" s="200"/>
      <c r="AF86" s="200"/>
      <c r="AG86" s="201"/>
      <c r="AH86" s="200"/>
      <c r="AI86" s="200"/>
      <c r="AJ86" s="200"/>
      <c r="AK86" s="200"/>
      <c r="AL86" s="202" t="e">
        <f t="shared" si="173"/>
        <v>#DIV/0!</v>
      </c>
      <c r="AM86" s="200"/>
      <c r="AN86" s="200"/>
      <c r="AO86" s="203" t="e">
        <f t="shared" si="174"/>
        <v>#DIV/0!</v>
      </c>
      <c r="AP86" s="200"/>
      <c r="AQ86" s="200"/>
      <c r="AR86" s="203" t="e">
        <f t="shared" si="175"/>
        <v>#DIV/0!</v>
      </c>
      <c r="AS86" s="200"/>
      <c r="AT86" s="200"/>
      <c r="AU86" s="203" t="e">
        <f t="shared" si="176"/>
        <v>#DIV/0!</v>
      </c>
      <c r="AV86" s="200"/>
      <c r="AW86" s="200"/>
      <c r="AX86" s="203" t="e">
        <f t="shared" si="177"/>
        <v>#DIV/0!</v>
      </c>
      <c r="AY86" s="204">
        <f t="shared" si="178"/>
        <v>0</v>
      </c>
      <c r="AZ86" s="204">
        <f t="shared" si="178"/>
        <v>0</v>
      </c>
      <c r="BA86" s="204">
        <f t="shared" si="179"/>
        <v>0</v>
      </c>
      <c r="BB86" s="203">
        <f t="shared" si="180"/>
        <v>1</v>
      </c>
      <c r="BC86" s="139"/>
      <c r="BD86" s="139"/>
    </row>
    <row r="87" spans="28:56" ht="18" customHeight="1" x14ac:dyDescent="0.2">
      <c r="AB87" s="7"/>
      <c r="AF87" s="14">
        <f>SUM(AF84:AF86)</f>
        <v>0</v>
      </c>
      <c r="AG87" s="14">
        <f>SUM(AG84:AG86)</f>
        <v>0</v>
      </c>
      <c r="AH87" s="14">
        <f t="shared" ref="AH87:AK87" si="181">SUM(AH84:AH86)</f>
        <v>0</v>
      </c>
      <c r="AI87" s="14">
        <f t="shared" si="181"/>
        <v>0</v>
      </c>
      <c r="AJ87" s="14">
        <f t="shared" si="181"/>
        <v>0</v>
      </c>
      <c r="AK87" s="14">
        <f t="shared" si="181"/>
        <v>0</v>
      </c>
      <c r="AL87" s="163"/>
      <c r="AM87" s="14">
        <f>SUM(AM84:AM86)</f>
        <v>0</v>
      </c>
      <c r="AN87" s="14">
        <f>SUM(AN84:AN86)</f>
        <v>0</v>
      </c>
      <c r="AO87" s="165"/>
      <c r="AP87" s="14">
        <f>SUM(AP84:AP86)</f>
        <v>0</v>
      </c>
      <c r="AQ87" s="14">
        <f>SUM(AQ84:AQ86)</f>
        <v>0</v>
      </c>
      <c r="AR87" s="165"/>
      <c r="AS87" s="14">
        <f>SUM(AS84:AS86)</f>
        <v>0</v>
      </c>
      <c r="AT87" s="14">
        <f>SUM(AT84:AT86)</f>
        <v>0</v>
      </c>
      <c r="AU87" s="165"/>
      <c r="AV87" s="14">
        <f>SUM(AV84:AV86)</f>
        <v>0</v>
      </c>
      <c r="AW87" s="14">
        <f>SUM(AW84:AW86)</f>
        <v>0</v>
      </c>
      <c r="AX87" s="165"/>
      <c r="AY87" s="14">
        <f>SUM(AY84:AY86)</f>
        <v>0</v>
      </c>
      <c r="AZ87" s="14">
        <f>SUM(AZ84:AZ86)</f>
        <v>0</v>
      </c>
      <c r="BA87" s="14">
        <f>SUM(AY87:AZ87)</f>
        <v>0</v>
      </c>
      <c r="BB87" s="137">
        <f>(BA87+1)/(AH87+1)</f>
        <v>1</v>
      </c>
      <c r="BC87" s="136"/>
      <c r="BD87" s="136"/>
    </row>
    <row r="88" spans="28:56" ht="18" customHeight="1" thickBot="1" x14ac:dyDescent="0.25">
      <c r="AB88" s="13" t="s">
        <v>323</v>
      </c>
      <c r="AC88" s="27"/>
      <c r="AD88" s="35"/>
      <c r="AE88" s="28"/>
      <c r="AF88" s="27"/>
      <c r="AG88" s="27"/>
      <c r="AH88" s="27"/>
      <c r="AI88" s="27"/>
      <c r="AJ88" s="27"/>
      <c r="AK88" s="36"/>
      <c r="AL88" s="9"/>
      <c r="AM88" s="35"/>
      <c r="AN88" s="35"/>
      <c r="AO88" s="7"/>
      <c r="AP88" s="27"/>
      <c r="AQ88" s="27"/>
      <c r="AR88" s="7"/>
      <c r="AS88" s="27"/>
      <c r="AT88" s="27"/>
      <c r="AU88" s="7"/>
      <c r="AV88" s="27"/>
      <c r="AW88" s="27"/>
      <c r="AX88" s="18"/>
      <c r="AY88" s="17"/>
      <c r="AZ88" s="15"/>
      <c r="BA88" s="7"/>
      <c r="BB88" s="7"/>
      <c r="BC88" s="7"/>
      <c r="BD88" s="7"/>
    </row>
    <row r="89" spans="28:56" ht="18" customHeight="1" x14ac:dyDescent="0.2">
      <c r="AB89" s="205" t="s">
        <v>293</v>
      </c>
      <c r="AC89" s="191"/>
      <c r="AD89" s="191"/>
      <c r="AE89" s="192"/>
      <c r="AF89" s="192"/>
      <c r="AG89" s="193"/>
      <c r="AH89" s="192"/>
      <c r="AI89" s="192"/>
      <c r="AJ89" s="192"/>
      <c r="AK89" s="192"/>
      <c r="AL89" s="194" t="e">
        <f>SUM(AI89:AK89)/AG89</f>
        <v>#DIV/0!</v>
      </c>
      <c r="AM89" s="192"/>
      <c r="AN89" s="192"/>
      <c r="AO89" s="195" t="e">
        <f>SUM(AM89:AN89)/AH89</f>
        <v>#DIV/0!</v>
      </c>
      <c r="AP89" s="192"/>
      <c r="AQ89" s="192"/>
      <c r="AR89" s="195" t="e">
        <f>(AP89+AQ89)/$AH89</f>
        <v>#DIV/0!</v>
      </c>
      <c r="AS89" s="192"/>
      <c r="AT89" s="192"/>
      <c r="AU89" s="195" t="e">
        <f>(AS89+AT89)/$AH89</f>
        <v>#DIV/0!</v>
      </c>
      <c r="AV89" s="192"/>
      <c r="AW89" s="192"/>
      <c r="AX89" s="195" t="e">
        <f>(AV89+AW89)/$AH89</f>
        <v>#DIV/0!</v>
      </c>
      <c r="AY89" s="196">
        <f>SUM(AM89,AP89,AS89,AV89)</f>
        <v>0</v>
      </c>
      <c r="AZ89" s="196">
        <f>SUM(AN89,AQ89,AT89,AW89)</f>
        <v>0</v>
      </c>
      <c r="BA89" s="196">
        <f>SUM(AY89:AZ89)</f>
        <v>0</v>
      </c>
      <c r="BB89" s="195">
        <f>(BA89+1)/(AH89+1)</f>
        <v>1</v>
      </c>
      <c r="BC89" s="138"/>
      <c r="BD89" s="138"/>
    </row>
    <row r="90" spans="28:56" ht="18" customHeight="1" x14ac:dyDescent="0.2">
      <c r="AB90" s="260" t="s">
        <v>295</v>
      </c>
      <c r="AC90" s="147"/>
      <c r="AD90" s="147"/>
      <c r="AE90" s="197"/>
      <c r="AF90" s="197"/>
      <c r="AG90" s="198"/>
      <c r="AH90" s="197"/>
      <c r="AI90" s="197"/>
      <c r="AJ90" s="197"/>
      <c r="AK90" s="197"/>
      <c r="AL90" s="261" t="e">
        <f t="shared" ref="AL90:AL91" si="182">SUM(AI90:AK90)/AG90</f>
        <v>#DIV/0!</v>
      </c>
      <c r="AM90" s="197"/>
      <c r="AN90" s="197"/>
      <c r="AO90" s="262" t="e">
        <f t="shared" ref="AO90:AO91" si="183">SUM(AM90:AN90)/AH90</f>
        <v>#DIV/0!</v>
      </c>
      <c r="AP90" s="197"/>
      <c r="AQ90" s="197"/>
      <c r="AR90" s="262" t="e">
        <f t="shared" ref="AR90:AR91" si="184">(AP90+AQ90)/$AH90</f>
        <v>#DIV/0!</v>
      </c>
      <c r="AS90" s="197"/>
      <c r="AT90" s="197"/>
      <c r="AU90" s="262" t="e">
        <f t="shared" ref="AU90:AU91" si="185">(AS90+AT90)/$AH90</f>
        <v>#DIV/0!</v>
      </c>
      <c r="AV90" s="197"/>
      <c r="AW90" s="197"/>
      <c r="AX90" s="262" t="e">
        <f t="shared" ref="AX90:AX91" si="186">(AV90+AW90)/$AH90</f>
        <v>#DIV/0!</v>
      </c>
      <c r="AY90" s="263">
        <f t="shared" ref="AY90:AZ91" si="187">SUM(AM90,AP90,AS90,AV90)</f>
        <v>0</v>
      </c>
      <c r="AZ90" s="263">
        <f t="shared" si="187"/>
        <v>0</v>
      </c>
      <c r="BA90" s="263">
        <f t="shared" ref="BA90:BA91" si="188">SUM(AY90:AZ90)</f>
        <v>0</v>
      </c>
      <c r="BB90" s="262">
        <f t="shared" ref="BB90:BB91" si="189">(BA90+1)/(AH90+1)</f>
        <v>1</v>
      </c>
      <c r="BC90" s="264"/>
      <c r="BD90" s="264"/>
    </row>
    <row r="91" spans="28:56" ht="18" customHeight="1" thickBot="1" x14ac:dyDescent="0.25">
      <c r="AB91" s="206" t="s">
        <v>296</v>
      </c>
      <c r="AC91" s="199"/>
      <c r="AD91" s="199"/>
      <c r="AE91" s="200"/>
      <c r="AF91" s="200"/>
      <c r="AG91" s="201"/>
      <c r="AH91" s="200"/>
      <c r="AI91" s="200"/>
      <c r="AJ91" s="200"/>
      <c r="AK91" s="200"/>
      <c r="AL91" s="202" t="e">
        <f t="shared" si="182"/>
        <v>#DIV/0!</v>
      </c>
      <c r="AM91" s="200"/>
      <c r="AN91" s="200"/>
      <c r="AO91" s="203" t="e">
        <f t="shared" si="183"/>
        <v>#DIV/0!</v>
      </c>
      <c r="AP91" s="200"/>
      <c r="AQ91" s="200"/>
      <c r="AR91" s="203" t="e">
        <f t="shared" si="184"/>
        <v>#DIV/0!</v>
      </c>
      <c r="AS91" s="200"/>
      <c r="AT91" s="200"/>
      <c r="AU91" s="203" t="e">
        <f t="shared" si="185"/>
        <v>#DIV/0!</v>
      </c>
      <c r="AV91" s="200"/>
      <c r="AW91" s="200"/>
      <c r="AX91" s="203" t="e">
        <f t="shared" si="186"/>
        <v>#DIV/0!</v>
      </c>
      <c r="AY91" s="204">
        <f t="shared" si="187"/>
        <v>0</v>
      </c>
      <c r="AZ91" s="204">
        <f t="shared" si="187"/>
        <v>0</v>
      </c>
      <c r="BA91" s="204">
        <f t="shared" si="188"/>
        <v>0</v>
      </c>
      <c r="BB91" s="203">
        <f t="shared" si="189"/>
        <v>1</v>
      </c>
      <c r="BC91" s="139"/>
      <c r="BD91" s="139"/>
    </row>
    <row r="92" spans="28:56" ht="18" customHeight="1" x14ac:dyDescent="0.2">
      <c r="AB92" s="7"/>
      <c r="AF92" s="14">
        <f>SUM(AF89:AF91)</f>
        <v>0</v>
      </c>
      <c r="AG92" s="14">
        <f>SUM(AG89:AG91)</f>
        <v>0</v>
      </c>
      <c r="AH92" s="14">
        <f t="shared" ref="AH92:AK92" si="190">SUM(AH89:AH91)</f>
        <v>0</v>
      </c>
      <c r="AI92" s="14">
        <f t="shared" si="190"/>
        <v>0</v>
      </c>
      <c r="AJ92" s="14">
        <f t="shared" si="190"/>
        <v>0</v>
      </c>
      <c r="AK92" s="14">
        <f t="shared" si="190"/>
        <v>0</v>
      </c>
      <c r="AL92" s="163"/>
      <c r="AM92" s="14">
        <f>SUM(AM89:AM91)</f>
        <v>0</v>
      </c>
      <c r="AN92" s="14">
        <f>SUM(AN89:AN91)</f>
        <v>0</v>
      </c>
      <c r="AO92" s="165"/>
      <c r="AP92" s="14">
        <f>SUM(AP89:AP91)</f>
        <v>0</v>
      </c>
      <c r="AQ92" s="14">
        <f>SUM(AQ89:AQ91)</f>
        <v>0</v>
      </c>
      <c r="AR92" s="165"/>
      <c r="AS92" s="14">
        <f>SUM(AS89:AS91)</f>
        <v>0</v>
      </c>
      <c r="AT92" s="14">
        <f>SUM(AT89:AT91)</f>
        <v>0</v>
      </c>
      <c r="AU92" s="165"/>
      <c r="AV92" s="14">
        <f>SUM(AV89:AV91)</f>
        <v>0</v>
      </c>
      <c r="AW92" s="14">
        <f>SUM(AW89:AW91)</f>
        <v>0</v>
      </c>
      <c r="AX92" s="165"/>
      <c r="AY92" s="14">
        <f>SUM(AY89:AY91)</f>
        <v>0</v>
      </c>
      <c r="AZ92" s="14">
        <f>SUM(AZ89:AZ91)</f>
        <v>0</v>
      </c>
      <c r="BA92" s="14">
        <f>SUM(AY92:AZ92)</f>
        <v>0</v>
      </c>
      <c r="BB92" s="137">
        <f>(BA92+1)/(AH92+1)</f>
        <v>1</v>
      </c>
      <c r="BC92" s="136"/>
      <c r="BD92" s="136"/>
    </row>
    <row r="93" spans="28:56" ht="18" customHeight="1" thickBot="1" x14ac:dyDescent="0.25">
      <c r="AB93" s="13" t="s">
        <v>324</v>
      </c>
      <c r="AC93" s="27"/>
      <c r="AD93" s="35"/>
      <c r="AE93" s="28"/>
      <c r="AF93" s="27"/>
      <c r="AG93" s="27"/>
      <c r="AH93" s="27"/>
      <c r="AI93" s="27"/>
      <c r="AJ93" s="27"/>
      <c r="AK93" s="36"/>
      <c r="AL93" s="9"/>
      <c r="AM93" s="35"/>
      <c r="AN93" s="35"/>
      <c r="AO93" s="7"/>
      <c r="AP93" s="27"/>
      <c r="AQ93" s="27"/>
      <c r="AR93" s="7"/>
      <c r="AS93" s="27"/>
      <c r="AT93" s="27"/>
      <c r="AU93" s="7"/>
      <c r="AV93" s="27"/>
      <c r="AW93" s="27"/>
      <c r="AX93" s="18"/>
      <c r="AY93" s="17"/>
      <c r="AZ93" s="15"/>
      <c r="BA93" s="7"/>
      <c r="BB93" s="7"/>
      <c r="BC93" s="7"/>
      <c r="BD93" s="7"/>
    </row>
    <row r="94" spans="28:56" ht="18" customHeight="1" x14ac:dyDescent="0.2">
      <c r="AB94" s="205" t="s">
        <v>293</v>
      </c>
      <c r="AC94" s="191"/>
      <c r="AD94" s="191"/>
      <c r="AE94" s="192"/>
      <c r="AF94" s="192"/>
      <c r="AG94" s="193"/>
      <c r="AH94" s="192"/>
      <c r="AI94" s="192"/>
      <c r="AJ94" s="192"/>
      <c r="AK94" s="192"/>
      <c r="AL94" s="194" t="e">
        <f>SUM(AI94:AK94)/AG94</f>
        <v>#DIV/0!</v>
      </c>
      <c r="AM94" s="192"/>
      <c r="AN94" s="192"/>
      <c r="AO94" s="195" t="e">
        <f>SUM(AM94:AN94)/AH94</f>
        <v>#DIV/0!</v>
      </c>
      <c r="AP94" s="192"/>
      <c r="AQ94" s="192"/>
      <c r="AR94" s="195" t="e">
        <f>(AP94+AQ94)/$AH94</f>
        <v>#DIV/0!</v>
      </c>
      <c r="AS94" s="192"/>
      <c r="AT94" s="192"/>
      <c r="AU94" s="195" t="e">
        <f>(AS94+AT94)/$AH94</f>
        <v>#DIV/0!</v>
      </c>
      <c r="AV94" s="192"/>
      <c r="AW94" s="192"/>
      <c r="AX94" s="195" t="e">
        <f>(AV94+AW94)/$AH94</f>
        <v>#DIV/0!</v>
      </c>
      <c r="AY94" s="196">
        <f>SUM(AM94,AP94,AS94,AV94)</f>
        <v>0</v>
      </c>
      <c r="AZ94" s="196">
        <f>SUM(AN94,AQ94,AT94,AW94)</f>
        <v>0</v>
      </c>
      <c r="BA94" s="196">
        <f>SUM(AY94:AZ94)</f>
        <v>0</v>
      </c>
      <c r="BB94" s="195">
        <f>(BA94+1)/(AH94+1)</f>
        <v>1</v>
      </c>
      <c r="BC94" s="138"/>
      <c r="BD94" s="138"/>
    </row>
    <row r="95" spans="28:56" ht="18" customHeight="1" x14ac:dyDescent="0.2">
      <c r="AB95" s="260" t="s">
        <v>295</v>
      </c>
      <c r="AC95" s="147"/>
      <c r="AD95" s="147"/>
      <c r="AE95" s="197"/>
      <c r="AF95" s="197"/>
      <c r="AG95" s="198"/>
      <c r="AH95" s="197"/>
      <c r="AI95" s="197"/>
      <c r="AJ95" s="197"/>
      <c r="AK95" s="197"/>
      <c r="AL95" s="261" t="e">
        <f t="shared" ref="AL95:AL96" si="191">SUM(AI95:AK95)/AG95</f>
        <v>#DIV/0!</v>
      </c>
      <c r="AM95" s="197"/>
      <c r="AN95" s="197"/>
      <c r="AO95" s="262" t="e">
        <f t="shared" ref="AO95:AO96" si="192">SUM(AM95:AN95)/AH95</f>
        <v>#DIV/0!</v>
      </c>
      <c r="AP95" s="197"/>
      <c r="AQ95" s="197"/>
      <c r="AR95" s="262" t="e">
        <f t="shared" ref="AR95:AR96" si="193">(AP95+AQ95)/$AH95</f>
        <v>#DIV/0!</v>
      </c>
      <c r="AS95" s="197"/>
      <c r="AT95" s="197"/>
      <c r="AU95" s="262" t="e">
        <f t="shared" ref="AU95:AU96" si="194">(AS95+AT95)/$AH95</f>
        <v>#DIV/0!</v>
      </c>
      <c r="AV95" s="197"/>
      <c r="AW95" s="197"/>
      <c r="AX95" s="262" t="e">
        <f t="shared" ref="AX95:AX96" si="195">(AV95+AW95)/$AH95</f>
        <v>#DIV/0!</v>
      </c>
      <c r="AY95" s="263">
        <f t="shared" ref="AY95:AZ96" si="196">SUM(AM95,AP95,AS95,AV95)</f>
        <v>0</v>
      </c>
      <c r="AZ95" s="263">
        <f t="shared" si="196"/>
        <v>0</v>
      </c>
      <c r="BA95" s="263">
        <f t="shared" ref="BA95:BA96" si="197">SUM(AY95:AZ95)</f>
        <v>0</v>
      </c>
      <c r="BB95" s="262">
        <f t="shared" ref="BB95:BB96" si="198">(BA95+1)/(AH95+1)</f>
        <v>1</v>
      </c>
      <c r="BC95" s="264"/>
      <c r="BD95" s="264"/>
    </row>
    <row r="96" spans="28:56" ht="18" customHeight="1" thickBot="1" x14ac:dyDescent="0.25">
      <c r="AB96" s="206" t="s">
        <v>296</v>
      </c>
      <c r="AC96" s="199"/>
      <c r="AD96" s="199"/>
      <c r="AE96" s="200"/>
      <c r="AF96" s="200"/>
      <c r="AG96" s="201"/>
      <c r="AH96" s="200"/>
      <c r="AI96" s="200"/>
      <c r="AJ96" s="200"/>
      <c r="AK96" s="200"/>
      <c r="AL96" s="202" t="e">
        <f t="shared" si="191"/>
        <v>#DIV/0!</v>
      </c>
      <c r="AM96" s="200"/>
      <c r="AN96" s="200"/>
      <c r="AO96" s="203" t="e">
        <f t="shared" si="192"/>
        <v>#DIV/0!</v>
      </c>
      <c r="AP96" s="200"/>
      <c r="AQ96" s="200"/>
      <c r="AR96" s="203" t="e">
        <f t="shared" si="193"/>
        <v>#DIV/0!</v>
      </c>
      <c r="AS96" s="200"/>
      <c r="AT96" s="200"/>
      <c r="AU96" s="203" t="e">
        <f t="shared" si="194"/>
        <v>#DIV/0!</v>
      </c>
      <c r="AV96" s="200"/>
      <c r="AW96" s="200"/>
      <c r="AX96" s="203" t="e">
        <f t="shared" si="195"/>
        <v>#DIV/0!</v>
      </c>
      <c r="AY96" s="204">
        <f t="shared" si="196"/>
        <v>0</v>
      </c>
      <c r="AZ96" s="204">
        <f t="shared" si="196"/>
        <v>0</v>
      </c>
      <c r="BA96" s="204">
        <f t="shared" si="197"/>
        <v>0</v>
      </c>
      <c r="BB96" s="203">
        <f t="shared" si="198"/>
        <v>1</v>
      </c>
      <c r="BC96" s="139"/>
      <c r="BD96" s="139"/>
    </row>
    <row r="97" spans="28:56" ht="18" customHeight="1" x14ac:dyDescent="0.2">
      <c r="AB97" s="7"/>
      <c r="AF97" s="14">
        <f>SUM(AF94:AF96)</f>
        <v>0</v>
      </c>
      <c r="AG97" s="14">
        <f>SUM(AG94:AG96)</f>
        <v>0</v>
      </c>
      <c r="AH97" s="14">
        <f t="shared" ref="AH97:AK97" si="199">SUM(AH94:AH96)</f>
        <v>0</v>
      </c>
      <c r="AI97" s="14">
        <f t="shared" si="199"/>
        <v>0</v>
      </c>
      <c r="AJ97" s="14">
        <f t="shared" si="199"/>
        <v>0</v>
      </c>
      <c r="AK97" s="14">
        <f t="shared" si="199"/>
        <v>0</v>
      </c>
      <c r="AL97" s="163"/>
      <c r="AM97" s="14">
        <f>SUM(AM94:AM96)</f>
        <v>0</v>
      </c>
      <c r="AN97" s="14">
        <f>SUM(AN94:AN96)</f>
        <v>0</v>
      </c>
      <c r="AO97" s="165"/>
      <c r="AP97" s="14">
        <f>SUM(AP94:AP96)</f>
        <v>0</v>
      </c>
      <c r="AQ97" s="14">
        <f>SUM(AQ94:AQ96)</f>
        <v>0</v>
      </c>
      <c r="AR97" s="165"/>
      <c r="AS97" s="14">
        <f>SUM(AS94:AS96)</f>
        <v>0</v>
      </c>
      <c r="AT97" s="14">
        <f>SUM(AT94:AT96)</f>
        <v>0</v>
      </c>
      <c r="AU97" s="165"/>
      <c r="AV97" s="14">
        <f>SUM(AV94:AV96)</f>
        <v>0</v>
      </c>
      <c r="AW97" s="14">
        <f>SUM(AW94:AW96)</f>
        <v>0</v>
      </c>
      <c r="AX97" s="165"/>
      <c r="AY97" s="14">
        <f>SUM(AY94:AY96)</f>
        <v>0</v>
      </c>
      <c r="AZ97" s="14">
        <f>SUM(AZ94:AZ96)</f>
        <v>0</v>
      </c>
      <c r="BA97" s="14">
        <f>SUM(AY97:AZ97)</f>
        <v>0</v>
      </c>
      <c r="BB97" s="137">
        <f>(BA97+1)/(AH97+1)</f>
        <v>1</v>
      </c>
      <c r="BC97" s="136"/>
      <c r="BD97" s="136"/>
    </row>
    <row r="98" spans="28:56" ht="18" customHeight="1" thickBot="1" x14ac:dyDescent="0.25">
      <c r="AB98" s="13" t="s">
        <v>325</v>
      </c>
      <c r="AC98" s="27"/>
      <c r="AD98" s="35"/>
      <c r="AE98" s="28"/>
      <c r="AF98" s="27"/>
      <c r="AG98" s="27"/>
      <c r="AH98" s="27"/>
      <c r="AI98" s="27"/>
      <c r="AJ98" s="27"/>
      <c r="AK98" s="36"/>
      <c r="AL98" s="9"/>
      <c r="AM98" s="35"/>
      <c r="AN98" s="35"/>
      <c r="AO98" s="7"/>
      <c r="AP98" s="27"/>
      <c r="AQ98" s="27"/>
      <c r="AR98" s="7"/>
      <c r="AS98" s="27"/>
      <c r="AT98" s="27"/>
      <c r="AU98" s="7"/>
      <c r="AV98" s="27"/>
      <c r="AW98" s="27"/>
      <c r="AX98" s="18"/>
      <c r="AY98" s="17"/>
      <c r="AZ98" s="15"/>
      <c r="BA98" s="7"/>
      <c r="BB98" s="7"/>
      <c r="BC98" s="7"/>
      <c r="BD98" s="7"/>
    </row>
    <row r="99" spans="28:56" ht="18" customHeight="1" x14ac:dyDescent="0.2">
      <c r="AB99" s="205" t="s">
        <v>293</v>
      </c>
      <c r="AC99" s="191"/>
      <c r="AD99" s="191"/>
      <c r="AE99" s="192"/>
      <c r="AF99" s="192"/>
      <c r="AG99" s="193"/>
      <c r="AH99" s="192"/>
      <c r="AI99" s="192"/>
      <c r="AJ99" s="192"/>
      <c r="AK99" s="192"/>
      <c r="AL99" s="194" t="e">
        <f>SUM(AI99:AK99)/AG99</f>
        <v>#DIV/0!</v>
      </c>
      <c r="AM99" s="192"/>
      <c r="AN99" s="192"/>
      <c r="AO99" s="195" t="e">
        <f>SUM(AM99:AN99)/AH99</f>
        <v>#DIV/0!</v>
      </c>
      <c r="AP99" s="192"/>
      <c r="AQ99" s="192"/>
      <c r="AR99" s="195" t="e">
        <f>(AP99+AQ99)/$AH99</f>
        <v>#DIV/0!</v>
      </c>
      <c r="AS99" s="192"/>
      <c r="AT99" s="192"/>
      <c r="AU99" s="195" t="e">
        <f>(AS99+AT99)/$AH99</f>
        <v>#DIV/0!</v>
      </c>
      <c r="AV99" s="192"/>
      <c r="AW99" s="192"/>
      <c r="AX99" s="195" t="e">
        <f>(AV99+AW99)/$AH99</f>
        <v>#DIV/0!</v>
      </c>
      <c r="AY99" s="196">
        <f>SUM(AM99,AP99,AS99,AV99)</f>
        <v>0</v>
      </c>
      <c r="AZ99" s="196">
        <f>SUM(AN99,AQ99,AT99,AW99)</f>
        <v>0</v>
      </c>
      <c r="BA99" s="196">
        <f>SUM(AY99:AZ99)</f>
        <v>0</v>
      </c>
      <c r="BB99" s="195">
        <f>(BA99+1)/(AH99+1)</f>
        <v>1</v>
      </c>
      <c r="BC99" s="138"/>
      <c r="BD99" s="138"/>
    </row>
    <row r="100" spans="28:56" ht="18" customHeight="1" x14ac:dyDescent="0.2">
      <c r="AB100" s="260" t="s">
        <v>295</v>
      </c>
      <c r="AC100" s="147"/>
      <c r="AD100" s="147"/>
      <c r="AE100" s="197"/>
      <c r="AF100" s="197"/>
      <c r="AG100" s="198"/>
      <c r="AH100" s="197"/>
      <c r="AI100" s="197"/>
      <c r="AJ100" s="197"/>
      <c r="AK100" s="197"/>
      <c r="AL100" s="261" t="e">
        <f t="shared" ref="AL100:AL101" si="200">SUM(AI100:AK100)/AG100</f>
        <v>#DIV/0!</v>
      </c>
      <c r="AM100" s="197"/>
      <c r="AN100" s="197"/>
      <c r="AO100" s="262" t="e">
        <f t="shared" ref="AO100:AO101" si="201">SUM(AM100:AN100)/AH100</f>
        <v>#DIV/0!</v>
      </c>
      <c r="AP100" s="197"/>
      <c r="AQ100" s="197"/>
      <c r="AR100" s="262" t="e">
        <f t="shared" ref="AR100:AR101" si="202">(AP100+AQ100)/$AH100</f>
        <v>#DIV/0!</v>
      </c>
      <c r="AS100" s="197"/>
      <c r="AT100" s="197"/>
      <c r="AU100" s="262" t="e">
        <f t="shared" ref="AU100:AU101" si="203">(AS100+AT100)/$AH100</f>
        <v>#DIV/0!</v>
      </c>
      <c r="AV100" s="197"/>
      <c r="AW100" s="197"/>
      <c r="AX100" s="262" t="e">
        <f t="shared" ref="AX100:AX101" si="204">(AV100+AW100)/$AH100</f>
        <v>#DIV/0!</v>
      </c>
      <c r="AY100" s="263">
        <f t="shared" ref="AY100:AZ101" si="205">SUM(AM100,AP100,AS100,AV100)</f>
        <v>0</v>
      </c>
      <c r="AZ100" s="263">
        <f t="shared" si="205"/>
        <v>0</v>
      </c>
      <c r="BA100" s="263">
        <f t="shared" ref="BA100:BA101" si="206">SUM(AY100:AZ100)</f>
        <v>0</v>
      </c>
      <c r="BB100" s="262">
        <f t="shared" ref="BB100:BB101" si="207">(BA100+1)/(AH100+1)</f>
        <v>1</v>
      </c>
      <c r="BC100" s="264"/>
      <c r="BD100" s="264"/>
    </row>
    <row r="101" spans="28:56" ht="18" customHeight="1" thickBot="1" x14ac:dyDescent="0.25">
      <c r="AB101" s="206" t="s">
        <v>296</v>
      </c>
      <c r="AC101" s="199"/>
      <c r="AD101" s="199"/>
      <c r="AE101" s="200"/>
      <c r="AF101" s="200"/>
      <c r="AG101" s="201"/>
      <c r="AH101" s="200"/>
      <c r="AI101" s="200"/>
      <c r="AJ101" s="200"/>
      <c r="AK101" s="200"/>
      <c r="AL101" s="202" t="e">
        <f t="shared" si="200"/>
        <v>#DIV/0!</v>
      </c>
      <c r="AM101" s="200"/>
      <c r="AN101" s="200"/>
      <c r="AO101" s="203" t="e">
        <f t="shared" si="201"/>
        <v>#DIV/0!</v>
      </c>
      <c r="AP101" s="200"/>
      <c r="AQ101" s="200"/>
      <c r="AR101" s="203" t="e">
        <f t="shared" si="202"/>
        <v>#DIV/0!</v>
      </c>
      <c r="AS101" s="200"/>
      <c r="AT101" s="200"/>
      <c r="AU101" s="203" t="e">
        <f t="shared" si="203"/>
        <v>#DIV/0!</v>
      </c>
      <c r="AV101" s="200"/>
      <c r="AW101" s="200"/>
      <c r="AX101" s="203" t="e">
        <f t="shared" si="204"/>
        <v>#DIV/0!</v>
      </c>
      <c r="AY101" s="204">
        <f t="shared" si="205"/>
        <v>0</v>
      </c>
      <c r="AZ101" s="204">
        <f t="shared" si="205"/>
        <v>0</v>
      </c>
      <c r="BA101" s="204">
        <f t="shared" si="206"/>
        <v>0</v>
      </c>
      <c r="BB101" s="203">
        <f t="shared" si="207"/>
        <v>1</v>
      </c>
      <c r="BC101" s="139"/>
      <c r="BD101" s="139"/>
    </row>
    <row r="102" spans="28:56" ht="18" customHeight="1" x14ac:dyDescent="0.2">
      <c r="AB102" s="7"/>
      <c r="AF102" s="14">
        <f>SUM(AF99:AF101)</f>
        <v>0</v>
      </c>
      <c r="AG102" s="14">
        <f>SUM(AG99:AG101)</f>
        <v>0</v>
      </c>
      <c r="AH102" s="14">
        <f t="shared" ref="AH102:AK102" si="208">SUM(AH99:AH101)</f>
        <v>0</v>
      </c>
      <c r="AI102" s="14">
        <f t="shared" si="208"/>
        <v>0</v>
      </c>
      <c r="AJ102" s="14">
        <f t="shared" si="208"/>
        <v>0</v>
      </c>
      <c r="AK102" s="14">
        <f t="shared" si="208"/>
        <v>0</v>
      </c>
      <c r="AL102" s="163"/>
      <c r="AM102" s="14">
        <f>SUM(AM99:AM101)</f>
        <v>0</v>
      </c>
      <c r="AN102" s="14">
        <f>SUM(AN99:AN101)</f>
        <v>0</v>
      </c>
      <c r="AO102" s="165"/>
      <c r="AP102" s="14">
        <f>SUM(AP99:AP101)</f>
        <v>0</v>
      </c>
      <c r="AQ102" s="14">
        <f>SUM(AQ99:AQ101)</f>
        <v>0</v>
      </c>
      <c r="AR102" s="165"/>
      <c r="AS102" s="14">
        <f>SUM(AS99:AS101)</f>
        <v>0</v>
      </c>
      <c r="AT102" s="14">
        <f>SUM(AT99:AT101)</f>
        <v>0</v>
      </c>
      <c r="AU102" s="165"/>
      <c r="AV102" s="14">
        <f>SUM(AV99:AV101)</f>
        <v>0</v>
      </c>
      <c r="AW102" s="14">
        <f>SUM(AW99:AW101)</f>
        <v>0</v>
      </c>
      <c r="AX102" s="165"/>
      <c r="AY102" s="14">
        <f>SUM(AY99:AY101)</f>
        <v>0</v>
      </c>
      <c r="AZ102" s="14">
        <f>SUM(AZ99:AZ101)</f>
        <v>0</v>
      </c>
      <c r="BA102" s="14">
        <f>SUM(AY102:AZ102)</f>
        <v>0</v>
      </c>
      <c r="BB102" s="137">
        <f>(BA102+1)/(AH102+1)</f>
        <v>1</v>
      </c>
      <c r="BC102" s="136"/>
      <c r="BD102" s="136"/>
    </row>
  </sheetData>
  <protectedRanges>
    <protectedRange sqref="D3:D5" name="Range1_1_1_2"/>
    <protectedRange sqref="B3:C5" name="Range1_1_2_1"/>
    <protectedRange sqref="D7:D22" name="Range1_2_1"/>
    <protectedRange sqref="B7:C22" name="Range1_1_1_1_1"/>
    <protectedRange sqref="E9:K22" name="Range1_2_3_1"/>
    <protectedRange sqref="E3:K7" name="Range1_4_1"/>
    <protectedRange sqref="AC4:AK6 AC9:AK11 AC14:AK16 AC19:AK21 AC24:AK26 AC29:AK31 AC34:AK36 AC39:AK41 AC44:AK46 AC49:AK51 AC59:AK61 AC64:AK66 AC69:AK71 AC74:AK76 AC79:AK81 AC84:AK86 AC89:AK91 AC94:AK96 AC99:AK101 B6:D6 AC54:AK56" name="Range2_12_3_1"/>
    <protectedRange sqref="AM4:AN6 AM9:AN11 AM14:AN16 AM19:AN21 AM24:AN26 AM29:AN31 AM34:AN36 AM39:AN41 AM44:AN46 AM49:AN51 AM54:AN56 AM59:AN61 AM64:AN66 AM69:AN71 AM74:AN76 AM79:AN81 AM84:AN86 AM89:AN91 AM94:AN96 AM99:AN101" name="Range3_12_3_1"/>
    <protectedRange sqref="AP4:AQ6 AP9:AQ11 AP14:AQ16 AP19:AQ21 AP24:AQ26 AP29:AQ31 AP34:AQ36 AP39:AQ41 AP44:AQ46 AP49:AQ51 AP54:AQ56 AP59:AQ61 AP64:AQ66 AP69:AQ71 AP74:AQ76 AP79:AQ81 AP84:AQ86 AP89:AQ91 AP94:AQ96 AP99:AQ101" name="Range4_12_3_1"/>
    <protectedRange sqref="AS4:AT6 AS9:AT11 AS14:AT16 AS19:AT21 AS24:AT26 AS29:AT31 AS34:AT36 AS39:AT41 AS44:AT46 AS49:AT51 AS54:AT56 AS59:AT61 AS64:AT66 AS69:AT71 AS74:AT76 AS79:AT81 AS84:AT86 AS89:AT91 AS94:AT96 AS99:AT101" name="Range5_12_3_1"/>
    <protectedRange sqref="AV4:AW6 AV9:AW11 AV14:AW16 AV19:AW21 AV24:AW26 AV29:AW31 AV34:AW36 AV39:AW41 AV44:AW46 AV49:AW51 AV54:AW56 AV59:AW61 AV64:AW66 AV69:AW71 AV74:AW76 AV79:AW81 AV84:AW86 AV89:AW91 AV94:AW96 AV99:AW101" name="Range6_12_3_1"/>
  </protectedRanges>
  <mergeCells count="1">
    <mergeCell ref="I30:J30"/>
  </mergeCells>
  <pageMargins left="0.75" right="0.75" top="1" bottom="1" header="0.5" footer="0.5"/>
  <pageSetup orientation="portrait" r:id="rId1"/>
  <headerFooter alignWithMargins="0"/>
  <ignoredErrors>
    <ignoredError sqref="E6:U11 G3:M3 G4:M4 O3 O4:U4 E5:M5 O5:U5 Q3 S3 U3 E15:U22 G13:U13 F12:U12 E12:E13 H14 K14:M14 O14 Q14:U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H102"/>
  <sheetViews>
    <sheetView zoomScale="90" zoomScaleNormal="90" zoomScaleSheetLayoutView="80" workbookViewId="0">
      <pane xSplit="2" ySplit="1" topLeftCell="C28" activePane="bottomRight" state="frozen"/>
      <selection pane="topRight" activeCell="C1" sqref="C1"/>
      <selection pane="bottomLeft" activeCell="A3" sqref="A3"/>
      <selection pane="bottomRight" activeCell="Y53" sqref="Y53"/>
    </sheetView>
  </sheetViews>
  <sheetFormatPr defaultColWidth="5.42578125" defaultRowHeight="18" customHeight="1" x14ac:dyDescent="0.2"/>
  <cols>
    <col min="1" max="1" width="4.85546875" style="37" bestFit="1" customWidth="1"/>
    <col min="2" max="2" width="8.42578125" style="37" bestFit="1" customWidth="1"/>
    <col min="3" max="3" width="8.7109375" style="37" bestFit="1" customWidth="1"/>
    <col min="4" max="4" width="3.5703125" style="27" bestFit="1" customWidth="1"/>
    <col min="5" max="5" width="6" style="27" bestFit="1" customWidth="1"/>
    <col min="6" max="6" width="6.85546875" style="37" customWidth="1"/>
    <col min="7" max="7" width="6" style="41" bestFit="1" customWidth="1"/>
    <col min="8" max="8" width="3.5703125" style="27" bestFit="1" customWidth="1"/>
    <col min="9" max="9" width="11.85546875" style="27" customWidth="1"/>
    <col min="10" max="10" width="13.140625" style="39" bestFit="1" customWidth="1"/>
    <col min="11" max="11" width="8.5703125" style="37" bestFit="1" customWidth="1"/>
    <col min="12" max="12" width="3.5703125" style="37" bestFit="1" customWidth="1"/>
    <col min="13" max="13" width="7" style="27" bestFit="1" customWidth="1"/>
    <col min="14" max="14" width="4.5703125" style="37" customWidth="1"/>
    <col min="15" max="15" width="7" style="27" bestFit="1" customWidth="1"/>
    <col min="16" max="16" width="3.85546875" style="37" bestFit="1" customWidth="1"/>
    <col min="17" max="17" width="7" style="27" bestFit="1" customWidth="1"/>
    <col min="18" max="18" width="7.42578125" style="37" bestFit="1" customWidth="1"/>
    <col min="19" max="19" width="7" style="27" bestFit="1" customWidth="1"/>
    <col min="20" max="20" width="3.85546875" style="50" bestFit="1" customWidth="1"/>
    <col min="21" max="21" width="7.7109375" style="50" bestFit="1" customWidth="1"/>
    <col min="22" max="22" width="3.85546875" style="50" bestFit="1" customWidth="1"/>
    <col min="23" max="23" width="5" style="50" customWidth="1"/>
    <col min="24" max="24" width="8.5703125" style="50" customWidth="1"/>
    <col min="25" max="26" width="8.85546875" style="27" bestFit="1" customWidth="1"/>
    <col min="27" max="27" width="6" style="27" bestFit="1" customWidth="1"/>
    <col min="28" max="28" width="11.28515625" style="27" customWidth="1"/>
    <col min="29" max="30" width="8.7109375" style="27" bestFit="1" customWidth="1"/>
    <col min="31" max="31" width="3.5703125" style="27" bestFit="1" customWidth="1"/>
    <col min="32" max="34" width="5.85546875" style="27" bestFit="1" customWidth="1"/>
    <col min="35" max="36" width="3.5703125" style="27" bestFit="1" customWidth="1"/>
    <col min="37" max="37" width="3.5703125" style="28" bestFit="1" customWidth="1"/>
    <col min="38" max="38" width="7.28515625" style="29" bestFit="1" customWidth="1"/>
    <col min="39" max="39" width="5.85546875" style="30" bestFit="1" customWidth="1"/>
    <col min="40" max="40" width="6" style="30" bestFit="1" customWidth="1"/>
    <col min="41" max="41" width="7.28515625" style="27" bestFit="1" customWidth="1"/>
    <col min="42" max="42" width="3.5703125" style="27" bestFit="1" customWidth="1"/>
    <col min="43" max="43" width="6" style="27" bestFit="1" customWidth="1"/>
    <col min="44" max="44" width="7.28515625" style="27" bestFit="1" customWidth="1"/>
    <col min="45" max="45" width="3.5703125" style="27" bestFit="1" customWidth="1"/>
    <col min="46" max="46" width="6" style="27" bestFit="1" customWidth="1"/>
    <col min="47" max="47" width="7.28515625" style="27" bestFit="1" customWidth="1"/>
    <col min="48" max="48" width="3.5703125" style="27" bestFit="1" customWidth="1"/>
    <col min="49" max="49" width="6" style="27" bestFit="1" customWidth="1"/>
    <col min="50" max="50" width="7.28515625" style="31" bestFit="1" customWidth="1"/>
    <col min="51" max="51" width="3.5703125" style="40" bestFit="1" customWidth="1"/>
    <col min="52" max="52" width="6" style="32" bestFit="1" customWidth="1"/>
    <col min="53" max="53" width="3.5703125" style="27" bestFit="1" customWidth="1"/>
    <col min="54" max="54" width="8.140625" style="27" bestFit="1" customWidth="1"/>
    <col min="55" max="55" width="4.85546875" style="27" bestFit="1" customWidth="1"/>
    <col min="56" max="56" width="9.140625" style="27" bestFit="1" customWidth="1"/>
    <col min="57" max="57" width="8.85546875" style="27" bestFit="1" customWidth="1"/>
    <col min="58" max="58" width="10.7109375" style="27" bestFit="1" customWidth="1"/>
    <col min="59" max="59" width="90.140625" style="27" bestFit="1" customWidth="1"/>
    <col min="60" max="60" width="8.140625" style="27" bestFit="1" customWidth="1"/>
    <col min="61" max="64" width="5.42578125" style="27" customWidth="1"/>
    <col min="65" max="16384" width="5.42578125" style="27"/>
  </cols>
  <sheetData>
    <row r="1" spans="1:60" ht="26.25" customHeight="1" x14ac:dyDescent="0.3">
      <c r="A1" s="77" t="s">
        <v>326</v>
      </c>
      <c r="B1" s="75"/>
      <c r="C1" s="75"/>
      <c r="D1" s="75"/>
      <c r="E1" s="75"/>
      <c r="F1" s="75"/>
      <c r="G1" s="75"/>
      <c r="H1" s="75"/>
      <c r="I1" s="180" t="s">
        <v>270</v>
      </c>
      <c r="J1" s="183"/>
      <c r="K1" s="184"/>
      <c r="L1" s="184"/>
      <c r="M1" s="185"/>
      <c r="N1" s="182"/>
      <c r="O1" s="182"/>
      <c r="P1" s="75"/>
      <c r="Q1" s="75"/>
      <c r="R1" s="75"/>
      <c r="S1" s="75"/>
      <c r="T1" s="75"/>
      <c r="U1" s="75"/>
      <c r="V1" s="75"/>
      <c r="W1" s="75"/>
      <c r="X1" s="75"/>
      <c r="Y1" s="75"/>
      <c r="Z1" s="75"/>
      <c r="AA1" s="143"/>
      <c r="AB1" s="76" t="s">
        <v>327</v>
      </c>
      <c r="AC1" s="7"/>
      <c r="AD1" s="7"/>
      <c r="AE1" s="7"/>
      <c r="AF1" s="7"/>
      <c r="AG1" s="7"/>
      <c r="AH1" s="7"/>
      <c r="AI1" s="7"/>
      <c r="AJ1" s="7"/>
      <c r="AK1" s="8"/>
      <c r="AL1" s="9"/>
      <c r="AM1" s="10"/>
      <c r="AN1" s="10"/>
      <c r="AO1" s="7"/>
      <c r="AP1" s="7"/>
      <c r="AQ1" s="7"/>
      <c r="AR1" s="7"/>
      <c r="AS1" s="7"/>
      <c r="AT1" s="7"/>
      <c r="AU1" s="7"/>
      <c r="AV1" s="7"/>
      <c r="AW1" s="7"/>
      <c r="AX1" s="18"/>
      <c r="AY1" s="17"/>
      <c r="AZ1" s="15"/>
      <c r="BA1" s="7"/>
      <c r="BB1" s="7"/>
      <c r="BC1" s="7"/>
      <c r="BD1" s="7"/>
    </row>
    <row r="2" spans="1:60" s="33" customFormat="1" ht="153.75" customHeight="1" thickBot="1" x14ac:dyDescent="0.25">
      <c r="A2" s="241" t="s">
        <v>63</v>
      </c>
      <c r="B2" s="242" t="s">
        <v>67</v>
      </c>
      <c r="C2" s="243" t="s">
        <v>70</v>
      </c>
      <c r="D2" s="152" t="s">
        <v>74</v>
      </c>
      <c r="E2" s="211" t="s">
        <v>78</v>
      </c>
      <c r="F2" s="211" t="s">
        <v>81</v>
      </c>
      <c r="G2" s="211" t="s">
        <v>84</v>
      </c>
      <c r="H2" s="211" t="s">
        <v>87</v>
      </c>
      <c r="I2" s="211" t="s">
        <v>90</v>
      </c>
      <c r="J2" s="211" t="s">
        <v>93</v>
      </c>
      <c r="K2" s="152" t="s">
        <v>96</v>
      </c>
      <c r="L2" s="211" t="s">
        <v>99</v>
      </c>
      <c r="M2" s="244" t="s">
        <v>101</v>
      </c>
      <c r="N2" s="254" t="s">
        <v>272</v>
      </c>
      <c r="O2" s="241" t="s">
        <v>273</v>
      </c>
      <c r="P2" s="254" t="s">
        <v>274</v>
      </c>
      <c r="Q2" s="241" t="s">
        <v>275</v>
      </c>
      <c r="R2" s="254" t="s">
        <v>276</v>
      </c>
      <c r="S2" s="241" t="s">
        <v>277</v>
      </c>
      <c r="T2" s="254" t="s">
        <v>278</v>
      </c>
      <c r="U2" s="241" t="s">
        <v>279</v>
      </c>
      <c r="V2" s="211" t="s">
        <v>131</v>
      </c>
      <c r="W2" s="211" t="s">
        <v>137</v>
      </c>
      <c r="X2" s="241" t="s">
        <v>141</v>
      </c>
      <c r="Y2" s="241" t="s">
        <v>280</v>
      </c>
      <c r="Z2" s="241" t="s">
        <v>281</v>
      </c>
      <c r="AA2" s="11"/>
      <c r="AB2" s="241" t="s">
        <v>147</v>
      </c>
      <c r="AC2" s="242" t="s">
        <v>67</v>
      </c>
      <c r="AD2" s="243" t="s">
        <v>70</v>
      </c>
      <c r="AE2" s="152" t="s">
        <v>74</v>
      </c>
      <c r="AF2" s="211" t="s">
        <v>78</v>
      </c>
      <c r="AG2" s="211" t="s">
        <v>81</v>
      </c>
      <c r="AH2" s="211" t="s">
        <v>84</v>
      </c>
      <c r="AI2" s="211" t="s">
        <v>87</v>
      </c>
      <c r="AJ2" s="211" t="s">
        <v>90</v>
      </c>
      <c r="AK2" s="211" t="s">
        <v>93</v>
      </c>
      <c r="AL2" s="244" t="s">
        <v>101</v>
      </c>
      <c r="AM2" s="245" t="s">
        <v>282</v>
      </c>
      <c r="AN2" s="245" t="s">
        <v>283</v>
      </c>
      <c r="AO2" s="241" t="s">
        <v>273</v>
      </c>
      <c r="AP2" s="245" t="s">
        <v>284</v>
      </c>
      <c r="AQ2" s="245" t="s">
        <v>285</v>
      </c>
      <c r="AR2" s="241" t="s">
        <v>275</v>
      </c>
      <c r="AS2" s="245" t="s">
        <v>286</v>
      </c>
      <c r="AT2" s="245" t="s">
        <v>287</v>
      </c>
      <c r="AU2" s="241" t="s">
        <v>277</v>
      </c>
      <c r="AV2" s="245" t="s">
        <v>288</v>
      </c>
      <c r="AW2" s="245" t="s">
        <v>289</v>
      </c>
      <c r="AX2" s="241" t="s">
        <v>279</v>
      </c>
      <c r="AY2" s="257" t="s">
        <v>197</v>
      </c>
      <c r="AZ2" s="241" t="s">
        <v>134</v>
      </c>
      <c r="BA2" s="241" t="s">
        <v>137</v>
      </c>
      <c r="BB2" s="241" t="s">
        <v>141</v>
      </c>
      <c r="BC2" s="241" t="s">
        <v>280</v>
      </c>
      <c r="BD2" s="241" t="s">
        <v>281</v>
      </c>
      <c r="BE2" s="241"/>
    </row>
    <row r="3" spans="1:60" ht="13.5" thickBot="1" x14ac:dyDescent="0.25">
      <c r="A3" s="286">
        <v>1</v>
      </c>
      <c r="B3" s="287">
        <v>45989</v>
      </c>
      <c r="C3" s="287">
        <v>45990</v>
      </c>
      <c r="D3" s="288">
        <v>1</v>
      </c>
      <c r="E3" s="289">
        <f>AF7</f>
        <v>506</v>
      </c>
      <c r="F3" s="289">
        <f t="shared" ref="F3" si="0">AG7</f>
        <v>278</v>
      </c>
      <c r="G3" s="289">
        <f>AH7</f>
        <v>276</v>
      </c>
      <c r="H3" s="289">
        <f>AI7</f>
        <v>2</v>
      </c>
      <c r="I3" s="289">
        <f>AJ7</f>
        <v>0</v>
      </c>
      <c r="J3" s="289">
        <f>AK7</f>
        <v>2</v>
      </c>
      <c r="K3" s="289">
        <f>AZ7</f>
        <v>1</v>
      </c>
      <c r="L3" s="290">
        <f>SUM(H3:K3)</f>
        <v>5</v>
      </c>
      <c r="M3" s="291">
        <f>L3/E3</f>
        <v>9.881422924901186E-3</v>
      </c>
      <c r="N3" s="292">
        <f>AM7+AN7</f>
        <v>22</v>
      </c>
      <c r="O3" s="293">
        <f t="shared" ref="O3:O22" si="1">N3/G3</f>
        <v>7.9710144927536225E-2</v>
      </c>
      <c r="P3" s="292">
        <f>SUM(AO7:AP7)</f>
        <v>16</v>
      </c>
      <c r="Q3" s="293">
        <f>P3/G3</f>
        <v>5.7971014492753624E-2</v>
      </c>
      <c r="R3" s="292">
        <f>SUM(AR7:AS7)</f>
        <v>2</v>
      </c>
      <c r="S3" s="293">
        <f t="shared" ref="S3:S22" si="2">R3/G3</f>
        <v>7.246376811594203E-3</v>
      </c>
      <c r="T3" s="292">
        <f>SUM(AU7:AV7)</f>
        <v>0</v>
      </c>
      <c r="U3" s="293">
        <f t="shared" ref="U3:U22" si="3">T3/G3</f>
        <v>0</v>
      </c>
      <c r="V3" s="290">
        <f>AX7</f>
        <v>0</v>
      </c>
      <c r="W3" s="290">
        <f>BA7</f>
        <v>40</v>
      </c>
      <c r="X3" s="293">
        <f t="shared" ref="X3:X22" si="4">(W3+1)/(G3+1)</f>
        <v>0.14801444043321299</v>
      </c>
      <c r="Y3" s="294" t="s">
        <v>290</v>
      </c>
      <c r="Z3" s="301" t="s">
        <v>328</v>
      </c>
      <c r="AA3" s="34"/>
      <c r="AB3" s="13" t="s">
        <v>292</v>
      </c>
      <c r="AD3" s="35"/>
      <c r="AE3" s="28"/>
      <c r="AK3" s="36"/>
      <c r="AL3" s="9"/>
      <c r="AM3" s="35"/>
      <c r="AN3" s="35"/>
      <c r="AO3" s="7"/>
      <c r="AR3" s="7"/>
      <c r="AU3" s="7"/>
      <c r="AX3" s="18"/>
      <c r="AY3" s="17"/>
      <c r="AZ3" s="15"/>
      <c r="BA3" s="7"/>
      <c r="BB3" s="7"/>
      <c r="BC3" s="7"/>
      <c r="BD3" s="7"/>
      <c r="BH3" s="29"/>
    </row>
    <row r="4" spans="1:60" ht="12.75" x14ac:dyDescent="0.2">
      <c r="A4" s="295">
        <v>2</v>
      </c>
      <c r="B4" s="296">
        <v>45993</v>
      </c>
      <c r="C4" s="296">
        <v>45994</v>
      </c>
      <c r="D4" s="297">
        <v>1</v>
      </c>
      <c r="E4" s="298">
        <f>AF10</f>
        <v>608</v>
      </c>
      <c r="F4" s="298">
        <f>AG10</f>
        <v>273</v>
      </c>
      <c r="G4" s="298">
        <f>AH10</f>
        <v>273</v>
      </c>
      <c r="H4" s="298">
        <f>AI12</f>
        <v>0</v>
      </c>
      <c r="I4" s="298">
        <f>AJ12</f>
        <v>0</v>
      </c>
      <c r="J4" s="298">
        <f>AK12</f>
        <v>0</v>
      </c>
      <c r="K4" s="298">
        <f>AZ12</f>
        <v>0</v>
      </c>
      <c r="L4" s="290">
        <f t="shared" ref="L4:L22" si="5">SUM(H4:K4)</f>
        <v>0</v>
      </c>
      <c r="M4" s="299">
        <f>L4/E4</f>
        <v>0</v>
      </c>
      <c r="N4" s="290">
        <f>AM12+AN12</f>
        <v>46</v>
      </c>
      <c r="O4" s="300">
        <f t="shared" si="1"/>
        <v>0.16849816849816851</v>
      </c>
      <c r="P4" s="290">
        <f>SUM(AO12:AP12)</f>
        <v>1</v>
      </c>
      <c r="Q4" s="300">
        <f t="shared" ref="Q4:Q22" si="6">P4/G4</f>
        <v>3.663003663003663E-3</v>
      </c>
      <c r="R4" s="290">
        <f>SUM(AR12:AS12)</f>
        <v>0</v>
      </c>
      <c r="S4" s="300">
        <f t="shared" si="2"/>
        <v>0</v>
      </c>
      <c r="T4" s="290">
        <f>SUM(AU12:AV12)</f>
        <v>0</v>
      </c>
      <c r="U4" s="300">
        <f t="shared" si="3"/>
        <v>0</v>
      </c>
      <c r="V4" s="290">
        <f>AX12</f>
        <v>0</v>
      </c>
      <c r="W4" s="290">
        <f>BA12</f>
        <v>47</v>
      </c>
      <c r="X4" s="300">
        <f t="shared" si="4"/>
        <v>0.17518248175182483</v>
      </c>
      <c r="Y4" s="301" t="s">
        <v>290</v>
      </c>
      <c r="Z4" s="301" t="s">
        <v>328</v>
      </c>
      <c r="AA4" s="34"/>
      <c r="AB4" s="205" t="s">
        <v>293</v>
      </c>
      <c r="AC4" s="191"/>
      <c r="AD4" s="191"/>
      <c r="AE4" s="192"/>
      <c r="AF4" s="192"/>
      <c r="AG4" s="193"/>
      <c r="AH4" s="192"/>
      <c r="AI4" s="192"/>
      <c r="AJ4" s="192"/>
      <c r="AK4" s="192"/>
      <c r="AL4" s="194" t="e">
        <f>SUM(AI4:AK4)/AG4</f>
        <v>#DIV/0!</v>
      </c>
      <c r="AM4" s="192"/>
      <c r="AN4" s="192"/>
      <c r="AO4" s="195" t="e">
        <f>SUM(AM4:AN4)/AH4</f>
        <v>#DIV/0!</v>
      </c>
      <c r="AP4" s="192"/>
      <c r="AQ4" s="192"/>
      <c r="AR4" s="195" t="e">
        <f>(AP4+AQ4)/$AH4</f>
        <v>#DIV/0!</v>
      </c>
      <c r="AS4" s="192"/>
      <c r="AT4" s="192"/>
      <c r="AU4" s="195" t="e">
        <f>(AS4+AT4)/$AH4</f>
        <v>#DIV/0!</v>
      </c>
      <c r="AV4" s="192"/>
      <c r="AW4" s="192"/>
      <c r="AX4" s="195" t="e">
        <f>(AV4+AW4)/$AH4</f>
        <v>#DIV/0!</v>
      </c>
      <c r="AY4" s="196">
        <f>SUM(AM4,AP4,AS4,AV4)</f>
        <v>0</v>
      </c>
      <c r="AZ4" s="196">
        <f>SUM(AN4,AQ4,AT4,AW4)</f>
        <v>0</v>
      </c>
      <c r="BA4" s="196">
        <f>SUM(AY4:AZ4)</f>
        <v>0</v>
      </c>
      <c r="BB4" s="195">
        <f>(BA4+1)/(AH4+1)</f>
        <v>1</v>
      </c>
      <c r="BC4" s="138"/>
      <c r="BD4" s="138"/>
      <c r="BH4" s="29"/>
    </row>
    <row r="5" spans="1:60" ht="12.75" x14ac:dyDescent="0.2">
      <c r="A5" s="295">
        <v>3</v>
      </c>
      <c r="B5" s="364">
        <v>45996</v>
      </c>
      <c r="C5" s="364">
        <v>45997</v>
      </c>
      <c r="D5" s="365">
        <v>1</v>
      </c>
      <c r="E5" s="298">
        <f t="shared" ref="E5:J5" si="7">AF17</f>
        <v>529</v>
      </c>
      <c r="F5" s="298">
        <f t="shared" si="7"/>
        <v>529</v>
      </c>
      <c r="G5" s="298">
        <f t="shared" si="7"/>
        <v>528</v>
      </c>
      <c r="H5" s="298">
        <f t="shared" si="7"/>
        <v>4</v>
      </c>
      <c r="I5" s="298">
        <f t="shared" si="7"/>
        <v>0</v>
      </c>
      <c r="J5" s="298">
        <f t="shared" si="7"/>
        <v>0</v>
      </c>
      <c r="K5" s="298">
        <f>AZ17</f>
        <v>0</v>
      </c>
      <c r="L5" s="290">
        <f t="shared" si="5"/>
        <v>4</v>
      </c>
      <c r="M5" s="299">
        <f>L5/E5</f>
        <v>7.5614366729678641E-3</v>
      </c>
      <c r="N5" s="290">
        <f>AM17+AN17</f>
        <v>28</v>
      </c>
      <c r="O5" s="300">
        <f t="shared" si="1"/>
        <v>5.3030303030303032E-2</v>
      </c>
      <c r="P5" s="290">
        <f>SUM(AO17:AP17)</f>
        <v>5</v>
      </c>
      <c r="Q5" s="300">
        <f t="shared" si="6"/>
        <v>9.46969696969697E-3</v>
      </c>
      <c r="R5" s="290">
        <f>SUM(AR17:AS17)</f>
        <v>3</v>
      </c>
      <c r="S5" s="300">
        <f t="shared" si="2"/>
        <v>5.681818181818182E-3</v>
      </c>
      <c r="T5" s="290">
        <f>SUM(AU17:AV17)</f>
        <v>0</v>
      </c>
      <c r="U5" s="300">
        <f t="shared" si="3"/>
        <v>0</v>
      </c>
      <c r="V5" s="290">
        <f>AX17</f>
        <v>0</v>
      </c>
      <c r="W5" s="290">
        <f>BA17</f>
        <v>36</v>
      </c>
      <c r="X5" s="300">
        <f t="shared" si="4"/>
        <v>6.9943289224952743E-2</v>
      </c>
      <c r="Y5" s="301" t="s">
        <v>290</v>
      </c>
      <c r="Z5" s="301" t="s">
        <v>328</v>
      </c>
      <c r="AA5" s="34"/>
      <c r="AB5" s="260" t="s">
        <v>295</v>
      </c>
      <c r="AC5" s="147">
        <v>45989</v>
      </c>
      <c r="AD5" s="147">
        <v>45990</v>
      </c>
      <c r="AE5" s="197">
        <v>1</v>
      </c>
      <c r="AF5" s="197">
        <v>506</v>
      </c>
      <c r="AG5" s="198">
        <v>278</v>
      </c>
      <c r="AH5" s="197">
        <v>276</v>
      </c>
      <c r="AI5" s="197">
        <v>2</v>
      </c>
      <c r="AJ5" s="197">
        <v>0</v>
      </c>
      <c r="AK5" s="197">
        <v>2</v>
      </c>
      <c r="AL5" s="261">
        <f t="shared" ref="AL5:AL6" si="8">SUM(AI5:AK5)/AG5</f>
        <v>1.4388489208633094E-2</v>
      </c>
      <c r="AM5" s="197">
        <v>21</v>
      </c>
      <c r="AN5" s="197">
        <v>1</v>
      </c>
      <c r="AO5" s="262">
        <f t="shared" ref="AO5:AO6" si="9">SUM(AM5:AN5)/AH5</f>
        <v>7.9710144927536225E-2</v>
      </c>
      <c r="AP5" s="197">
        <v>16</v>
      </c>
      <c r="AQ5" s="197">
        <v>0</v>
      </c>
      <c r="AR5" s="262">
        <f t="shared" ref="AR5:AR6" si="10">(AP5+AQ5)/$AH5</f>
        <v>5.7971014492753624E-2</v>
      </c>
      <c r="AS5" s="197">
        <v>2</v>
      </c>
      <c r="AT5" s="197">
        <v>0</v>
      </c>
      <c r="AU5" s="262">
        <f t="shared" ref="AU5:AU6" si="11">(AS5+AT5)/$AH5</f>
        <v>7.246376811594203E-3</v>
      </c>
      <c r="AV5" s="197">
        <v>0</v>
      </c>
      <c r="AW5" s="197">
        <v>0</v>
      </c>
      <c r="AX5" s="262">
        <f t="shared" ref="AX5" si="12">(AV5+AW5)/$AH5</f>
        <v>0</v>
      </c>
      <c r="AY5" s="263">
        <f t="shared" ref="AY5" si="13">SUM(AM5,AP5,AS5,AV5)</f>
        <v>39</v>
      </c>
      <c r="AZ5" s="263">
        <f t="shared" ref="AZ5" si="14">SUM(AN5,AQ5,AT5,AW5)</f>
        <v>1</v>
      </c>
      <c r="BA5" s="263">
        <f t="shared" ref="BA5" si="15">SUM(AY5:AZ5)</f>
        <v>40</v>
      </c>
      <c r="BB5" s="262">
        <f t="shared" ref="BB5:BB6" si="16">(BA5+1)/(AH5+1)</f>
        <v>0.14801444043321299</v>
      </c>
      <c r="BC5" s="264" t="s">
        <v>290</v>
      </c>
      <c r="BD5" s="363" t="s">
        <v>298</v>
      </c>
      <c r="BH5" s="29"/>
    </row>
    <row r="6" spans="1:60" ht="13.5" thickBot="1" x14ac:dyDescent="0.25">
      <c r="A6" s="295">
        <v>4</v>
      </c>
      <c r="B6" s="296">
        <v>46000</v>
      </c>
      <c r="C6" s="296">
        <v>46001</v>
      </c>
      <c r="D6" s="297">
        <v>1</v>
      </c>
      <c r="E6" s="298">
        <f t="shared" ref="E6:J6" si="17">AF22</f>
        <v>481</v>
      </c>
      <c r="F6" s="298">
        <f t="shared" si="17"/>
        <v>467</v>
      </c>
      <c r="G6" s="298">
        <f t="shared" si="17"/>
        <v>465</v>
      </c>
      <c r="H6" s="298">
        <f t="shared" si="17"/>
        <v>0</v>
      </c>
      <c r="I6" s="298">
        <f t="shared" si="17"/>
        <v>4</v>
      </c>
      <c r="J6" s="298">
        <f t="shared" si="17"/>
        <v>1</v>
      </c>
      <c r="K6" s="298">
        <f>AZ22</f>
        <v>0</v>
      </c>
      <c r="L6" s="290">
        <f t="shared" si="5"/>
        <v>5</v>
      </c>
      <c r="M6" s="299">
        <f>L6/E6</f>
        <v>1.0395010395010396E-2</v>
      </c>
      <c r="N6" s="290">
        <f>AL22+AM22</f>
        <v>28</v>
      </c>
      <c r="O6" s="300">
        <f t="shared" si="1"/>
        <v>6.0215053763440864E-2</v>
      </c>
      <c r="P6" s="290">
        <f>SUM(AO22:AP22)</f>
        <v>2</v>
      </c>
      <c r="Q6" s="300">
        <f t="shared" si="6"/>
        <v>4.3010752688172043E-3</v>
      </c>
      <c r="R6" s="290">
        <f>SUM(AR22:AS22)</f>
        <v>1</v>
      </c>
      <c r="S6" s="300">
        <f t="shared" si="2"/>
        <v>2.1505376344086021E-3</v>
      </c>
      <c r="T6" s="290">
        <f>SUM(AU22:AV22)</f>
        <v>0</v>
      </c>
      <c r="U6" s="300">
        <f t="shared" si="3"/>
        <v>0</v>
      </c>
      <c r="V6" s="290">
        <f>AX22</f>
        <v>0</v>
      </c>
      <c r="W6" s="290">
        <f>BA22</f>
        <v>31</v>
      </c>
      <c r="X6" s="300">
        <f t="shared" si="4"/>
        <v>6.8669527896995708E-2</v>
      </c>
      <c r="Y6" s="301" t="s">
        <v>290</v>
      </c>
      <c r="Z6" s="301" t="s">
        <v>328</v>
      </c>
      <c r="AA6" s="34"/>
      <c r="AB6" s="206" t="s">
        <v>296</v>
      </c>
      <c r="AC6" s="199"/>
      <c r="AD6" s="199"/>
      <c r="AE6" s="200"/>
      <c r="AF6" s="200"/>
      <c r="AG6" s="201"/>
      <c r="AH6" s="200"/>
      <c r="AI6" s="200"/>
      <c r="AJ6" s="200"/>
      <c r="AK6" s="200"/>
      <c r="AL6" s="202" t="e">
        <f t="shared" si="8"/>
        <v>#DIV/0!</v>
      </c>
      <c r="AM6" s="200"/>
      <c r="AN6" s="200"/>
      <c r="AO6" s="203" t="e">
        <f t="shared" si="9"/>
        <v>#DIV/0!</v>
      </c>
      <c r="AP6" s="200"/>
      <c r="AQ6" s="200"/>
      <c r="AR6" s="203" t="e">
        <f t="shared" si="10"/>
        <v>#DIV/0!</v>
      </c>
      <c r="AS6" s="200"/>
      <c r="AT6" s="200"/>
      <c r="AU6" s="203" t="e">
        <f t="shared" si="11"/>
        <v>#DIV/0!</v>
      </c>
      <c r="AV6" s="200"/>
      <c r="AW6" s="200"/>
      <c r="AX6" s="203" t="e">
        <f>(AV6+AW6)/$AH6</f>
        <v>#DIV/0!</v>
      </c>
      <c r="AY6" s="204"/>
      <c r="AZ6" s="204"/>
      <c r="BA6" s="204"/>
      <c r="BB6" s="203">
        <f t="shared" si="16"/>
        <v>1</v>
      </c>
      <c r="BC6" s="139"/>
      <c r="BD6" s="139"/>
      <c r="BH6" s="29"/>
    </row>
    <row r="7" spans="1:60" ht="12.75" x14ac:dyDescent="0.2">
      <c r="A7" s="295">
        <v>5</v>
      </c>
      <c r="B7" s="296">
        <v>46003</v>
      </c>
      <c r="C7" s="296">
        <v>46004</v>
      </c>
      <c r="D7" s="302">
        <v>1</v>
      </c>
      <c r="E7" s="298">
        <f t="shared" ref="E7:J7" si="18">AF27</f>
        <v>499</v>
      </c>
      <c r="F7" s="298">
        <f t="shared" si="18"/>
        <v>495</v>
      </c>
      <c r="G7" s="298">
        <f t="shared" si="18"/>
        <v>496</v>
      </c>
      <c r="H7" s="298">
        <f t="shared" si="18"/>
        <v>1</v>
      </c>
      <c r="I7" s="298">
        <f t="shared" si="18"/>
        <v>0</v>
      </c>
      <c r="J7" s="298">
        <f t="shared" si="18"/>
        <v>0</v>
      </c>
      <c r="K7" s="298">
        <f>AZ27</f>
        <v>0</v>
      </c>
      <c r="L7" s="290">
        <f t="shared" si="5"/>
        <v>1</v>
      </c>
      <c r="M7" s="299">
        <f t="shared" ref="M7:M22" si="19">L7/E7</f>
        <v>2.004008016032064E-3</v>
      </c>
      <c r="N7" s="290">
        <f>AL27+AM27</f>
        <v>14</v>
      </c>
      <c r="O7" s="300">
        <f t="shared" si="1"/>
        <v>2.8225806451612902E-2</v>
      </c>
      <c r="P7" s="290">
        <f>SUM(AO27:AP27)</f>
        <v>7</v>
      </c>
      <c r="Q7" s="300">
        <f t="shared" si="6"/>
        <v>1.4112903225806451E-2</v>
      </c>
      <c r="R7" s="290">
        <f>SUM(AR27:AS27)</f>
        <v>0</v>
      </c>
      <c r="S7" s="300">
        <f t="shared" si="2"/>
        <v>0</v>
      </c>
      <c r="T7" s="290">
        <f>SUM(AU27:AV27)</f>
        <v>0</v>
      </c>
      <c r="U7" s="300">
        <f t="shared" si="3"/>
        <v>0</v>
      </c>
      <c r="V7" s="290">
        <f>AX27</f>
        <v>0</v>
      </c>
      <c r="W7" s="290">
        <f>BA27</f>
        <v>21</v>
      </c>
      <c r="X7" s="300">
        <f t="shared" si="4"/>
        <v>4.4265593561368208E-2</v>
      </c>
      <c r="Y7" s="301" t="s">
        <v>290</v>
      </c>
      <c r="Z7" s="301" t="s">
        <v>328</v>
      </c>
      <c r="AA7" s="34"/>
      <c r="AB7" s="7"/>
      <c r="AC7" s="148"/>
      <c r="AD7" s="148"/>
      <c r="AE7" s="32"/>
      <c r="AF7" s="14">
        <f>SUM(AF4:AF6)</f>
        <v>506</v>
      </c>
      <c r="AG7" s="14">
        <f>SUM(AG4:AG6)</f>
        <v>278</v>
      </c>
      <c r="AH7" s="14">
        <f t="shared" ref="AH7:AK7" si="20">SUM(AH4:AH6)</f>
        <v>276</v>
      </c>
      <c r="AI7" s="14">
        <f t="shared" si="20"/>
        <v>2</v>
      </c>
      <c r="AJ7" s="14">
        <f t="shared" si="20"/>
        <v>0</v>
      </c>
      <c r="AK7" s="14">
        <f t="shared" si="20"/>
        <v>2</v>
      </c>
      <c r="AL7" s="163"/>
      <c r="AM7" s="14">
        <f>SUM(AM4:AM6)</f>
        <v>21</v>
      </c>
      <c r="AN7" s="14">
        <f>SUM(AN4:AN6)</f>
        <v>1</v>
      </c>
      <c r="AO7" s="165"/>
      <c r="AP7" s="14">
        <f>SUM(AP4:AP6)</f>
        <v>16</v>
      </c>
      <c r="AQ7" s="14">
        <f>SUM(AQ4:AQ6)</f>
        <v>0</v>
      </c>
      <c r="AR7" s="165"/>
      <c r="AS7" s="14">
        <f>SUM(AS4:AS6)</f>
        <v>2</v>
      </c>
      <c r="AT7" s="14">
        <f>SUM(AT4:AT6)</f>
        <v>0</v>
      </c>
      <c r="AU7" s="165"/>
      <c r="AV7" s="14">
        <f>SUM(AV4:AV6)</f>
        <v>0</v>
      </c>
      <c r="AW7" s="14">
        <f>SUM(AW4:AW6)</f>
        <v>0</v>
      </c>
      <c r="AX7" s="165"/>
      <c r="AY7" s="14">
        <f>SUM(AY4:AY6)</f>
        <v>39</v>
      </c>
      <c r="AZ7" s="14">
        <f>SUM(AZ4:AZ6)</f>
        <v>1</v>
      </c>
      <c r="BA7" s="14">
        <f>SUM(AY7:AZ7)</f>
        <v>40</v>
      </c>
      <c r="BB7" s="137">
        <f>(BA7+1)/(AH7+1)</f>
        <v>0.14801444043321299</v>
      </c>
      <c r="BC7" s="136"/>
      <c r="BD7" s="136"/>
      <c r="BH7" s="29"/>
    </row>
    <row r="8" spans="1:60" ht="12.75" x14ac:dyDescent="0.2">
      <c r="A8" s="295">
        <v>6</v>
      </c>
      <c r="B8" s="296">
        <v>46038</v>
      </c>
      <c r="C8" s="296">
        <v>46039</v>
      </c>
      <c r="D8" s="302">
        <v>1</v>
      </c>
      <c r="E8" s="290">
        <f t="shared" ref="E8:J8" si="21">AF32</f>
        <v>493</v>
      </c>
      <c r="F8" s="290">
        <f t="shared" si="21"/>
        <v>493</v>
      </c>
      <c r="G8" s="290">
        <f t="shared" si="21"/>
        <v>503</v>
      </c>
      <c r="H8" s="290">
        <f t="shared" si="21"/>
        <v>7</v>
      </c>
      <c r="I8" s="290">
        <f t="shared" si="21"/>
        <v>0</v>
      </c>
      <c r="J8" s="290">
        <f t="shared" si="21"/>
        <v>1</v>
      </c>
      <c r="K8" s="290">
        <f>AZ32</f>
        <v>0</v>
      </c>
      <c r="L8" s="290">
        <f t="shared" si="5"/>
        <v>8</v>
      </c>
      <c r="M8" s="299">
        <f t="shared" si="19"/>
        <v>1.6227180527383367E-2</v>
      </c>
      <c r="N8" s="290">
        <f>AL32+AM32</f>
        <v>8</v>
      </c>
      <c r="O8" s="300">
        <f t="shared" si="1"/>
        <v>1.5904572564612324E-2</v>
      </c>
      <c r="P8" s="290">
        <f>SUM(AO32:AP32)</f>
        <v>0</v>
      </c>
      <c r="Q8" s="300">
        <f t="shared" si="6"/>
        <v>0</v>
      </c>
      <c r="R8" s="290">
        <f>SUM(AR32:AS32)</f>
        <v>0</v>
      </c>
      <c r="S8" s="300">
        <f t="shared" si="2"/>
        <v>0</v>
      </c>
      <c r="T8" s="290">
        <f>SUM(AU32:AV32)</f>
        <v>0</v>
      </c>
      <c r="U8" s="300">
        <f t="shared" si="3"/>
        <v>0</v>
      </c>
      <c r="V8" s="290">
        <f>AX32</f>
        <v>0</v>
      </c>
      <c r="W8" s="290">
        <f>BA32</f>
        <v>8</v>
      </c>
      <c r="X8" s="300">
        <f t="shared" si="4"/>
        <v>1.7857142857142856E-2</v>
      </c>
      <c r="Y8" s="366" t="s">
        <v>290</v>
      </c>
      <c r="Z8" s="301" t="s">
        <v>300</v>
      </c>
      <c r="AA8" s="34"/>
      <c r="AB8" s="13" t="s">
        <v>299</v>
      </c>
      <c r="AD8" s="35"/>
      <c r="AE8" s="28"/>
      <c r="AK8" s="36"/>
      <c r="AL8" s="9"/>
      <c r="AM8" s="35"/>
      <c r="AN8" s="35"/>
      <c r="AO8" s="7"/>
      <c r="AR8" s="7"/>
      <c r="AU8" s="7"/>
      <c r="AX8" s="18"/>
      <c r="AY8" s="17"/>
      <c r="AZ8" s="15"/>
      <c r="BA8" s="7"/>
      <c r="BB8" s="7"/>
      <c r="BC8" s="7"/>
      <c r="BD8" s="7"/>
      <c r="BH8" s="29"/>
    </row>
    <row r="9" spans="1:60" ht="12.75" x14ac:dyDescent="0.2">
      <c r="A9" s="295">
        <v>7</v>
      </c>
      <c r="B9" s="296">
        <v>46042</v>
      </c>
      <c r="C9" s="296">
        <v>46043</v>
      </c>
      <c r="D9" s="302">
        <v>1</v>
      </c>
      <c r="E9" s="303">
        <f t="shared" ref="E9:J9" si="22">AF37</f>
        <v>539</v>
      </c>
      <c r="F9" s="303">
        <f t="shared" si="22"/>
        <v>535</v>
      </c>
      <c r="G9" s="303">
        <f t="shared" si="22"/>
        <v>531</v>
      </c>
      <c r="H9" s="303">
        <f t="shared" si="22"/>
        <v>0</v>
      </c>
      <c r="I9" s="303">
        <f t="shared" si="22"/>
        <v>0</v>
      </c>
      <c r="J9" s="303">
        <f t="shared" si="22"/>
        <v>3</v>
      </c>
      <c r="K9" s="303">
        <f>AZ37</f>
        <v>0</v>
      </c>
      <c r="L9" s="290">
        <f t="shared" si="5"/>
        <v>3</v>
      </c>
      <c r="M9" s="299">
        <f t="shared" si="19"/>
        <v>5.5658627087198514E-3</v>
      </c>
      <c r="N9" s="290">
        <f>AL37+AM37</f>
        <v>7</v>
      </c>
      <c r="O9" s="300">
        <f t="shared" si="1"/>
        <v>1.3182674199623353E-2</v>
      </c>
      <c r="P9" s="290">
        <f>SUM(AO37:AP37)</f>
        <v>1</v>
      </c>
      <c r="Q9" s="300">
        <f t="shared" si="6"/>
        <v>1.8832391713747645E-3</v>
      </c>
      <c r="R9" s="290">
        <f>SUM(AR37:AS37)</f>
        <v>0</v>
      </c>
      <c r="S9" s="300">
        <f t="shared" si="2"/>
        <v>0</v>
      </c>
      <c r="T9" s="290">
        <f>SUM(AU37:AV37)</f>
        <v>0</v>
      </c>
      <c r="U9" s="300">
        <f t="shared" si="3"/>
        <v>0</v>
      </c>
      <c r="V9" s="290">
        <f>AX37</f>
        <v>0</v>
      </c>
      <c r="W9" s="290">
        <f>BA37</f>
        <v>8</v>
      </c>
      <c r="X9" s="300">
        <f t="shared" si="4"/>
        <v>1.6917293233082706E-2</v>
      </c>
      <c r="Y9" s="366" t="s">
        <v>290</v>
      </c>
      <c r="Z9" s="301" t="s">
        <v>300</v>
      </c>
      <c r="AA9" s="34"/>
      <c r="AB9" s="205" t="s">
        <v>293</v>
      </c>
      <c r="AC9" s="191"/>
      <c r="AD9" s="191"/>
      <c r="AE9" s="192"/>
      <c r="AF9" s="192"/>
      <c r="AG9" s="193"/>
      <c r="AH9" s="192"/>
      <c r="AI9" s="192"/>
      <c r="AJ9" s="192"/>
      <c r="AK9" s="192"/>
      <c r="AL9" s="194" t="e">
        <f>SUM(AI9:AK9)/AG9</f>
        <v>#DIV/0!</v>
      </c>
      <c r="AM9" s="192"/>
      <c r="AN9" s="192"/>
      <c r="AO9" s="195" t="e">
        <f>SUM(AM9:AN9)/AH9</f>
        <v>#DIV/0!</v>
      </c>
      <c r="AP9" s="192"/>
      <c r="AQ9" s="192"/>
      <c r="AR9" s="195" t="e">
        <f>(AP9+AQ9)/$AH9</f>
        <v>#DIV/0!</v>
      </c>
      <c r="AS9" s="192"/>
      <c r="AT9" s="192"/>
      <c r="AU9" s="195" t="e">
        <f>(AS9+AT9)/$AH9</f>
        <v>#DIV/0!</v>
      </c>
      <c r="AV9" s="192"/>
      <c r="AW9" s="192"/>
      <c r="AX9" s="195" t="e">
        <f>(AV9+AW9)/$AH9</f>
        <v>#DIV/0!</v>
      </c>
      <c r="AY9" s="196">
        <f>SUM(AM9,AP9,AS9,AV9)</f>
        <v>0</v>
      </c>
      <c r="AZ9" s="196">
        <f>SUM(AN9,AQ9,AT9,AW9)</f>
        <v>0</v>
      </c>
      <c r="BA9" s="196">
        <f>SUM(AY9:AZ9)</f>
        <v>0</v>
      </c>
      <c r="BB9" s="195">
        <f>(BA9+1)/(AH9+1)</f>
        <v>1</v>
      </c>
      <c r="BC9" s="138"/>
      <c r="BD9" s="138"/>
      <c r="BH9" s="29"/>
    </row>
    <row r="10" spans="1:60" ht="12.75" x14ac:dyDescent="0.2">
      <c r="A10" s="295">
        <v>8</v>
      </c>
      <c r="B10" s="296">
        <v>46045</v>
      </c>
      <c r="C10" s="296">
        <v>46046</v>
      </c>
      <c r="D10" s="302"/>
      <c r="E10" s="303">
        <f t="shared" ref="E10:J10" si="23">AF42</f>
        <v>1028</v>
      </c>
      <c r="F10" s="303">
        <f t="shared" si="23"/>
        <v>512</v>
      </c>
      <c r="G10" s="303">
        <f t="shared" si="23"/>
        <v>503</v>
      </c>
      <c r="H10" s="303">
        <f t="shared" si="23"/>
        <v>0</v>
      </c>
      <c r="I10" s="303">
        <f t="shared" si="23"/>
        <v>2</v>
      </c>
      <c r="J10" s="303">
        <f t="shared" si="23"/>
        <v>0</v>
      </c>
      <c r="K10" s="303">
        <f>AZ42</f>
        <v>0</v>
      </c>
      <c r="L10" s="290">
        <f t="shared" si="5"/>
        <v>2</v>
      </c>
      <c r="M10" s="299">
        <f t="shared" si="19"/>
        <v>1.9455252918287938E-3</v>
      </c>
      <c r="N10" s="290">
        <f>AL42+AM42</f>
        <v>7</v>
      </c>
      <c r="O10" s="300">
        <f t="shared" si="1"/>
        <v>1.3916500994035786E-2</v>
      </c>
      <c r="P10" s="290">
        <f>SUM(AO42:AP42)</f>
        <v>0</v>
      </c>
      <c r="Q10" s="300">
        <f t="shared" si="6"/>
        <v>0</v>
      </c>
      <c r="R10" s="290">
        <f>SUM(AR42:AS42)</f>
        <v>0</v>
      </c>
      <c r="S10" s="300">
        <f t="shared" si="2"/>
        <v>0</v>
      </c>
      <c r="T10" s="290">
        <f>SUM(AU42:AV42)</f>
        <v>0</v>
      </c>
      <c r="U10" s="300">
        <f t="shared" si="3"/>
        <v>0</v>
      </c>
      <c r="V10" s="290">
        <f>AX42</f>
        <v>0</v>
      </c>
      <c r="W10" s="290">
        <f>BA42</f>
        <v>7</v>
      </c>
      <c r="X10" s="300">
        <f t="shared" si="4"/>
        <v>1.5873015873015872E-2</v>
      </c>
      <c r="Y10" s="366"/>
      <c r="Z10" s="301"/>
      <c r="AA10" s="34"/>
      <c r="AB10" s="260" t="s">
        <v>295</v>
      </c>
      <c r="AC10" s="147">
        <v>45993</v>
      </c>
      <c r="AD10" s="147">
        <v>45994</v>
      </c>
      <c r="AE10" s="197">
        <v>1</v>
      </c>
      <c r="AF10" s="197">
        <v>608</v>
      </c>
      <c r="AG10" s="198">
        <v>273</v>
      </c>
      <c r="AH10" s="197">
        <v>273</v>
      </c>
      <c r="AI10" s="197">
        <v>0</v>
      </c>
      <c r="AJ10" s="197">
        <v>0</v>
      </c>
      <c r="AK10" s="197">
        <v>0</v>
      </c>
      <c r="AL10" s="261">
        <f t="shared" ref="AL10:AL11" si="24">SUM(AI10:AK10)/AG10</f>
        <v>0</v>
      </c>
      <c r="AM10" s="197">
        <v>46</v>
      </c>
      <c r="AN10" s="197">
        <v>0</v>
      </c>
      <c r="AO10" s="262">
        <f t="shared" ref="AO10:AO11" si="25">SUM(AM10:AN10)/AH10</f>
        <v>0.16849816849816851</v>
      </c>
      <c r="AP10" s="197">
        <v>1</v>
      </c>
      <c r="AQ10" s="197">
        <v>0</v>
      </c>
      <c r="AR10" s="262">
        <f>(AP10+AQ10)/$AH10</f>
        <v>3.663003663003663E-3</v>
      </c>
      <c r="AS10" s="197">
        <v>0</v>
      </c>
      <c r="AT10" s="197">
        <v>0</v>
      </c>
      <c r="AU10" s="262">
        <f t="shared" ref="AU10:AU11" si="26">(AS10+AT10)/$AH10</f>
        <v>0</v>
      </c>
      <c r="AV10" s="197">
        <v>0</v>
      </c>
      <c r="AW10" s="197">
        <v>0</v>
      </c>
      <c r="AX10" s="262">
        <f t="shared" ref="AX10:AX11" si="27">(AV10+AW10)/$AH10</f>
        <v>0</v>
      </c>
      <c r="AY10" s="263">
        <f t="shared" ref="AY10:AY11" si="28">SUM(AM10,AP10,AS10,AV10)</f>
        <v>47</v>
      </c>
      <c r="AZ10" s="263">
        <f t="shared" ref="AZ10:AZ11" si="29">SUM(AN10,AQ10,AT10,AW10)</f>
        <v>0</v>
      </c>
      <c r="BA10" s="263">
        <f t="shared" ref="BA10:BA11" si="30">SUM(AY10:AZ10)</f>
        <v>47</v>
      </c>
      <c r="BB10" s="262">
        <f t="shared" ref="BB10:BB11" si="31">(BA10+1)/(AH10+1)</f>
        <v>0.17518248175182483</v>
      </c>
      <c r="BC10" s="264" t="s">
        <v>290</v>
      </c>
      <c r="BD10" s="264" t="s">
        <v>298</v>
      </c>
      <c r="BH10" s="29"/>
    </row>
    <row r="11" spans="1:60" ht="13.5" thickBot="1" x14ac:dyDescent="0.25">
      <c r="A11" s="295">
        <v>9</v>
      </c>
      <c r="B11" s="296">
        <v>46052</v>
      </c>
      <c r="C11" s="296">
        <v>46053</v>
      </c>
      <c r="D11" s="302">
        <v>2</v>
      </c>
      <c r="E11" s="303">
        <f t="shared" ref="E11:J11" si="32">AF47</f>
        <v>509</v>
      </c>
      <c r="F11" s="303">
        <f t="shared" si="32"/>
        <v>505</v>
      </c>
      <c r="G11" s="303">
        <f t="shared" si="32"/>
        <v>503</v>
      </c>
      <c r="H11" s="303">
        <f t="shared" si="32"/>
        <v>4</v>
      </c>
      <c r="I11" s="303">
        <f t="shared" si="32"/>
        <v>0</v>
      </c>
      <c r="J11" s="303">
        <f t="shared" si="32"/>
        <v>2</v>
      </c>
      <c r="K11" s="303">
        <f>AZ47</f>
        <v>0</v>
      </c>
      <c r="L11" s="290">
        <f t="shared" si="5"/>
        <v>6</v>
      </c>
      <c r="M11" s="299">
        <f t="shared" si="19"/>
        <v>1.1787819253438114E-2</v>
      </c>
      <c r="N11" s="290">
        <f>AL47+AM47</f>
        <v>11</v>
      </c>
      <c r="O11" s="300">
        <f t="shared" si="1"/>
        <v>2.186878727634195E-2</v>
      </c>
      <c r="P11" s="290">
        <f>SUM(AO47:AP47)</f>
        <v>0</v>
      </c>
      <c r="Q11" s="300">
        <f t="shared" si="6"/>
        <v>0</v>
      </c>
      <c r="R11" s="290">
        <f>SUM(AR47:AS47)</f>
        <v>0</v>
      </c>
      <c r="S11" s="300">
        <f t="shared" si="2"/>
        <v>0</v>
      </c>
      <c r="T11" s="290">
        <f>SUM(AU47:AV47)</f>
        <v>0</v>
      </c>
      <c r="U11" s="300">
        <f t="shared" si="3"/>
        <v>0</v>
      </c>
      <c r="V11" s="290">
        <f>AX47</f>
        <v>0</v>
      </c>
      <c r="W11" s="290">
        <f>BA47</f>
        <v>11</v>
      </c>
      <c r="X11" s="300">
        <f t="shared" si="4"/>
        <v>2.3809523809523808E-2</v>
      </c>
      <c r="Y11" s="301" t="s">
        <v>329</v>
      </c>
      <c r="Z11" s="301" t="s">
        <v>300</v>
      </c>
      <c r="AA11" s="31"/>
      <c r="AB11" s="206" t="s">
        <v>296</v>
      </c>
      <c r="AC11" s="199"/>
      <c r="AD11" s="199"/>
      <c r="AE11" s="200"/>
      <c r="AF11" s="200"/>
      <c r="AG11" s="201"/>
      <c r="AH11" s="200"/>
      <c r="AI11" s="200"/>
      <c r="AJ11" s="200"/>
      <c r="AK11" s="200"/>
      <c r="AL11" s="202" t="e">
        <f t="shared" si="24"/>
        <v>#DIV/0!</v>
      </c>
      <c r="AM11" s="200"/>
      <c r="AN11" s="200"/>
      <c r="AO11" s="203" t="e">
        <f t="shared" si="25"/>
        <v>#DIV/0!</v>
      </c>
      <c r="AP11" s="200"/>
      <c r="AQ11" s="200"/>
      <c r="AR11" s="203" t="e">
        <f t="shared" ref="AR11" si="33">(AP11+AQ11)/$AH11</f>
        <v>#DIV/0!</v>
      </c>
      <c r="AS11" s="200"/>
      <c r="AT11" s="200"/>
      <c r="AU11" s="203" t="e">
        <f t="shared" si="26"/>
        <v>#DIV/0!</v>
      </c>
      <c r="AV11" s="200"/>
      <c r="AW11" s="200"/>
      <c r="AX11" s="203" t="e">
        <f t="shared" si="27"/>
        <v>#DIV/0!</v>
      </c>
      <c r="AY11" s="204">
        <f t="shared" si="28"/>
        <v>0</v>
      </c>
      <c r="AZ11" s="204">
        <f t="shared" si="29"/>
        <v>0</v>
      </c>
      <c r="BA11" s="204">
        <f t="shared" si="30"/>
        <v>0</v>
      </c>
      <c r="BB11" s="203">
        <f t="shared" si="31"/>
        <v>1</v>
      </c>
      <c r="BC11" s="139"/>
      <c r="BD11" s="139"/>
      <c r="BH11" s="29"/>
    </row>
    <row r="12" spans="1:60" ht="12.75" x14ac:dyDescent="0.2">
      <c r="A12" s="295">
        <v>10</v>
      </c>
      <c r="B12" s="296">
        <v>46056</v>
      </c>
      <c r="C12" s="296">
        <v>46057</v>
      </c>
      <c r="D12" s="302">
        <v>1</v>
      </c>
      <c r="E12" s="303">
        <f t="shared" ref="E12:J12" si="34">AF52</f>
        <v>501</v>
      </c>
      <c r="F12" s="303">
        <f t="shared" si="34"/>
        <v>499</v>
      </c>
      <c r="G12" s="303">
        <f t="shared" si="34"/>
        <v>498</v>
      </c>
      <c r="H12" s="303">
        <f t="shared" si="34"/>
        <v>1</v>
      </c>
      <c r="I12" s="303">
        <f t="shared" si="34"/>
        <v>0</v>
      </c>
      <c r="J12" s="303">
        <f t="shared" si="34"/>
        <v>1</v>
      </c>
      <c r="K12" s="303">
        <f>AZ52</f>
        <v>0</v>
      </c>
      <c r="L12" s="290">
        <f t="shared" si="5"/>
        <v>2</v>
      </c>
      <c r="M12" s="299">
        <f t="shared" si="19"/>
        <v>3.9920159680638719E-3</v>
      </c>
      <c r="N12" s="290">
        <f>AL52+AM52</f>
        <v>3</v>
      </c>
      <c r="O12" s="300">
        <f t="shared" si="1"/>
        <v>6.024096385542169E-3</v>
      </c>
      <c r="P12" s="290">
        <f>SUM(AO52:AP52)</f>
        <v>0</v>
      </c>
      <c r="Q12" s="300">
        <f t="shared" si="6"/>
        <v>0</v>
      </c>
      <c r="R12" s="290">
        <f>SUM(AR52:AS52)</f>
        <v>3</v>
      </c>
      <c r="S12" s="300">
        <f t="shared" si="2"/>
        <v>6.024096385542169E-3</v>
      </c>
      <c r="T12" s="290">
        <f>SUM(AU52:AV52)</f>
        <v>0</v>
      </c>
      <c r="U12" s="300">
        <f t="shared" si="3"/>
        <v>0</v>
      </c>
      <c r="V12" s="290">
        <f>AX52</f>
        <v>0</v>
      </c>
      <c r="W12" s="290">
        <f>BA52</f>
        <v>6</v>
      </c>
      <c r="X12" s="300">
        <f t="shared" si="4"/>
        <v>1.4028056112224449E-2</v>
      </c>
      <c r="Y12" s="301" t="s">
        <v>301</v>
      </c>
      <c r="Z12" s="301" t="s">
        <v>300</v>
      </c>
      <c r="AA12" s="31"/>
      <c r="AB12" s="7"/>
      <c r="AC12" s="148"/>
      <c r="AD12" s="148"/>
      <c r="AE12" s="32"/>
      <c r="AF12" s="14">
        <f>SUM(AF9:AF11)</f>
        <v>608</v>
      </c>
      <c r="AG12" s="14">
        <f>SUM(AG9:AG11)</f>
        <v>273</v>
      </c>
      <c r="AH12" s="14">
        <f t="shared" ref="AH12:AK12" si="35">SUM(AH9:AH11)</f>
        <v>273</v>
      </c>
      <c r="AI12" s="14">
        <f t="shared" si="35"/>
        <v>0</v>
      </c>
      <c r="AJ12" s="14">
        <f t="shared" si="35"/>
        <v>0</v>
      </c>
      <c r="AK12" s="14">
        <f t="shared" si="35"/>
        <v>0</v>
      </c>
      <c r="AL12" s="163"/>
      <c r="AM12" s="14">
        <f>SUM(AM9:AM11)</f>
        <v>46</v>
      </c>
      <c r="AN12" s="14">
        <f>SUM(AN9:AN11)</f>
        <v>0</v>
      </c>
      <c r="AO12" s="165"/>
      <c r="AP12" s="14">
        <f>SUM(AP9:AP11)</f>
        <v>1</v>
      </c>
      <c r="AQ12" s="14">
        <f>SUM(AQ9:AQ11)</f>
        <v>0</v>
      </c>
      <c r="AR12" s="165"/>
      <c r="AS12" s="14">
        <f>SUM(AS9:AS11)</f>
        <v>0</v>
      </c>
      <c r="AT12" s="14">
        <f>SUM(AT9:AT11)</f>
        <v>0</v>
      </c>
      <c r="AU12" s="165"/>
      <c r="AV12" s="14">
        <f>SUM(AV9:AV11)</f>
        <v>0</v>
      </c>
      <c r="AW12" s="14">
        <f>SUM(AW9:AW11)</f>
        <v>0</v>
      </c>
      <c r="AX12" s="165"/>
      <c r="AY12" s="14">
        <f>SUM(AY9:AY11)</f>
        <v>47</v>
      </c>
      <c r="AZ12" s="14">
        <f>SUM(AZ9:AZ11)</f>
        <v>0</v>
      </c>
      <c r="BA12" s="14">
        <f>SUM(AY12:AZ12)</f>
        <v>47</v>
      </c>
      <c r="BB12" s="137">
        <f>(BA12+1)/(AH12+1)</f>
        <v>0.17518248175182483</v>
      </c>
      <c r="BC12" s="136"/>
      <c r="BD12" s="136"/>
      <c r="BH12" s="29"/>
    </row>
    <row r="13" spans="1:60" ht="13.5" thickBot="1" x14ac:dyDescent="0.25">
      <c r="A13" s="295">
        <v>11</v>
      </c>
      <c r="B13" s="296">
        <v>46059</v>
      </c>
      <c r="C13" s="296">
        <v>46060</v>
      </c>
      <c r="D13" s="302">
        <v>1</v>
      </c>
      <c r="E13" s="303">
        <f t="shared" ref="E13:I13" si="36">AF57</f>
        <v>500</v>
      </c>
      <c r="F13" s="303">
        <f>AG57</f>
        <v>498</v>
      </c>
      <c r="G13" s="303">
        <f>AH57</f>
        <v>491</v>
      </c>
      <c r="H13" s="303">
        <f t="shared" si="36"/>
        <v>1</v>
      </c>
      <c r="I13" s="303">
        <f t="shared" si="36"/>
        <v>0</v>
      </c>
      <c r="J13" s="303">
        <f>AK57</f>
        <v>5</v>
      </c>
      <c r="K13" s="303">
        <f>AZ57</f>
        <v>0</v>
      </c>
      <c r="L13" s="290">
        <f t="shared" si="5"/>
        <v>6</v>
      </c>
      <c r="M13" s="299">
        <f t="shared" si="19"/>
        <v>1.2E-2</v>
      </c>
      <c r="N13" s="290">
        <f>AL57+AM57</f>
        <v>1</v>
      </c>
      <c r="O13" s="300">
        <f t="shared" si="1"/>
        <v>2.0366598778004071E-3</v>
      </c>
      <c r="P13" s="290">
        <f>SUM(AO57:AP57)</f>
        <v>1</v>
      </c>
      <c r="Q13" s="300">
        <f t="shared" si="6"/>
        <v>2.0366598778004071E-3</v>
      </c>
      <c r="R13" s="290">
        <f>SUM(AR57:AS57)</f>
        <v>0</v>
      </c>
      <c r="S13" s="300">
        <f t="shared" si="2"/>
        <v>0</v>
      </c>
      <c r="T13" s="290">
        <f>SUM(AU57:AV57)</f>
        <v>0</v>
      </c>
      <c r="U13" s="300">
        <f t="shared" si="3"/>
        <v>0</v>
      </c>
      <c r="V13" s="290">
        <f>AX57</f>
        <v>0</v>
      </c>
      <c r="W13" s="290">
        <f>BA57</f>
        <v>2</v>
      </c>
      <c r="X13" s="300">
        <f t="shared" si="4"/>
        <v>6.0975609756097563E-3</v>
      </c>
      <c r="Y13" s="301" t="s">
        <v>301</v>
      </c>
      <c r="Z13" s="301" t="s">
        <v>300</v>
      </c>
      <c r="AA13" s="31"/>
      <c r="AB13" s="13" t="s">
        <v>303</v>
      </c>
      <c r="AD13" s="35"/>
      <c r="AE13" s="28"/>
      <c r="AK13" s="36"/>
      <c r="AL13" s="9"/>
      <c r="AM13" s="35"/>
      <c r="AN13" s="35"/>
      <c r="AO13" s="7"/>
      <c r="AR13" s="7"/>
      <c r="AU13" s="7"/>
      <c r="AX13" s="18"/>
      <c r="AY13" s="17"/>
      <c r="AZ13" s="15"/>
      <c r="BA13" s="7"/>
      <c r="BB13" s="7"/>
      <c r="BC13" s="7"/>
      <c r="BD13" s="7"/>
      <c r="BH13" s="29"/>
    </row>
    <row r="14" spans="1:60" ht="12.75" x14ac:dyDescent="0.2">
      <c r="A14" s="295">
        <v>12</v>
      </c>
      <c r="B14" s="296">
        <v>46063</v>
      </c>
      <c r="C14" s="296">
        <v>46063</v>
      </c>
      <c r="D14" s="302">
        <v>2</v>
      </c>
      <c r="E14" s="303">
        <f t="shared" ref="E14:J14" si="37">AF62</f>
        <v>424</v>
      </c>
      <c r="F14" s="303">
        <f t="shared" si="37"/>
        <v>424</v>
      </c>
      <c r="G14" s="303">
        <f t="shared" si="37"/>
        <v>415</v>
      </c>
      <c r="H14" s="303">
        <f t="shared" si="37"/>
        <v>6</v>
      </c>
      <c r="I14" s="303">
        <f t="shared" si="37"/>
        <v>0</v>
      </c>
      <c r="J14" s="303">
        <f t="shared" si="37"/>
        <v>0</v>
      </c>
      <c r="K14" s="303">
        <f>AZ62</f>
        <v>0</v>
      </c>
      <c r="L14" s="290">
        <f t="shared" si="5"/>
        <v>6</v>
      </c>
      <c r="M14" s="299">
        <f t="shared" si="19"/>
        <v>1.4150943396226415E-2</v>
      </c>
      <c r="N14" s="290">
        <f>AL62+AM62</f>
        <v>4</v>
      </c>
      <c r="O14" s="300">
        <f t="shared" si="1"/>
        <v>9.6385542168674707E-3</v>
      </c>
      <c r="P14" s="290">
        <f>SUM(AO62:AP62)</f>
        <v>2</v>
      </c>
      <c r="Q14" s="300">
        <f t="shared" si="6"/>
        <v>4.8192771084337354E-3</v>
      </c>
      <c r="R14" s="290">
        <f>SUM(AR62:AS62)</f>
        <v>0</v>
      </c>
      <c r="S14" s="300">
        <f t="shared" si="2"/>
        <v>0</v>
      </c>
      <c r="T14" s="290">
        <f>SUM(AU62:AV62)</f>
        <v>0</v>
      </c>
      <c r="U14" s="300">
        <f t="shared" si="3"/>
        <v>0</v>
      </c>
      <c r="V14" s="290">
        <f>AX62</f>
        <v>0</v>
      </c>
      <c r="W14" s="290">
        <f>BA62</f>
        <v>6</v>
      </c>
      <c r="X14" s="300">
        <f t="shared" si="4"/>
        <v>1.6826923076923076E-2</v>
      </c>
      <c r="Y14" s="301" t="s">
        <v>301</v>
      </c>
      <c r="Z14" s="301" t="s">
        <v>300</v>
      </c>
      <c r="AA14" s="31"/>
      <c r="AB14" s="205" t="s">
        <v>293</v>
      </c>
      <c r="AC14" s="191"/>
      <c r="AD14" s="191"/>
      <c r="AE14" s="192"/>
      <c r="AF14" s="192"/>
      <c r="AG14" s="193"/>
      <c r="AH14" s="192"/>
      <c r="AI14" s="192"/>
      <c r="AJ14" s="192"/>
      <c r="AK14" s="192"/>
      <c r="AL14" s="194" t="e">
        <f>SUM(AI14:AK14)/AG14</f>
        <v>#DIV/0!</v>
      </c>
      <c r="AM14" s="192"/>
      <c r="AN14" s="192"/>
      <c r="AO14" s="195" t="e">
        <f>SUM(AM14:AN14)/AH14</f>
        <v>#DIV/0!</v>
      </c>
      <c r="AP14" s="192"/>
      <c r="AQ14" s="192"/>
      <c r="AR14" s="195" t="e">
        <f>(AP14+AQ14)/$AH14</f>
        <v>#DIV/0!</v>
      </c>
      <c r="AS14" s="192"/>
      <c r="AT14" s="192"/>
      <c r="AU14" s="195" t="e">
        <f>(AS14+AT14)/$AH14</f>
        <v>#DIV/0!</v>
      </c>
      <c r="AV14" s="192"/>
      <c r="AW14" s="192"/>
      <c r="AX14" s="195" t="e">
        <f>(AV14+AW14)/$AH14</f>
        <v>#DIV/0!</v>
      </c>
      <c r="AY14" s="196">
        <f>SUM(AM14,AP14,AS14,AV14)</f>
        <v>0</v>
      </c>
      <c r="AZ14" s="196">
        <f>SUM(AN14,AQ14,AT14,AW14)</f>
        <v>0</v>
      </c>
      <c r="BA14" s="196">
        <f>SUM(AY14:AZ14)</f>
        <v>0</v>
      </c>
      <c r="BB14" s="195">
        <f>(BA14+1)/(AH14+1)</f>
        <v>1</v>
      </c>
      <c r="BC14" s="138"/>
      <c r="BD14" s="138"/>
      <c r="BH14" s="29"/>
    </row>
    <row r="15" spans="1:60" ht="12.75" x14ac:dyDescent="0.2">
      <c r="A15" s="295">
        <v>13</v>
      </c>
      <c r="B15" s="296">
        <v>46063</v>
      </c>
      <c r="C15" s="296">
        <v>46063</v>
      </c>
      <c r="D15" s="302"/>
      <c r="E15" s="303">
        <f t="shared" ref="E15:J15" si="38">AF67</f>
        <v>472</v>
      </c>
      <c r="F15" s="303">
        <f t="shared" si="38"/>
        <v>472</v>
      </c>
      <c r="G15" s="303">
        <f t="shared" si="38"/>
        <v>461</v>
      </c>
      <c r="H15" s="303">
        <f t="shared" si="38"/>
        <v>3</v>
      </c>
      <c r="I15" s="303">
        <f t="shared" si="38"/>
        <v>0</v>
      </c>
      <c r="J15" s="303">
        <f t="shared" si="38"/>
        <v>0</v>
      </c>
      <c r="K15" s="303">
        <f>AZ67</f>
        <v>0</v>
      </c>
      <c r="L15" s="290">
        <f t="shared" si="5"/>
        <v>3</v>
      </c>
      <c r="M15" s="299">
        <f t="shared" si="19"/>
        <v>6.3559322033898309E-3</v>
      </c>
      <c r="N15" s="290">
        <f>AL67+AM67</f>
        <v>3</v>
      </c>
      <c r="O15" s="300">
        <f t="shared" si="1"/>
        <v>6.5075921908893707E-3</v>
      </c>
      <c r="P15" s="290">
        <f>SUM(AO67:AP67)</f>
        <v>2</v>
      </c>
      <c r="Q15" s="300">
        <f t="shared" si="6"/>
        <v>4.3383947939262474E-3</v>
      </c>
      <c r="R15" s="290">
        <f>SUM(AR67:AS67)</f>
        <v>1</v>
      </c>
      <c r="S15" s="300">
        <f t="shared" si="2"/>
        <v>2.1691973969631237E-3</v>
      </c>
      <c r="T15" s="290">
        <f>SUM(AU67:AV67)</f>
        <v>0</v>
      </c>
      <c r="U15" s="300">
        <f t="shared" si="3"/>
        <v>0</v>
      </c>
      <c r="V15" s="290">
        <f>AX67</f>
        <v>0</v>
      </c>
      <c r="W15" s="290">
        <f>BA67</f>
        <v>6</v>
      </c>
      <c r="X15" s="300">
        <f t="shared" si="4"/>
        <v>1.5151515151515152E-2</v>
      </c>
      <c r="Y15" s="301"/>
      <c r="Z15" s="301"/>
      <c r="AA15" s="31"/>
      <c r="AB15" s="260" t="s">
        <v>295</v>
      </c>
      <c r="AC15" s="147">
        <v>45996</v>
      </c>
      <c r="AD15" s="147">
        <v>45997</v>
      </c>
      <c r="AE15" s="197">
        <v>1</v>
      </c>
      <c r="AF15" s="197">
        <v>529</v>
      </c>
      <c r="AG15" s="198">
        <v>529</v>
      </c>
      <c r="AH15" s="197">
        <v>528</v>
      </c>
      <c r="AI15" s="197">
        <v>4</v>
      </c>
      <c r="AJ15" s="197">
        <v>0</v>
      </c>
      <c r="AK15" s="197">
        <v>0</v>
      </c>
      <c r="AL15" s="261">
        <f t="shared" ref="AL15:AL16" si="39">SUM(AI15:AK15)/AG15</f>
        <v>7.5614366729678641E-3</v>
      </c>
      <c r="AM15" s="197">
        <v>28</v>
      </c>
      <c r="AN15" s="197">
        <v>0</v>
      </c>
      <c r="AO15" s="262">
        <f t="shared" ref="AO15:AO16" si="40">SUM(AM15:AN15)/AH15</f>
        <v>5.3030303030303032E-2</v>
      </c>
      <c r="AP15" s="197">
        <v>5</v>
      </c>
      <c r="AQ15" s="197">
        <v>0</v>
      </c>
      <c r="AR15" s="262">
        <f t="shared" ref="AR15:AR16" si="41">(AP15+AQ15)/$AH15</f>
        <v>9.46969696969697E-3</v>
      </c>
      <c r="AS15" s="197">
        <v>3</v>
      </c>
      <c r="AT15" s="197">
        <v>0</v>
      </c>
      <c r="AU15" s="262">
        <f t="shared" ref="AU15:AU16" si="42">(AS15+AT15)/$AH15</f>
        <v>5.681818181818182E-3</v>
      </c>
      <c r="AV15" s="197">
        <v>0</v>
      </c>
      <c r="AW15" s="197">
        <v>0</v>
      </c>
      <c r="AX15" s="262">
        <f t="shared" ref="AX15:AX16" si="43">(AV15+AW15)/$AH15</f>
        <v>0</v>
      </c>
      <c r="AY15" s="263">
        <f t="shared" ref="AY15:AY16" si="44">SUM(AM15,AP15,AS15,AV15)</f>
        <v>36</v>
      </c>
      <c r="AZ15" s="263">
        <f t="shared" ref="AZ15:AZ16" si="45">SUM(AN15,AQ15,AT15,AW15)</f>
        <v>0</v>
      </c>
      <c r="BA15" s="263">
        <f t="shared" ref="BA15:BA16" si="46">SUM(AY15:AZ15)</f>
        <v>36</v>
      </c>
      <c r="BB15" s="262">
        <f t="shared" ref="BB15:BB16" si="47">(BA15+1)/(AH15+1)</f>
        <v>6.9943289224952743E-2</v>
      </c>
      <c r="BC15" s="264"/>
      <c r="BD15" s="264"/>
      <c r="BH15" s="29"/>
    </row>
    <row r="16" spans="1:60" ht="13.5" thickBot="1" x14ac:dyDescent="0.25">
      <c r="A16" s="295">
        <v>14</v>
      </c>
      <c r="B16" s="296">
        <v>46066</v>
      </c>
      <c r="C16" s="296">
        <v>46066</v>
      </c>
      <c r="D16" s="302">
        <v>2</v>
      </c>
      <c r="E16" s="303">
        <f t="shared" ref="E16:J16" si="48">AF72</f>
        <v>520</v>
      </c>
      <c r="F16" s="303">
        <f t="shared" si="48"/>
        <v>510</v>
      </c>
      <c r="G16" s="303">
        <f t="shared" si="48"/>
        <v>510</v>
      </c>
      <c r="H16" s="303">
        <f t="shared" si="48"/>
        <v>5</v>
      </c>
      <c r="I16" s="303">
        <f t="shared" si="48"/>
        <v>0</v>
      </c>
      <c r="J16" s="303">
        <f t="shared" si="48"/>
        <v>0</v>
      </c>
      <c r="K16" s="303">
        <f>AZ72</f>
        <v>0</v>
      </c>
      <c r="L16" s="290">
        <f t="shared" si="5"/>
        <v>5</v>
      </c>
      <c r="M16" s="299">
        <f t="shared" si="19"/>
        <v>9.6153846153846159E-3</v>
      </c>
      <c r="N16" s="290">
        <f>AL72+AM72</f>
        <v>6</v>
      </c>
      <c r="O16" s="300">
        <f t="shared" si="1"/>
        <v>1.1764705882352941E-2</v>
      </c>
      <c r="P16" s="290">
        <f>SUM(AO72:AP72)</f>
        <v>3</v>
      </c>
      <c r="Q16" s="300">
        <f t="shared" si="6"/>
        <v>5.8823529411764705E-3</v>
      </c>
      <c r="R16" s="290">
        <f>SUM(AR72:AS72)</f>
        <v>1</v>
      </c>
      <c r="S16" s="300">
        <f t="shared" si="2"/>
        <v>1.9607843137254902E-3</v>
      </c>
      <c r="T16" s="290">
        <f>SUM(AU72:AV72)</f>
        <v>0</v>
      </c>
      <c r="U16" s="300">
        <f t="shared" si="3"/>
        <v>0</v>
      </c>
      <c r="V16" s="290">
        <f>AX72</f>
        <v>0</v>
      </c>
      <c r="W16" s="290">
        <f>BA72</f>
        <v>10</v>
      </c>
      <c r="X16" s="300">
        <f t="shared" si="4"/>
        <v>2.1526418786692758E-2</v>
      </c>
      <c r="Y16" s="301" t="s">
        <v>301</v>
      </c>
      <c r="Z16" s="301" t="s">
        <v>300</v>
      </c>
      <c r="AA16" s="31"/>
      <c r="AB16" s="206" t="s">
        <v>296</v>
      </c>
      <c r="AC16" s="199"/>
      <c r="AD16" s="199"/>
      <c r="AE16" s="200"/>
      <c r="AF16" s="200"/>
      <c r="AG16" s="201"/>
      <c r="AH16" s="200"/>
      <c r="AI16" s="200"/>
      <c r="AJ16" s="200"/>
      <c r="AK16" s="200"/>
      <c r="AL16" s="202" t="e">
        <f t="shared" si="39"/>
        <v>#DIV/0!</v>
      </c>
      <c r="AM16" s="200"/>
      <c r="AN16" s="200"/>
      <c r="AO16" s="203" t="e">
        <f t="shared" si="40"/>
        <v>#DIV/0!</v>
      </c>
      <c r="AP16" s="200"/>
      <c r="AQ16" s="200"/>
      <c r="AR16" s="203" t="e">
        <f t="shared" si="41"/>
        <v>#DIV/0!</v>
      </c>
      <c r="AS16" s="200"/>
      <c r="AT16" s="200"/>
      <c r="AU16" s="203" t="e">
        <f t="shared" si="42"/>
        <v>#DIV/0!</v>
      </c>
      <c r="AV16" s="200"/>
      <c r="AW16" s="200"/>
      <c r="AX16" s="203" t="e">
        <f t="shared" si="43"/>
        <v>#DIV/0!</v>
      </c>
      <c r="AY16" s="204">
        <f t="shared" si="44"/>
        <v>0</v>
      </c>
      <c r="AZ16" s="204">
        <f t="shared" si="45"/>
        <v>0</v>
      </c>
      <c r="BA16" s="204">
        <f t="shared" si="46"/>
        <v>0</v>
      </c>
      <c r="BB16" s="203">
        <f t="shared" si="47"/>
        <v>1</v>
      </c>
      <c r="BC16" s="139"/>
      <c r="BD16" s="139"/>
      <c r="BH16" s="29"/>
    </row>
    <row r="17" spans="1:60" ht="12.75" x14ac:dyDescent="0.2">
      <c r="A17" s="295">
        <v>15</v>
      </c>
      <c r="B17" s="296">
        <v>46066</v>
      </c>
      <c r="C17" s="296">
        <v>46066</v>
      </c>
      <c r="D17" s="302">
        <v>2</v>
      </c>
      <c r="E17" s="303">
        <f t="shared" ref="E17:J17" si="49">AF77</f>
        <v>520</v>
      </c>
      <c r="F17" s="303">
        <f t="shared" si="49"/>
        <v>512</v>
      </c>
      <c r="G17" s="303">
        <f t="shared" si="49"/>
        <v>512</v>
      </c>
      <c r="H17" s="303">
        <f t="shared" si="49"/>
        <v>1</v>
      </c>
      <c r="I17" s="303">
        <f t="shared" si="49"/>
        <v>0</v>
      </c>
      <c r="J17" s="303">
        <f t="shared" si="49"/>
        <v>0</v>
      </c>
      <c r="K17" s="303">
        <f>AZ77</f>
        <v>0</v>
      </c>
      <c r="L17" s="290">
        <f t="shared" si="5"/>
        <v>1</v>
      </c>
      <c r="M17" s="299">
        <f t="shared" si="19"/>
        <v>1.9230769230769232E-3</v>
      </c>
      <c r="N17" s="290">
        <f>AL77+AM77</f>
        <v>5</v>
      </c>
      <c r="O17" s="300">
        <f t="shared" si="1"/>
        <v>9.765625E-3</v>
      </c>
      <c r="P17" s="290">
        <f>SUM(AO77:AP77)</f>
        <v>1</v>
      </c>
      <c r="Q17" s="300">
        <f t="shared" si="6"/>
        <v>1.953125E-3</v>
      </c>
      <c r="R17" s="290">
        <f>SUM(AR77:AS77)</f>
        <v>1</v>
      </c>
      <c r="S17" s="300">
        <f t="shared" si="2"/>
        <v>1.953125E-3</v>
      </c>
      <c r="T17" s="290">
        <f>SUM(AU77:AV77)</f>
        <v>1</v>
      </c>
      <c r="U17" s="300">
        <f t="shared" si="3"/>
        <v>1.953125E-3</v>
      </c>
      <c r="V17" s="290">
        <f>AX77</f>
        <v>0</v>
      </c>
      <c r="W17" s="290">
        <f>BA77</f>
        <v>8</v>
      </c>
      <c r="X17" s="300">
        <f t="shared" si="4"/>
        <v>1.7543859649122806E-2</v>
      </c>
      <c r="Y17" s="301" t="s">
        <v>301</v>
      </c>
      <c r="Z17" s="301" t="s">
        <v>300</v>
      </c>
      <c r="AA17" s="31"/>
      <c r="AB17" s="7"/>
      <c r="AC17" s="148"/>
      <c r="AD17" s="148"/>
      <c r="AE17" s="32"/>
      <c r="AF17" s="14">
        <f>SUM(AF14:AF16)</f>
        <v>529</v>
      </c>
      <c r="AG17" s="14">
        <f>SUM(AG14:AG16)</f>
        <v>529</v>
      </c>
      <c r="AH17" s="14">
        <f t="shared" ref="AH17:AK17" si="50">SUM(AH14:AH16)</f>
        <v>528</v>
      </c>
      <c r="AI17" s="14">
        <f t="shared" si="50"/>
        <v>4</v>
      </c>
      <c r="AJ17" s="14">
        <f t="shared" si="50"/>
        <v>0</v>
      </c>
      <c r="AK17" s="14">
        <f t="shared" si="50"/>
        <v>0</v>
      </c>
      <c r="AL17" s="163"/>
      <c r="AM17" s="14">
        <f>SUM(AM14:AM16)</f>
        <v>28</v>
      </c>
      <c r="AN17" s="14">
        <f>SUM(AN14:AN16)</f>
        <v>0</v>
      </c>
      <c r="AO17" s="165"/>
      <c r="AP17" s="14">
        <f>SUM(AP14:AP16)</f>
        <v>5</v>
      </c>
      <c r="AQ17" s="14">
        <f>SUM(AQ14:AQ16)</f>
        <v>0</v>
      </c>
      <c r="AR17" s="165"/>
      <c r="AS17" s="14">
        <f>SUM(AS14:AS16)</f>
        <v>3</v>
      </c>
      <c r="AT17" s="14">
        <f>SUM(AT14:AT16)</f>
        <v>0</v>
      </c>
      <c r="AU17" s="165"/>
      <c r="AV17" s="14">
        <f>SUM(AV14:AV16)</f>
        <v>0</v>
      </c>
      <c r="AW17" s="14">
        <f>SUM(AW14:AW16)</f>
        <v>0</v>
      </c>
      <c r="AX17" s="165"/>
      <c r="AY17" s="14">
        <f>SUM(AY14:AY16)</f>
        <v>36</v>
      </c>
      <c r="AZ17" s="14">
        <f>SUM(AZ14:AZ16)</f>
        <v>0</v>
      </c>
      <c r="BA17" s="14">
        <f>SUM(AY17:AZ17)</f>
        <v>36</v>
      </c>
      <c r="BB17" s="137">
        <f>(BA17+1)/(AH17+1)</f>
        <v>6.9943289224952743E-2</v>
      </c>
      <c r="BC17" s="136"/>
      <c r="BD17" s="136"/>
      <c r="BH17" s="29"/>
    </row>
    <row r="18" spans="1:60" ht="13.5" thickBot="1" x14ac:dyDescent="0.25">
      <c r="A18" s="295">
        <v>16</v>
      </c>
      <c r="B18" s="296">
        <v>46090</v>
      </c>
      <c r="C18" s="296">
        <v>46091</v>
      </c>
      <c r="D18" s="302">
        <v>3</v>
      </c>
      <c r="E18" s="303">
        <f t="shared" ref="E18:J18" si="51">AF82</f>
        <v>123</v>
      </c>
      <c r="F18" s="303">
        <f t="shared" si="51"/>
        <v>99</v>
      </c>
      <c r="G18" s="303">
        <f t="shared" si="51"/>
        <v>94</v>
      </c>
      <c r="H18" s="303">
        <f t="shared" si="51"/>
        <v>0</v>
      </c>
      <c r="I18" s="303">
        <f t="shared" si="51"/>
        <v>0</v>
      </c>
      <c r="J18" s="303">
        <f t="shared" si="51"/>
        <v>5</v>
      </c>
      <c r="K18" s="303">
        <f>AZ82</f>
        <v>0</v>
      </c>
      <c r="L18" s="290">
        <f t="shared" si="5"/>
        <v>5</v>
      </c>
      <c r="M18" s="299">
        <f t="shared" si="19"/>
        <v>4.065040650406504E-2</v>
      </c>
      <c r="N18" s="290">
        <f>AL82+AM82</f>
        <v>5</v>
      </c>
      <c r="O18" s="300">
        <f t="shared" si="1"/>
        <v>5.3191489361702128E-2</v>
      </c>
      <c r="P18" s="290">
        <f>SUM(AO82:AP82)</f>
        <v>2</v>
      </c>
      <c r="Q18" s="300">
        <f t="shared" si="6"/>
        <v>2.1276595744680851E-2</v>
      </c>
      <c r="R18" s="290">
        <f>SUM(AR82:AS82)</f>
        <v>1</v>
      </c>
      <c r="S18" s="300">
        <f t="shared" si="2"/>
        <v>1.0638297872340425E-2</v>
      </c>
      <c r="T18" s="290">
        <f>SUM(AU82:AV82)</f>
        <v>0</v>
      </c>
      <c r="U18" s="300">
        <f t="shared" si="3"/>
        <v>0</v>
      </c>
      <c r="V18" s="290">
        <f>AX82</f>
        <v>0</v>
      </c>
      <c r="W18" s="290">
        <f>BA82</f>
        <v>8</v>
      </c>
      <c r="X18" s="300">
        <f t="shared" si="4"/>
        <v>9.4736842105263161E-2</v>
      </c>
      <c r="Y18" s="301" t="s">
        <v>301</v>
      </c>
      <c r="Z18" s="301" t="s">
        <v>300</v>
      </c>
      <c r="AA18" s="31"/>
      <c r="AB18" s="13" t="s">
        <v>304</v>
      </c>
      <c r="AD18" s="35"/>
      <c r="AE18" s="28"/>
      <c r="AK18" s="36"/>
      <c r="AL18" s="9"/>
      <c r="AM18" s="35"/>
      <c r="AN18" s="35"/>
      <c r="AO18" s="7"/>
      <c r="AR18" s="7"/>
      <c r="AU18" s="7"/>
      <c r="AX18" s="18"/>
      <c r="AY18" s="17"/>
      <c r="AZ18" s="15"/>
      <c r="BA18" s="7"/>
      <c r="BB18" s="7"/>
      <c r="BC18" s="7"/>
      <c r="BD18" s="7"/>
      <c r="BE18" s="29"/>
    </row>
    <row r="19" spans="1:60" ht="12.75" x14ac:dyDescent="0.2">
      <c r="A19" s="295">
        <v>17</v>
      </c>
      <c r="B19" s="296"/>
      <c r="C19" s="296"/>
      <c r="D19" s="302">
        <v>3</v>
      </c>
      <c r="E19" s="303">
        <f>AF87</f>
        <v>0</v>
      </c>
      <c r="F19" s="303">
        <f>AG87</f>
        <v>0</v>
      </c>
      <c r="G19" s="303">
        <f>AH87</f>
        <v>0</v>
      </c>
      <c r="H19" s="303">
        <f>AI87</f>
        <v>0</v>
      </c>
      <c r="I19" s="303">
        <f>AJ87</f>
        <v>0</v>
      </c>
      <c r="J19" s="303">
        <f>AK887</f>
        <v>0</v>
      </c>
      <c r="K19" s="303">
        <f>AZ87</f>
        <v>0</v>
      </c>
      <c r="L19" s="290">
        <f t="shared" si="5"/>
        <v>0</v>
      </c>
      <c r="M19" s="299" t="e">
        <f t="shared" si="19"/>
        <v>#DIV/0!</v>
      </c>
      <c r="N19" s="290">
        <f>AL87+AM87</f>
        <v>0</v>
      </c>
      <c r="O19" s="300" t="e">
        <f t="shared" si="1"/>
        <v>#DIV/0!</v>
      </c>
      <c r="P19" s="290">
        <f>SUM(AO87:AP87)</f>
        <v>0</v>
      </c>
      <c r="Q19" s="300" t="e">
        <f t="shared" si="6"/>
        <v>#DIV/0!</v>
      </c>
      <c r="R19" s="290">
        <f>SUM(AR87:AS87)</f>
        <v>0</v>
      </c>
      <c r="S19" s="300" t="e">
        <f t="shared" si="2"/>
        <v>#DIV/0!</v>
      </c>
      <c r="T19" s="290">
        <f>SUM(AU87:AV87)</f>
        <v>0</v>
      </c>
      <c r="U19" s="300" t="e">
        <f t="shared" si="3"/>
        <v>#DIV/0!</v>
      </c>
      <c r="V19" s="290">
        <f>AX87</f>
        <v>0</v>
      </c>
      <c r="W19" s="290">
        <f>BA87</f>
        <v>0</v>
      </c>
      <c r="X19" s="300">
        <f t="shared" si="4"/>
        <v>1</v>
      </c>
      <c r="Y19" s="301"/>
      <c r="Z19" s="301"/>
      <c r="AA19" s="209"/>
      <c r="AB19" s="205" t="s">
        <v>293</v>
      </c>
      <c r="AC19" s="191"/>
      <c r="AD19" s="191"/>
      <c r="AE19" s="192"/>
      <c r="AF19" s="192"/>
      <c r="AG19" s="193"/>
      <c r="AH19" s="192"/>
      <c r="AI19" s="192"/>
      <c r="AJ19" s="192"/>
      <c r="AK19" s="192"/>
      <c r="AL19" s="194" t="e">
        <f>SUM(AI19:AK19)/AG19</f>
        <v>#DIV/0!</v>
      </c>
      <c r="AM19" s="192"/>
      <c r="AN19" s="192"/>
      <c r="AO19" s="195" t="e">
        <f>SUM(AM19:AN19)/AH19</f>
        <v>#DIV/0!</v>
      </c>
      <c r="AP19" s="192"/>
      <c r="AQ19" s="192"/>
      <c r="AR19" s="195" t="e">
        <f>(AP19+AQ19)/$AH19</f>
        <v>#DIV/0!</v>
      </c>
      <c r="AS19" s="192"/>
      <c r="AT19" s="192"/>
      <c r="AU19" s="195" t="e">
        <f>(AS19+AT19)/$AH19</f>
        <v>#DIV/0!</v>
      </c>
      <c r="AV19" s="192"/>
      <c r="AW19" s="192"/>
      <c r="AX19" s="195" t="e">
        <f>(AV19+AW19)/$AH19</f>
        <v>#DIV/0!</v>
      </c>
      <c r="AY19" s="196">
        <f>SUM(AM19,AP19,AS19,AV19)</f>
        <v>0</v>
      </c>
      <c r="AZ19" s="196">
        <f>SUM(AN19,AQ19,AT19,AW19)</f>
        <v>0</v>
      </c>
      <c r="BA19" s="196">
        <f>SUM(AY19:AZ19)</f>
        <v>0</v>
      </c>
      <c r="BB19" s="195">
        <f>(BA19+1)/(AH19+1)</f>
        <v>1</v>
      </c>
      <c r="BC19" s="138"/>
      <c r="BD19" s="138"/>
      <c r="BE19" s="29"/>
    </row>
    <row r="20" spans="1:60" ht="12.75" x14ac:dyDescent="0.2">
      <c r="A20" s="295">
        <v>18</v>
      </c>
      <c r="B20" s="296"/>
      <c r="C20" s="296"/>
      <c r="D20" s="302"/>
      <c r="E20" s="303">
        <f t="shared" ref="E20:J20" si="52">AF92</f>
        <v>0</v>
      </c>
      <c r="F20" s="303">
        <f t="shared" si="52"/>
        <v>0</v>
      </c>
      <c r="G20" s="303">
        <f t="shared" si="52"/>
        <v>0</v>
      </c>
      <c r="H20" s="303">
        <f t="shared" si="52"/>
        <v>0</v>
      </c>
      <c r="I20" s="303">
        <f t="shared" si="52"/>
        <v>0</v>
      </c>
      <c r="J20" s="303">
        <f t="shared" si="52"/>
        <v>0</v>
      </c>
      <c r="K20" s="303">
        <f>AZ92</f>
        <v>0</v>
      </c>
      <c r="L20" s="290">
        <f t="shared" si="5"/>
        <v>0</v>
      </c>
      <c r="M20" s="299" t="e">
        <f t="shared" si="19"/>
        <v>#DIV/0!</v>
      </c>
      <c r="N20" s="290">
        <f>AL92+AM92</f>
        <v>0</v>
      </c>
      <c r="O20" s="300" t="e">
        <f t="shared" si="1"/>
        <v>#DIV/0!</v>
      </c>
      <c r="P20" s="290">
        <f>SUM(AO92:AP92)</f>
        <v>0</v>
      </c>
      <c r="Q20" s="300" t="e">
        <f t="shared" si="6"/>
        <v>#DIV/0!</v>
      </c>
      <c r="R20" s="290">
        <f>SUM(AR92:AS92)</f>
        <v>0</v>
      </c>
      <c r="S20" s="300" t="e">
        <f t="shared" si="2"/>
        <v>#DIV/0!</v>
      </c>
      <c r="T20" s="290">
        <f>SUM(AU92:AV92)</f>
        <v>0</v>
      </c>
      <c r="U20" s="300" t="e">
        <f t="shared" si="3"/>
        <v>#DIV/0!</v>
      </c>
      <c r="V20" s="290">
        <f>AX92</f>
        <v>0</v>
      </c>
      <c r="W20" s="290">
        <f>BA92</f>
        <v>0</v>
      </c>
      <c r="X20" s="300">
        <f t="shared" si="4"/>
        <v>1</v>
      </c>
      <c r="Y20" s="301"/>
      <c r="Z20" s="301"/>
      <c r="AB20" s="260" t="s">
        <v>295</v>
      </c>
      <c r="AC20" s="147">
        <v>46000</v>
      </c>
      <c r="AD20" s="147">
        <v>46001</v>
      </c>
      <c r="AE20" s="197">
        <v>1</v>
      </c>
      <c r="AF20" s="197">
        <v>481</v>
      </c>
      <c r="AG20" s="198">
        <v>467</v>
      </c>
      <c r="AH20" s="197">
        <v>465</v>
      </c>
      <c r="AI20" s="197">
        <v>0</v>
      </c>
      <c r="AJ20" s="197">
        <v>4</v>
      </c>
      <c r="AK20" s="197">
        <v>1</v>
      </c>
      <c r="AL20" s="261">
        <f t="shared" ref="AL20:AL21" si="53">SUM(AI20:AK20)/AG20</f>
        <v>1.0706638115631691E-2</v>
      </c>
      <c r="AM20" s="197">
        <v>28</v>
      </c>
      <c r="AN20" s="197">
        <v>0</v>
      </c>
      <c r="AO20" s="262">
        <f t="shared" ref="AO20:AO21" si="54">SUM(AM20:AN20)/AH20</f>
        <v>6.0215053763440864E-2</v>
      </c>
      <c r="AP20" s="197">
        <v>2</v>
      </c>
      <c r="AQ20" s="197">
        <v>0</v>
      </c>
      <c r="AR20" s="262">
        <f t="shared" ref="AR20:AR21" si="55">(AP20+AQ20)/$AH20</f>
        <v>4.3010752688172043E-3</v>
      </c>
      <c r="AS20" s="197">
        <v>1</v>
      </c>
      <c r="AT20" s="197">
        <v>0</v>
      </c>
      <c r="AU20" s="262">
        <f t="shared" ref="AU20:AU21" si="56">(AS20+AT20)/$AH20</f>
        <v>2.1505376344086021E-3</v>
      </c>
      <c r="AV20" s="197">
        <v>0</v>
      </c>
      <c r="AW20" s="197">
        <v>0</v>
      </c>
      <c r="AX20" s="262">
        <f t="shared" ref="AX20:AX21" si="57">(AV20+AW20)/$AH20</f>
        <v>0</v>
      </c>
      <c r="AY20" s="263">
        <f t="shared" ref="AY20:AY21" si="58">SUM(AM20,AP20,AS20,AV20)</f>
        <v>31</v>
      </c>
      <c r="AZ20" s="263">
        <f t="shared" ref="AZ20:AZ21" si="59">SUM(AN20,AQ20,AT20,AW20)</f>
        <v>0</v>
      </c>
      <c r="BA20" s="263">
        <f t="shared" ref="BA20:BA21" si="60">SUM(AY20:AZ20)</f>
        <v>31</v>
      </c>
      <c r="BB20" s="262">
        <f t="shared" ref="BB20:BB21" si="61">(BA20+1)/(AH20+1)</f>
        <v>6.8669527896995708E-2</v>
      </c>
      <c r="BC20" s="264"/>
      <c r="BD20" s="264"/>
      <c r="BE20" s="29"/>
    </row>
    <row r="21" spans="1:60" ht="13.5" thickBot="1" x14ac:dyDescent="0.25">
      <c r="A21" s="295">
        <v>19</v>
      </c>
      <c r="B21" s="296"/>
      <c r="C21" s="296"/>
      <c r="D21" s="302"/>
      <c r="E21" s="303">
        <f t="shared" ref="E21:J21" si="62">AF97</f>
        <v>0</v>
      </c>
      <c r="F21" s="303">
        <f t="shared" si="62"/>
        <v>0</v>
      </c>
      <c r="G21" s="303">
        <f t="shared" si="62"/>
        <v>0</v>
      </c>
      <c r="H21" s="303">
        <f t="shared" si="62"/>
        <v>0</v>
      </c>
      <c r="I21" s="303">
        <f t="shared" si="62"/>
        <v>0</v>
      </c>
      <c r="J21" s="303">
        <f t="shared" si="62"/>
        <v>0</v>
      </c>
      <c r="K21" s="303">
        <f>AZ97</f>
        <v>0</v>
      </c>
      <c r="L21" s="290">
        <f t="shared" si="5"/>
        <v>0</v>
      </c>
      <c r="M21" s="299" t="e">
        <f t="shared" si="19"/>
        <v>#DIV/0!</v>
      </c>
      <c r="N21" s="290">
        <f>AL97+AM97</f>
        <v>0</v>
      </c>
      <c r="O21" s="300" t="e">
        <f t="shared" si="1"/>
        <v>#DIV/0!</v>
      </c>
      <c r="P21" s="290">
        <f>SUM(AO97:AP97)</f>
        <v>0</v>
      </c>
      <c r="Q21" s="300" t="e">
        <f t="shared" si="6"/>
        <v>#DIV/0!</v>
      </c>
      <c r="R21" s="290">
        <f>SUM(AR97:AS97)</f>
        <v>0</v>
      </c>
      <c r="S21" s="300" t="e">
        <f t="shared" si="2"/>
        <v>#DIV/0!</v>
      </c>
      <c r="T21" s="290">
        <f>SUM(AU97:AV97)</f>
        <v>0</v>
      </c>
      <c r="U21" s="300" t="e">
        <f t="shared" si="3"/>
        <v>#DIV/0!</v>
      </c>
      <c r="V21" s="290">
        <f>AX97</f>
        <v>0</v>
      </c>
      <c r="W21" s="290">
        <f>AB97</f>
        <v>0</v>
      </c>
      <c r="X21" s="300">
        <f t="shared" si="4"/>
        <v>1</v>
      </c>
      <c r="Y21" s="301"/>
      <c r="Z21" s="301"/>
      <c r="AB21" s="206" t="s">
        <v>296</v>
      </c>
      <c r="AC21" s="199"/>
      <c r="AD21" s="199"/>
      <c r="AE21" s="200"/>
      <c r="AF21" s="200"/>
      <c r="AG21" s="201"/>
      <c r="AH21" s="200"/>
      <c r="AI21" s="200"/>
      <c r="AJ21" s="200"/>
      <c r="AK21" s="200"/>
      <c r="AL21" s="202" t="e">
        <f t="shared" si="53"/>
        <v>#DIV/0!</v>
      </c>
      <c r="AM21" s="200"/>
      <c r="AN21" s="200"/>
      <c r="AO21" s="203" t="e">
        <f t="shared" si="54"/>
        <v>#DIV/0!</v>
      </c>
      <c r="AP21" s="200"/>
      <c r="AQ21" s="200"/>
      <c r="AR21" s="203" t="e">
        <f t="shared" si="55"/>
        <v>#DIV/0!</v>
      </c>
      <c r="AS21" s="200"/>
      <c r="AT21" s="200"/>
      <c r="AU21" s="203" t="e">
        <f t="shared" si="56"/>
        <v>#DIV/0!</v>
      </c>
      <c r="AV21" s="200"/>
      <c r="AW21" s="200"/>
      <c r="AX21" s="203" t="e">
        <f t="shared" si="57"/>
        <v>#DIV/0!</v>
      </c>
      <c r="AY21" s="204">
        <f t="shared" si="58"/>
        <v>0</v>
      </c>
      <c r="AZ21" s="204">
        <f t="shared" si="59"/>
        <v>0</v>
      </c>
      <c r="BA21" s="204">
        <f t="shared" si="60"/>
        <v>0</v>
      </c>
      <c r="BB21" s="203">
        <f t="shared" si="61"/>
        <v>1</v>
      </c>
      <c r="BC21" s="139"/>
      <c r="BD21" s="139"/>
    </row>
    <row r="22" spans="1:60" ht="13.5" thickBot="1" x14ac:dyDescent="0.25">
      <c r="A22" s="304">
        <v>20</v>
      </c>
      <c r="B22" s="305"/>
      <c r="C22" s="305"/>
      <c r="D22" s="306"/>
      <c r="E22" s="307">
        <f t="shared" ref="E22:J22" si="63">AF102</f>
        <v>0</v>
      </c>
      <c r="F22" s="307">
        <f t="shared" si="63"/>
        <v>0</v>
      </c>
      <c r="G22" s="307">
        <f t="shared" si="63"/>
        <v>0</v>
      </c>
      <c r="H22" s="307">
        <f t="shared" si="63"/>
        <v>0</v>
      </c>
      <c r="I22" s="307">
        <f t="shared" si="63"/>
        <v>0</v>
      </c>
      <c r="J22" s="307">
        <f t="shared" si="63"/>
        <v>0</v>
      </c>
      <c r="K22" s="307">
        <f>AZ102</f>
        <v>0</v>
      </c>
      <c r="L22" s="308">
        <f t="shared" si="5"/>
        <v>0</v>
      </c>
      <c r="M22" s="309" t="e">
        <f t="shared" si="19"/>
        <v>#DIV/0!</v>
      </c>
      <c r="N22" s="308">
        <f>AL102+AM102</f>
        <v>0</v>
      </c>
      <c r="O22" s="310" t="e">
        <f t="shared" si="1"/>
        <v>#DIV/0!</v>
      </c>
      <c r="P22" s="308">
        <f>SUM(AO102:AP102)</f>
        <v>0</v>
      </c>
      <c r="Q22" s="310" t="e">
        <f t="shared" si="6"/>
        <v>#DIV/0!</v>
      </c>
      <c r="R22" s="308">
        <f>SUM(AR102:AS102)</f>
        <v>0</v>
      </c>
      <c r="S22" s="310" t="e">
        <f t="shared" si="2"/>
        <v>#DIV/0!</v>
      </c>
      <c r="T22" s="308">
        <f>SUM(AU102:AV102)</f>
        <v>0</v>
      </c>
      <c r="U22" s="310" t="e">
        <f t="shared" si="3"/>
        <v>#DIV/0!</v>
      </c>
      <c r="V22" s="308">
        <f>AX102</f>
        <v>0</v>
      </c>
      <c r="W22" s="308">
        <f>BA102</f>
        <v>0</v>
      </c>
      <c r="X22" s="310">
        <f t="shared" si="4"/>
        <v>1</v>
      </c>
      <c r="Y22" s="311"/>
      <c r="Z22" s="311"/>
      <c r="AB22" s="7"/>
      <c r="AC22" s="148"/>
      <c r="AD22" s="148"/>
      <c r="AE22" s="32"/>
      <c r="AF22" s="14">
        <f>SUM(AF19:AF21)</f>
        <v>481</v>
      </c>
      <c r="AG22" s="14">
        <f>SUM(AG19:AG21)</f>
        <v>467</v>
      </c>
      <c r="AH22" s="14">
        <f t="shared" ref="AH22:AK22" si="64">SUM(AH19:AH21)</f>
        <v>465</v>
      </c>
      <c r="AI22" s="14">
        <f t="shared" si="64"/>
        <v>0</v>
      </c>
      <c r="AJ22" s="14">
        <f t="shared" si="64"/>
        <v>4</v>
      </c>
      <c r="AK22" s="14">
        <f t="shared" si="64"/>
        <v>1</v>
      </c>
      <c r="AL22" s="163"/>
      <c r="AM22" s="14">
        <f>SUM(AM19:AM21)</f>
        <v>28</v>
      </c>
      <c r="AN22" s="14">
        <f>SUM(AN19:AN21)</f>
        <v>0</v>
      </c>
      <c r="AO22" s="165"/>
      <c r="AP22" s="14">
        <f>SUM(AP19:AP21)</f>
        <v>2</v>
      </c>
      <c r="AQ22" s="14">
        <f>SUM(AQ19:AQ21)</f>
        <v>0</v>
      </c>
      <c r="AR22" s="165"/>
      <c r="AS22" s="14">
        <f>SUM(AS19:AS21)</f>
        <v>1</v>
      </c>
      <c r="AT22" s="14">
        <f>SUM(AT19:AT21)</f>
        <v>0</v>
      </c>
      <c r="AU22" s="165"/>
      <c r="AV22" s="14">
        <f>SUM(AV19:AV21)</f>
        <v>0</v>
      </c>
      <c r="AW22" s="14">
        <f>SUM(AW19:AW21)</f>
        <v>0</v>
      </c>
      <c r="AX22" s="165"/>
      <c r="AY22" s="14">
        <f>SUM(AY19:AY21)</f>
        <v>31</v>
      </c>
      <c r="AZ22" s="14">
        <f>SUM(AZ19:AZ21)</f>
        <v>0</v>
      </c>
      <c r="BA22" s="14">
        <f>SUM(AY22:AZ22)</f>
        <v>31</v>
      </c>
      <c r="BB22" s="137">
        <f>(BA22+1)/(AH22+1)</f>
        <v>6.8669527896995708E-2</v>
      </c>
      <c r="BC22" s="136"/>
      <c r="BD22" s="136"/>
      <c r="BE22" s="43"/>
    </row>
    <row r="23" spans="1:60" ht="13.5" thickBot="1" x14ac:dyDescent="0.25">
      <c r="B23" s="148"/>
      <c r="C23" s="148"/>
      <c r="D23" s="37"/>
      <c r="E23" s="140">
        <f>SUM(E3:E22)</f>
        <v>8252</v>
      </c>
      <c r="F23" s="140">
        <f t="shared" ref="F23:L23" si="65">SUM(F3:F22)</f>
        <v>7101</v>
      </c>
      <c r="G23" s="140">
        <f t="shared" si="65"/>
        <v>7059</v>
      </c>
      <c r="H23" s="140">
        <f t="shared" si="65"/>
        <v>35</v>
      </c>
      <c r="I23" s="140">
        <f t="shared" si="65"/>
        <v>6</v>
      </c>
      <c r="J23" s="140">
        <f t="shared" si="65"/>
        <v>20</v>
      </c>
      <c r="K23" s="140">
        <f t="shared" si="65"/>
        <v>1</v>
      </c>
      <c r="L23" s="140">
        <f t="shared" si="65"/>
        <v>62</v>
      </c>
      <c r="M23" s="142">
        <f t="shared" ref="M23" si="66">L23/E23</f>
        <v>7.5133301017935045E-3</v>
      </c>
      <c r="N23" s="140">
        <f>SUM(N3:N22)</f>
        <v>198</v>
      </c>
      <c r="O23" s="141">
        <f t="shared" ref="O23" si="67">N23/G23</f>
        <v>2.804929876753081E-2</v>
      </c>
      <c r="P23" s="140">
        <f t="shared" ref="P23:R23" si="68">SUM(P3:P22)</f>
        <v>43</v>
      </c>
      <c r="Q23" s="141">
        <f t="shared" ref="Q23" si="69">P23/G23</f>
        <v>6.0915143788071967E-3</v>
      </c>
      <c r="R23" s="140">
        <f t="shared" si="68"/>
        <v>13</v>
      </c>
      <c r="S23" s="141">
        <f t="shared" ref="S23" si="70">R23/G23</f>
        <v>1.841620626151013E-3</v>
      </c>
      <c r="T23" s="140">
        <f>SUM(T3:T6)</f>
        <v>0</v>
      </c>
      <c r="U23" s="141">
        <f t="shared" ref="U23" si="71">T23/G23</f>
        <v>0</v>
      </c>
      <c r="V23" s="140">
        <f t="shared" ref="V23" si="72">SUM(V3:V22)</f>
        <v>0</v>
      </c>
      <c r="W23" s="140">
        <f>SUM(W3:W22)</f>
        <v>255</v>
      </c>
      <c r="X23" s="141"/>
      <c r="Y23" s="142"/>
      <c r="Z23" s="142"/>
      <c r="AB23" s="13" t="s">
        <v>305</v>
      </c>
      <c r="AD23" s="35"/>
      <c r="AE23" s="28"/>
      <c r="AK23" s="36"/>
      <c r="AL23" s="9"/>
      <c r="AM23" s="35"/>
      <c r="AN23" s="35"/>
      <c r="AO23" s="7"/>
      <c r="AR23" s="7"/>
      <c r="AU23" s="7"/>
      <c r="AX23" s="18"/>
      <c r="AY23" s="17"/>
      <c r="AZ23" s="15"/>
      <c r="BA23" s="7"/>
      <c r="BB23" s="7"/>
      <c r="BC23" s="7"/>
      <c r="BD23" s="7"/>
    </row>
    <row r="24" spans="1:60" ht="12.75" x14ac:dyDescent="0.2">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205" t="s">
        <v>293</v>
      </c>
      <c r="AC24" s="191"/>
      <c r="AD24" s="191"/>
      <c r="AE24" s="192"/>
      <c r="AF24" s="192"/>
      <c r="AG24" s="193"/>
      <c r="AH24" s="192"/>
      <c r="AI24" s="192"/>
      <c r="AJ24" s="192"/>
      <c r="AK24" s="192"/>
      <c r="AL24" s="194" t="e">
        <f>SUM(AI24:AK24)/AG24</f>
        <v>#DIV/0!</v>
      </c>
      <c r="AM24" s="192"/>
      <c r="AN24" s="192"/>
      <c r="AO24" s="195" t="e">
        <f>SUM(AM24:AN24)/AH24</f>
        <v>#DIV/0!</v>
      </c>
      <c r="AP24" s="192"/>
      <c r="AQ24" s="192"/>
      <c r="AR24" s="195" t="e">
        <f>(AP24+AQ24)/$AH24</f>
        <v>#DIV/0!</v>
      </c>
      <c r="AS24" s="192"/>
      <c r="AT24" s="192"/>
      <c r="AU24" s="195" t="e">
        <f>(AS24+AT24)/$AH24</f>
        <v>#DIV/0!</v>
      </c>
      <c r="AV24" s="192"/>
      <c r="AW24" s="192"/>
      <c r="AX24" s="195" t="e">
        <f>(AV24+AW24)/$AH24</f>
        <v>#DIV/0!</v>
      </c>
      <c r="AY24" s="196">
        <f>SUM(AM24,AP24,AS24,AV24)</f>
        <v>0</v>
      </c>
      <c r="AZ24" s="196">
        <f>SUM(AN24,AQ24,AT24,AW24)</f>
        <v>0</v>
      </c>
      <c r="BA24" s="196">
        <f>SUM(AY24:AZ24)</f>
        <v>0</v>
      </c>
      <c r="BB24" s="195">
        <f>(BA24+1)/(AH24+1)</f>
        <v>1</v>
      </c>
      <c r="BC24" s="138"/>
      <c r="BD24" s="138"/>
    </row>
    <row r="25" spans="1:60" ht="20.25" x14ac:dyDescent="0.3">
      <c r="A25" s="34"/>
      <c r="B25" s="34"/>
      <c r="C25" s="34"/>
      <c r="D25" s="34"/>
      <c r="E25" s="34"/>
      <c r="F25" s="19" t="s">
        <v>306</v>
      </c>
      <c r="G25" s="21"/>
      <c r="H25" s="22"/>
      <c r="I25" s="22"/>
      <c r="J25" s="23"/>
      <c r="K25" s="20"/>
      <c r="L25" s="20"/>
      <c r="M25" s="24"/>
      <c r="N25" s="20"/>
      <c r="O25" s="24"/>
      <c r="P25" s="20"/>
      <c r="Q25" s="25"/>
      <c r="R25" s="26"/>
      <c r="S25" s="210"/>
      <c r="T25" s="210"/>
      <c r="U25" s="210"/>
      <c r="V25" s="210"/>
      <c r="W25" s="34"/>
      <c r="X25" s="34"/>
      <c r="Y25" s="34"/>
      <c r="Z25" s="34"/>
      <c r="AB25" s="260" t="s">
        <v>295</v>
      </c>
      <c r="AC25" s="147">
        <v>46003</v>
      </c>
      <c r="AD25" s="147">
        <v>46004</v>
      </c>
      <c r="AE25" s="197">
        <v>1</v>
      </c>
      <c r="AF25" s="197">
        <v>499</v>
      </c>
      <c r="AG25" s="198">
        <v>495</v>
      </c>
      <c r="AH25" s="197">
        <v>496</v>
      </c>
      <c r="AI25" s="197">
        <v>1</v>
      </c>
      <c r="AJ25" s="197">
        <v>0</v>
      </c>
      <c r="AK25" s="197">
        <v>0</v>
      </c>
      <c r="AL25" s="261">
        <f t="shared" ref="AL25:AL26" si="73">SUM(AI25:AK25)/AG25</f>
        <v>2.0202020202020202E-3</v>
      </c>
      <c r="AM25" s="197">
        <v>14</v>
      </c>
      <c r="AN25" s="197">
        <v>0</v>
      </c>
      <c r="AO25" s="262">
        <f t="shared" ref="AO25:AO26" si="74">SUM(AM25:AN25)/AH25</f>
        <v>2.8225806451612902E-2</v>
      </c>
      <c r="AP25" s="197">
        <v>7</v>
      </c>
      <c r="AQ25" s="197">
        <v>0</v>
      </c>
      <c r="AR25" s="262">
        <f t="shared" ref="AR25:AR26" si="75">(AP25+AQ25)/$AH25</f>
        <v>1.4112903225806451E-2</v>
      </c>
      <c r="AS25" s="197">
        <v>0</v>
      </c>
      <c r="AT25" s="197">
        <v>0</v>
      </c>
      <c r="AU25" s="262">
        <f t="shared" ref="AU25:AU26" si="76">(AS25+AT25)/$AH25</f>
        <v>0</v>
      </c>
      <c r="AV25" s="197">
        <v>0</v>
      </c>
      <c r="AW25" s="197">
        <v>0</v>
      </c>
      <c r="AX25" s="262">
        <f t="shared" ref="AX25:AX26" si="77">(AV25+AW25)/$AH25</f>
        <v>0</v>
      </c>
      <c r="AY25" s="263">
        <f t="shared" ref="AY25:AY26" si="78">SUM(AM25,AP25,AS25,AV25)</f>
        <v>21</v>
      </c>
      <c r="AZ25" s="263">
        <f t="shared" ref="AZ25:AZ26" si="79">SUM(AN25,AQ25,AT25,AW25)</f>
        <v>0</v>
      </c>
      <c r="BA25" s="263">
        <f t="shared" ref="BA25:BA26" si="80">SUM(AY25:AZ25)</f>
        <v>21</v>
      </c>
      <c r="BB25" s="262">
        <f t="shared" ref="BB25:BB26" si="81">(BA25+1)/(AH25+1)</f>
        <v>4.4265593561368208E-2</v>
      </c>
      <c r="BC25" s="264"/>
      <c r="BD25" s="264"/>
    </row>
    <row r="26" spans="1:60" ht="21" thickBot="1" x14ac:dyDescent="0.35">
      <c r="A26" s="34"/>
      <c r="B26" s="34"/>
      <c r="C26" s="34"/>
      <c r="D26" s="34"/>
      <c r="E26" s="34"/>
      <c r="F26" s="180" t="s">
        <v>270</v>
      </c>
      <c r="G26" s="183"/>
      <c r="H26" s="184"/>
      <c r="I26" s="184"/>
      <c r="J26" s="185"/>
      <c r="K26" s="182"/>
      <c r="L26" s="182"/>
      <c r="M26" s="186"/>
      <c r="N26" s="182"/>
      <c r="O26" s="186"/>
      <c r="P26" s="182"/>
      <c r="Q26" s="187"/>
      <c r="R26" s="188"/>
      <c r="S26" s="34"/>
      <c r="T26" s="34"/>
      <c r="U26" s="34"/>
      <c r="V26" s="34"/>
      <c r="W26" s="34"/>
      <c r="X26" s="34"/>
      <c r="Y26" s="34"/>
      <c r="Z26" s="34"/>
      <c r="AB26" s="206" t="s">
        <v>296</v>
      </c>
      <c r="AC26" s="199"/>
      <c r="AD26" s="199"/>
      <c r="AE26" s="200"/>
      <c r="AF26" s="200"/>
      <c r="AG26" s="201"/>
      <c r="AH26" s="200"/>
      <c r="AI26" s="200"/>
      <c r="AJ26" s="200"/>
      <c r="AK26" s="200"/>
      <c r="AL26" s="202" t="e">
        <f t="shared" si="73"/>
        <v>#DIV/0!</v>
      </c>
      <c r="AM26" s="200"/>
      <c r="AN26" s="200"/>
      <c r="AO26" s="203" t="e">
        <f t="shared" si="74"/>
        <v>#DIV/0!</v>
      </c>
      <c r="AP26" s="200"/>
      <c r="AQ26" s="200"/>
      <c r="AR26" s="203" t="e">
        <f t="shared" si="75"/>
        <v>#DIV/0!</v>
      </c>
      <c r="AS26" s="200"/>
      <c r="AT26" s="200"/>
      <c r="AU26" s="203" t="e">
        <f t="shared" si="76"/>
        <v>#DIV/0!</v>
      </c>
      <c r="AV26" s="200"/>
      <c r="AW26" s="200"/>
      <c r="AX26" s="203" t="e">
        <f t="shared" si="77"/>
        <v>#DIV/0!</v>
      </c>
      <c r="AY26" s="204">
        <f t="shared" si="78"/>
        <v>0</v>
      </c>
      <c r="AZ26" s="204">
        <f t="shared" si="79"/>
        <v>0</v>
      </c>
      <c r="BA26" s="204">
        <f t="shared" si="80"/>
        <v>0</v>
      </c>
      <c r="BB26" s="203">
        <f t="shared" si="81"/>
        <v>1</v>
      </c>
      <c r="BC26" s="139"/>
      <c r="BD26" s="139"/>
    </row>
    <row r="27" spans="1:60" ht="12.75" x14ac:dyDescent="0.2">
      <c r="B27" s="38"/>
      <c r="C27" s="38"/>
      <c r="M27" s="31"/>
      <c r="O27" s="31"/>
      <c r="Q27" s="31"/>
      <c r="S27" s="31"/>
      <c r="T27" s="42"/>
      <c r="U27" s="42"/>
      <c r="V27" s="42"/>
      <c r="W27" s="42"/>
      <c r="X27" s="42"/>
      <c r="Y27" s="35"/>
      <c r="Z27" s="35"/>
      <c r="AB27" s="7"/>
      <c r="AC27" s="148"/>
      <c r="AD27" s="148"/>
      <c r="AE27" s="32"/>
      <c r="AF27" s="14">
        <f>SUM(AF24:AF26)</f>
        <v>499</v>
      </c>
      <c r="AG27" s="14">
        <f>SUM(AG24:AG26)</f>
        <v>495</v>
      </c>
      <c r="AH27" s="14">
        <f t="shared" ref="AH27:AK27" si="82">SUM(AH24:AH26)</f>
        <v>496</v>
      </c>
      <c r="AI27" s="14">
        <f t="shared" si="82"/>
        <v>1</v>
      </c>
      <c r="AJ27" s="14">
        <f t="shared" si="82"/>
        <v>0</v>
      </c>
      <c r="AK27" s="14">
        <f t="shared" si="82"/>
        <v>0</v>
      </c>
      <c r="AL27" s="163"/>
      <c r="AM27" s="14">
        <f>SUM(AM24:AM26)</f>
        <v>14</v>
      </c>
      <c r="AN27" s="14">
        <f>SUM(AN24:AN26)</f>
        <v>0</v>
      </c>
      <c r="AO27" s="165"/>
      <c r="AP27" s="14">
        <f>SUM(AP24:AP26)</f>
        <v>7</v>
      </c>
      <c r="AQ27" s="14">
        <f>SUM(AQ24:AQ26)</f>
        <v>0</v>
      </c>
      <c r="AR27" s="165"/>
      <c r="AS27" s="14">
        <f>SUM(AS24:AS26)</f>
        <v>0</v>
      </c>
      <c r="AT27" s="14">
        <f>SUM(AT24:AT26)</f>
        <v>0</v>
      </c>
      <c r="AU27" s="165"/>
      <c r="AV27" s="14">
        <f>SUM(AV24:AV26)</f>
        <v>0</v>
      </c>
      <c r="AW27" s="14">
        <f>SUM(AW24:AW26)</f>
        <v>0</v>
      </c>
      <c r="AX27" s="165"/>
      <c r="AY27" s="14">
        <f>SUM(AY24:AY26)</f>
        <v>21</v>
      </c>
      <c r="AZ27" s="14">
        <f>SUM(AZ24:AZ26)</f>
        <v>0</v>
      </c>
      <c r="BA27" s="14">
        <f>SUM(AY27:AZ27)</f>
        <v>21</v>
      </c>
      <c r="BB27" s="137">
        <f>(BA27+1)/(AH27+1)</f>
        <v>4.4265593561368208E-2</v>
      </c>
      <c r="BC27" s="136"/>
      <c r="BD27" s="136"/>
      <c r="BE27" s="43"/>
    </row>
    <row r="28" spans="1:60" ht="13.5" thickBot="1" x14ac:dyDescent="0.25">
      <c r="B28" s="38"/>
      <c r="C28" s="38"/>
      <c r="H28" s="44"/>
      <c r="I28" s="2" t="s">
        <v>307</v>
      </c>
      <c r="J28" s="3" t="s">
        <v>308</v>
      </c>
      <c r="K28" s="4" t="s">
        <v>309</v>
      </c>
      <c r="L28" s="4"/>
      <c r="S28" s="31"/>
      <c r="T28" s="42"/>
      <c r="U28" s="42"/>
      <c r="V28" s="42"/>
      <c r="W28" s="42"/>
      <c r="X28" s="42"/>
      <c r="Y28" s="35"/>
      <c r="Z28" s="35"/>
      <c r="AA28" s="31"/>
      <c r="AB28" s="13" t="s">
        <v>310</v>
      </c>
      <c r="AD28" s="35"/>
      <c r="AE28" s="28"/>
      <c r="AK28" s="36"/>
      <c r="AL28" s="9"/>
      <c r="AM28" s="35"/>
      <c r="AN28" s="35"/>
      <c r="AO28" s="7"/>
      <c r="AR28" s="7"/>
      <c r="AU28" s="7"/>
      <c r="AX28" s="18"/>
      <c r="AY28" s="17"/>
      <c r="AZ28" s="15"/>
      <c r="BA28" s="7"/>
      <c r="BB28" s="7"/>
      <c r="BC28" s="7"/>
      <c r="BD28" s="7"/>
    </row>
    <row r="29" spans="1:60" ht="12.75" x14ac:dyDescent="0.2">
      <c r="B29" s="38"/>
      <c r="C29" s="38"/>
      <c r="D29" s="47"/>
      <c r="E29" s="47"/>
      <c r="F29" s="48"/>
      <c r="H29" s="49"/>
      <c r="I29" s="5">
        <f>AVERAGE(G3:G18)</f>
        <v>441.1875</v>
      </c>
      <c r="J29" s="5">
        <f>AVERAGE(W3:W18)</f>
        <v>15.9375</v>
      </c>
      <c r="K29" s="6">
        <f>ROUND((J29+1)/(I29+1),4)</f>
        <v>3.8300000000000001E-2</v>
      </c>
      <c r="L29" s="6"/>
      <c r="S29" s="31"/>
      <c r="T29" s="42"/>
      <c r="U29" s="42"/>
      <c r="V29" s="42"/>
      <c r="W29" s="42"/>
      <c r="X29" s="42"/>
      <c r="Y29" s="35"/>
      <c r="Z29" s="35"/>
      <c r="AB29" s="205" t="s">
        <v>293</v>
      </c>
      <c r="AC29" s="191"/>
      <c r="AD29" s="191"/>
      <c r="AE29" s="192"/>
      <c r="AF29" s="192"/>
      <c r="AG29" s="193"/>
      <c r="AH29" s="192"/>
      <c r="AI29" s="192"/>
      <c r="AJ29" s="192"/>
      <c r="AK29" s="192"/>
      <c r="AL29" s="194" t="e">
        <f>SUM(AI29:AK29)/AG29</f>
        <v>#DIV/0!</v>
      </c>
      <c r="AM29" s="192"/>
      <c r="AN29" s="192"/>
      <c r="AO29" s="195" t="e">
        <f>SUM(AM29:AN29)/AH29</f>
        <v>#DIV/0!</v>
      </c>
      <c r="AP29" s="192"/>
      <c r="AQ29" s="192"/>
      <c r="AR29" s="195" t="e">
        <f>(AP29+AQ29)/$AH29</f>
        <v>#DIV/0!</v>
      </c>
      <c r="AS29" s="192"/>
      <c r="AT29" s="192"/>
      <c r="AU29" s="195" t="e">
        <f>(AS29+AT29)/$AH29</f>
        <v>#DIV/0!</v>
      </c>
      <c r="AV29" s="192"/>
      <c r="AW29" s="192"/>
      <c r="AX29" s="195" t="e">
        <f>(AV29+AW29)/$AH29</f>
        <v>#DIV/0!</v>
      </c>
      <c r="AY29" s="196">
        <f>SUM(AM29,AP29,AS29,AV29)</f>
        <v>0</v>
      </c>
      <c r="AZ29" s="196">
        <f>SUM(AN29,AQ29,AT29,AW29)</f>
        <v>0</v>
      </c>
      <c r="BA29" s="196">
        <f>SUM(AY29:AZ29)</f>
        <v>0</v>
      </c>
      <c r="BB29" s="195">
        <f>(BA29+1)/(AH29+1)</f>
        <v>1</v>
      </c>
      <c r="BC29" s="138"/>
      <c r="BD29" s="138"/>
    </row>
    <row r="30" spans="1:60" ht="12.75" x14ac:dyDescent="0.2">
      <c r="B30" s="38"/>
      <c r="C30" s="38"/>
      <c r="H30" s="44"/>
      <c r="I30" s="374" t="s">
        <v>311</v>
      </c>
      <c r="J30" s="374"/>
      <c r="K30"/>
      <c r="L30" s="1"/>
      <c r="S30" s="31"/>
      <c r="T30" s="42"/>
      <c r="U30" s="42"/>
      <c r="V30" s="42"/>
      <c r="W30" s="42"/>
      <c r="X30" s="42"/>
      <c r="Y30" s="35"/>
      <c r="Z30" s="35"/>
      <c r="AB30" s="260" t="s">
        <v>295</v>
      </c>
      <c r="AC30" s="147">
        <v>46038</v>
      </c>
      <c r="AD30" s="147">
        <v>46039</v>
      </c>
      <c r="AE30" s="197">
        <v>1</v>
      </c>
      <c r="AF30" s="197">
        <v>493</v>
      </c>
      <c r="AG30" s="198">
        <v>493</v>
      </c>
      <c r="AH30" s="197">
        <v>503</v>
      </c>
      <c r="AI30" s="197">
        <v>7</v>
      </c>
      <c r="AJ30" s="197">
        <v>0</v>
      </c>
      <c r="AK30" s="197">
        <v>1</v>
      </c>
      <c r="AL30" s="261">
        <f t="shared" ref="AL30:AL31" si="83">SUM(AI30:AK30)/AG30</f>
        <v>1.6227180527383367E-2</v>
      </c>
      <c r="AM30" s="197">
        <v>8</v>
      </c>
      <c r="AN30" s="197">
        <v>0</v>
      </c>
      <c r="AO30" s="262">
        <f t="shared" ref="AO30:AO31" si="84">SUM(AM30:AN30)/AH30</f>
        <v>1.5904572564612324E-2</v>
      </c>
      <c r="AP30" s="197">
        <v>0</v>
      </c>
      <c r="AQ30" s="197">
        <v>0</v>
      </c>
      <c r="AR30" s="262">
        <f t="shared" ref="AR30:AR31" si="85">(AP30+AQ30)/$AH30</f>
        <v>0</v>
      </c>
      <c r="AS30" s="197">
        <v>0</v>
      </c>
      <c r="AT30" s="197">
        <v>0</v>
      </c>
      <c r="AU30" s="262">
        <f t="shared" ref="AU30:AU31" si="86">(AS30+AT30)/$AH30</f>
        <v>0</v>
      </c>
      <c r="AV30" s="197">
        <v>0</v>
      </c>
      <c r="AW30" s="197">
        <v>0</v>
      </c>
      <c r="AX30" s="262">
        <f t="shared" ref="AX30:AX31" si="87">(AV30+AW30)/$AH30</f>
        <v>0</v>
      </c>
      <c r="AY30" s="263">
        <f t="shared" ref="AY30:AY31" si="88">SUM(AM30,AP30,AS30,AV30)</f>
        <v>8</v>
      </c>
      <c r="AZ30" s="263">
        <f t="shared" ref="AZ30:AZ31" si="89">SUM(AN30,AQ30,AT30,AW30)</f>
        <v>0</v>
      </c>
      <c r="BA30" s="263">
        <f t="shared" ref="BA30:BA31" si="90">SUM(AY30:AZ30)</f>
        <v>8</v>
      </c>
      <c r="BB30" s="262">
        <f t="shared" ref="BB30:BB31" si="91">(BA30+1)/(AH30+1)</f>
        <v>1.7857142857142856E-2</v>
      </c>
      <c r="BC30" s="264"/>
      <c r="BD30" s="264"/>
    </row>
    <row r="31" spans="1:60" ht="13.5" thickBot="1" x14ac:dyDescent="0.25">
      <c r="B31" s="38"/>
      <c r="H31" s="51"/>
      <c r="I31" s="51"/>
      <c r="J31" s="52"/>
      <c r="S31" s="45"/>
      <c r="T31" s="46"/>
      <c r="U31" s="46"/>
      <c r="V31" s="46"/>
      <c r="W31" s="46"/>
      <c r="X31" s="46"/>
      <c r="AB31" s="206" t="s">
        <v>296</v>
      </c>
      <c r="AC31" s="199"/>
      <c r="AD31" s="199"/>
      <c r="AE31" s="200"/>
      <c r="AF31" s="200"/>
      <c r="AG31" s="201"/>
      <c r="AH31" s="200"/>
      <c r="AI31" s="200"/>
      <c r="AJ31" s="200"/>
      <c r="AK31" s="200"/>
      <c r="AL31" s="202" t="e">
        <f t="shared" si="83"/>
        <v>#DIV/0!</v>
      </c>
      <c r="AM31" s="200"/>
      <c r="AN31" s="200"/>
      <c r="AO31" s="203" t="e">
        <f t="shared" si="84"/>
        <v>#DIV/0!</v>
      </c>
      <c r="AP31" s="200"/>
      <c r="AQ31" s="200"/>
      <c r="AR31" s="203" t="e">
        <f t="shared" si="85"/>
        <v>#DIV/0!</v>
      </c>
      <c r="AS31" s="200"/>
      <c r="AT31" s="200"/>
      <c r="AU31" s="203" t="e">
        <f t="shared" si="86"/>
        <v>#DIV/0!</v>
      </c>
      <c r="AV31" s="200"/>
      <c r="AW31" s="200"/>
      <c r="AX31" s="203" t="e">
        <f t="shared" si="87"/>
        <v>#DIV/0!</v>
      </c>
      <c r="AY31" s="204">
        <f t="shared" si="88"/>
        <v>0</v>
      </c>
      <c r="AZ31" s="204">
        <f t="shared" si="89"/>
        <v>0</v>
      </c>
      <c r="BA31" s="204">
        <f t="shared" si="90"/>
        <v>0</v>
      </c>
      <c r="BB31" s="203">
        <f t="shared" si="91"/>
        <v>1</v>
      </c>
      <c r="BC31" s="139"/>
      <c r="BD31" s="139"/>
    </row>
    <row r="32" spans="1:60" ht="12.75" x14ac:dyDescent="0.2">
      <c r="B32" s="38"/>
      <c r="F32" s="40"/>
      <c r="H32" s="51"/>
      <c r="I32" s="51"/>
      <c r="J32" s="52"/>
      <c r="M32" s="31"/>
      <c r="O32" s="31"/>
      <c r="Q32" s="31"/>
      <c r="Y32" s="29"/>
      <c r="Z32" s="29"/>
      <c r="AB32" s="7"/>
      <c r="AC32" s="148"/>
      <c r="AD32" s="148"/>
      <c r="AE32" s="32"/>
      <c r="AF32" s="14">
        <f>SUM(AF29:AF31)</f>
        <v>493</v>
      </c>
      <c r="AG32" s="14">
        <f>SUM(AG29:AG31)</f>
        <v>493</v>
      </c>
      <c r="AH32" s="14">
        <f t="shared" ref="AH32:AK32" si="92">SUM(AH29:AH31)</f>
        <v>503</v>
      </c>
      <c r="AI32" s="14">
        <f t="shared" si="92"/>
        <v>7</v>
      </c>
      <c r="AJ32" s="14">
        <f t="shared" si="92"/>
        <v>0</v>
      </c>
      <c r="AK32" s="14">
        <f t="shared" si="92"/>
        <v>1</v>
      </c>
      <c r="AL32" s="163"/>
      <c r="AM32" s="14">
        <f>SUM(AM29:AM31)</f>
        <v>8</v>
      </c>
      <c r="AN32" s="14">
        <f>SUM(AN29:AN31)</f>
        <v>0</v>
      </c>
      <c r="AO32" s="165"/>
      <c r="AP32" s="14">
        <f>SUM(AP29:AP31)</f>
        <v>0</v>
      </c>
      <c r="AQ32" s="14">
        <f>SUM(AQ29:AQ31)</f>
        <v>0</v>
      </c>
      <c r="AR32" s="165"/>
      <c r="AS32" s="14">
        <f>SUM(AS29:AS31)</f>
        <v>0</v>
      </c>
      <c r="AT32" s="14">
        <f>SUM(AT29:AT31)</f>
        <v>0</v>
      </c>
      <c r="AU32" s="165"/>
      <c r="AV32" s="14">
        <f>SUM(AV29:AV31)</f>
        <v>0</v>
      </c>
      <c r="AW32" s="14">
        <f>SUM(AW29:AW31)</f>
        <v>0</v>
      </c>
      <c r="AX32" s="165"/>
      <c r="AY32" s="14">
        <f>SUM(AY29:AY31)</f>
        <v>8</v>
      </c>
      <c r="AZ32" s="14">
        <f>SUM(AZ29:AZ31)</f>
        <v>0</v>
      </c>
      <c r="BA32" s="14">
        <f>SUM(AY32:AZ32)</f>
        <v>8</v>
      </c>
      <c r="BB32" s="137">
        <f>(BA32+1)/(AH32+1)</f>
        <v>1.7857142857142856E-2</v>
      </c>
      <c r="BC32" s="136"/>
      <c r="BD32" s="136"/>
      <c r="BE32" s="43"/>
    </row>
    <row r="33" spans="2:59" ht="13.5" thickBot="1" x14ac:dyDescent="0.25">
      <c r="B33" s="38"/>
      <c r="F33" s="40"/>
      <c r="H33" s="51"/>
      <c r="I33" s="51"/>
      <c r="J33" s="52"/>
      <c r="M33" s="31"/>
      <c r="O33" s="31"/>
      <c r="Q33" s="31"/>
      <c r="Y33" s="29"/>
      <c r="Z33" s="29"/>
      <c r="AB33" s="13" t="s">
        <v>312</v>
      </c>
      <c r="AD33" s="35"/>
      <c r="AE33" s="28"/>
      <c r="AK33" s="36"/>
      <c r="AL33" s="9"/>
      <c r="AM33" s="35"/>
      <c r="AN33" s="35"/>
      <c r="AO33" s="7"/>
      <c r="AR33" s="7"/>
      <c r="AU33" s="7"/>
      <c r="AX33" s="18"/>
      <c r="AY33" s="17"/>
      <c r="AZ33" s="15"/>
      <c r="BA33" s="7"/>
      <c r="BB33" s="7"/>
      <c r="BC33" s="7"/>
      <c r="BD33" s="7"/>
    </row>
    <row r="34" spans="2:59" x14ac:dyDescent="0.25">
      <c r="C34" s="53"/>
      <c r="D34" s="54"/>
      <c r="E34" s="54"/>
      <c r="F34" s="55"/>
      <c r="G34" s="56"/>
      <c r="H34" s="51"/>
      <c r="I34" s="51"/>
      <c r="J34" s="52"/>
      <c r="Q34" s="31"/>
      <c r="Y34" s="29"/>
      <c r="Z34" s="29"/>
      <c r="AB34" s="205" t="s">
        <v>293</v>
      </c>
      <c r="AC34" s="191"/>
      <c r="AD34" s="191"/>
      <c r="AE34" s="192"/>
      <c r="AF34" s="192"/>
      <c r="AG34" s="193"/>
      <c r="AH34" s="192"/>
      <c r="AI34" s="192"/>
      <c r="AJ34" s="192"/>
      <c r="AK34" s="192"/>
      <c r="AL34" s="194" t="e">
        <f>SUM(AI34:AK34)/AG34</f>
        <v>#DIV/0!</v>
      </c>
      <c r="AM34" s="192"/>
      <c r="AN34" s="192"/>
      <c r="AO34" s="195" t="e">
        <f>SUM(AM34:AN34)/AH34</f>
        <v>#DIV/0!</v>
      </c>
      <c r="AP34" s="192"/>
      <c r="AQ34" s="192"/>
      <c r="AR34" s="195" t="e">
        <f>(AP34+AQ34)/$AH34</f>
        <v>#DIV/0!</v>
      </c>
      <c r="AS34" s="192"/>
      <c r="AT34" s="192"/>
      <c r="AU34" s="195" t="e">
        <f>(AS34+AT34)/$AH34</f>
        <v>#DIV/0!</v>
      </c>
      <c r="AV34" s="192"/>
      <c r="AW34" s="192"/>
      <c r="AX34" s="195" t="e">
        <f>(AV34+AW34)/$AH34</f>
        <v>#DIV/0!</v>
      </c>
      <c r="AY34" s="196">
        <f>SUM(AM34,AP34,AS34,AV34)</f>
        <v>0</v>
      </c>
      <c r="AZ34" s="196">
        <f>SUM(AN34,AQ34,AT34,AW34)</f>
        <v>0</v>
      </c>
      <c r="BA34" s="196">
        <f>SUM(AY34:AZ34)</f>
        <v>0</v>
      </c>
      <c r="BB34" s="195">
        <f>(BA34+1)/(AH34+1)</f>
        <v>1</v>
      </c>
      <c r="BC34" s="138"/>
      <c r="BD34" s="138"/>
    </row>
    <row r="35" spans="2:59" ht="12.75" x14ac:dyDescent="0.2">
      <c r="Q35" s="31"/>
      <c r="Y35" s="208"/>
      <c r="Z35" s="208"/>
      <c r="AB35" s="260" t="s">
        <v>295</v>
      </c>
      <c r="AC35" s="147">
        <v>46042</v>
      </c>
      <c r="AD35" s="147">
        <v>46043</v>
      </c>
      <c r="AE35" s="197">
        <v>1</v>
      </c>
      <c r="AF35" s="197">
        <v>539</v>
      </c>
      <c r="AG35" s="198">
        <v>535</v>
      </c>
      <c r="AH35" s="197">
        <v>531</v>
      </c>
      <c r="AI35" s="197">
        <v>0</v>
      </c>
      <c r="AJ35" s="197">
        <v>0</v>
      </c>
      <c r="AK35" s="197">
        <v>3</v>
      </c>
      <c r="AL35" s="261">
        <f t="shared" ref="AL35:AL36" si="93">SUM(AI35:AK35)/AG35</f>
        <v>5.6074766355140183E-3</v>
      </c>
      <c r="AM35" s="197">
        <v>7</v>
      </c>
      <c r="AN35" s="197">
        <v>0</v>
      </c>
      <c r="AO35" s="262">
        <f t="shared" ref="AO35:AO36" si="94">SUM(AM35:AN35)/AH35</f>
        <v>1.3182674199623353E-2</v>
      </c>
      <c r="AP35" s="197">
        <v>1</v>
      </c>
      <c r="AQ35" s="197">
        <v>0</v>
      </c>
      <c r="AR35" s="262">
        <f t="shared" ref="AR35:AR36" si="95">(AP35+AQ35)/$AH35</f>
        <v>1.8832391713747645E-3</v>
      </c>
      <c r="AS35" s="197">
        <v>0</v>
      </c>
      <c r="AT35" s="197">
        <v>0</v>
      </c>
      <c r="AU35" s="262">
        <f t="shared" ref="AU35:AU36" si="96">(AS35+AT35)/$AH35</f>
        <v>0</v>
      </c>
      <c r="AV35" s="197">
        <v>0</v>
      </c>
      <c r="AW35" s="197">
        <v>0</v>
      </c>
      <c r="AX35" s="262">
        <f t="shared" ref="AX35:AX36" si="97">(AV35+AW35)/$AH35</f>
        <v>0</v>
      </c>
      <c r="AY35" s="263">
        <f t="shared" ref="AY35:AY36" si="98">SUM(AM35,AP35,AS35,AV35)</f>
        <v>8</v>
      </c>
      <c r="AZ35" s="263">
        <f t="shared" ref="AZ35:AZ36" si="99">SUM(AN35,AQ35,AT35,AW35)</f>
        <v>0</v>
      </c>
      <c r="BA35" s="263">
        <f t="shared" ref="BA35:BA36" si="100">SUM(AY35:AZ35)</f>
        <v>8</v>
      </c>
      <c r="BB35" s="262">
        <f t="shared" ref="BB35:BB36" si="101">(BA35+1)/(AH35+1)</f>
        <v>1.6917293233082706E-2</v>
      </c>
      <c r="BC35" s="264"/>
      <c r="BD35" s="264"/>
    </row>
    <row r="36" spans="2:59" ht="13.5" thickBot="1" x14ac:dyDescent="0.25">
      <c r="Q36" s="31"/>
      <c r="S36" s="31"/>
      <c r="T36" s="42"/>
      <c r="U36" s="42"/>
      <c r="V36" s="42"/>
      <c r="W36" s="42"/>
      <c r="X36" s="42"/>
      <c r="Y36" s="31"/>
      <c r="Z36" s="31"/>
      <c r="AB36" s="206" t="s">
        <v>296</v>
      </c>
      <c r="AC36" s="199"/>
      <c r="AD36" s="199"/>
      <c r="AE36" s="200"/>
      <c r="AF36" s="200"/>
      <c r="AG36" s="201"/>
      <c r="AH36" s="200"/>
      <c r="AI36" s="200"/>
      <c r="AJ36" s="200"/>
      <c r="AK36" s="200"/>
      <c r="AL36" s="202" t="e">
        <f t="shared" si="93"/>
        <v>#DIV/0!</v>
      </c>
      <c r="AM36" s="200"/>
      <c r="AN36" s="200"/>
      <c r="AO36" s="203" t="e">
        <f t="shared" si="94"/>
        <v>#DIV/0!</v>
      </c>
      <c r="AP36" s="200"/>
      <c r="AQ36" s="200"/>
      <c r="AR36" s="203" t="e">
        <f t="shared" si="95"/>
        <v>#DIV/0!</v>
      </c>
      <c r="AS36" s="200"/>
      <c r="AT36" s="200"/>
      <c r="AU36" s="203" t="e">
        <f t="shared" si="96"/>
        <v>#DIV/0!</v>
      </c>
      <c r="AV36" s="200"/>
      <c r="AW36" s="200"/>
      <c r="AX36" s="203" t="e">
        <f t="shared" si="97"/>
        <v>#DIV/0!</v>
      </c>
      <c r="AY36" s="204">
        <f t="shared" si="98"/>
        <v>0</v>
      </c>
      <c r="AZ36" s="204">
        <f t="shared" si="99"/>
        <v>0</v>
      </c>
      <c r="BA36" s="204">
        <f t="shared" si="100"/>
        <v>0</v>
      </c>
      <c r="BB36" s="203">
        <f t="shared" si="101"/>
        <v>1</v>
      </c>
      <c r="BC36" s="139"/>
      <c r="BD36" s="139"/>
      <c r="BE36" s="43"/>
    </row>
    <row r="37" spans="2:59" ht="12.75" x14ac:dyDescent="0.2">
      <c r="Q37" s="31"/>
      <c r="S37" s="57"/>
      <c r="T37" s="58"/>
      <c r="U37" s="58"/>
      <c r="V37" s="58"/>
      <c r="W37" s="58"/>
      <c r="X37" s="58"/>
      <c r="AB37" s="7"/>
      <c r="AC37" s="148"/>
      <c r="AD37" s="148"/>
      <c r="AE37" s="32"/>
      <c r="AF37" s="14">
        <f>SUM(AF34:AF36)</f>
        <v>539</v>
      </c>
      <c r="AG37" s="14">
        <f>SUM(AG34:AG36)</f>
        <v>535</v>
      </c>
      <c r="AH37" s="14">
        <f t="shared" ref="AH37:AK37" si="102">SUM(AH34:AH36)</f>
        <v>531</v>
      </c>
      <c r="AI37" s="14">
        <f t="shared" si="102"/>
        <v>0</v>
      </c>
      <c r="AJ37" s="14">
        <f t="shared" si="102"/>
        <v>0</v>
      </c>
      <c r="AK37" s="14">
        <f t="shared" si="102"/>
        <v>3</v>
      </c>
      <c r="AL37" s="163"/>
      <c r="AM37" s="14">
        <f>SUM(AM34:AM36)</f>
        <v>7</v>
      </c>
      <c r="AN37" s="14">
        <f>SUM(AN34:AN36)</f>
        <v>0</v>
      </c>
      <c r="AO37" s="165"/>
      <c r="AP37" s="14">
        <f>SUM(AP34:AP36)</f>
        <v>1</v>
      </c>
      <c r="AQ37" s="14">
        <f>SUM(AQ34:AQ36)</f>
        <v>0</v>
      </c>
      <c r="AR37" s="165"/>
      <c r="AS37" s="14">
        <f>SUM(AS34:AS36)</f>
        <v>0</v>
      </c>
      <c r="AT37" s="14">
        <f>SUM(AT34:AT36)</f>
        <v>0</v>
      </c>
      <c r="AU37" s="165"/>
      <c r="AV37" s="14">
        <f>SUM(AV34:AV36)</f>
        <v>0</v>
      </c>
      <c r="AW37" s="14">
        <f>SUM(AW34:AW36)</f>
        <v>0</v>
      </c>
      <c r="AX37" s="165"/>
      <c r="AY37" s="14">
        <f>SUM(AY34:AY36)</f>
        <v>8</v>
      </c>
      <c r="AZ37" s="14">
        <f>SUM(AZ34:AZ36)</f>
        <v>0</v>
      </c>
      <c r="BA37" s="14">
        <f>SUM(AY37:AZ37)</f>
        <v>8</v>
      </c>
      <c r="BB37" s="137">
        <f>(BA37+1)/(AH37+1)</f>
        <v>1.6917293233082706E-2</v>
      </c>
      <c r="BC37" s="136"/>
      <c r="BD37" s="136"/>
    </row>
    <row r="38" spans="2:59" ht="15" customHeight="1" thickBot="1" x14ac:dyDescent="0.25">
      <c r="S38" s="57"/>
      <c r="T38" s="58"/>
      <c r="U38" s="58"/>
      <c r="V38" s="58"/>
      <c r="W38" s="58"/>
      <c r="X38" s="58"/>
      <c r="AB38" s="13" t="s">
        <v>313</v>
      </c>
      <c r="AD38" s="35"/>
      <c r="AE38" s="28"/>
      <c r="AK38" s="36"/>
      <c r="AL38" s="9"/>
      <c r="AM38" s="35"/>
      <c r="AN38" s="35"/>
      <c r="AO38" s="7"/>
      <c r="AR38" s="7"/>
      <c r="AU38" s="7"/>
      <c r="AX38" s="18"/>
      <c r="AY38" s="17"/>
      <c r="AZ38" s="15"/>
      <c r="BA38" s="7"/>
      <c r="BB38" s="7"/>
      <c r="BC38" s="7"/>
      <c r="BD38" s="7"/>
    </row>
    <row r="39" spans="2:59" ht="15" customHeight="1" x14ac:dyDescent="0.2">
      <c r="S39" s="57"/>
      <c r="T39" s="58"/>
      <c r="U39" s="58"/>
      <c r="V39" s="58"/>
      <c r="W39" s="58"/>
      <c r="X39" s="58"/>
      <c r="AB39" s="205" t="s">
        <v>293</v>
      </c>
      <c r="AC39" s="191"/>
      <c r="AD39" s="191"/>
      <c r="AE39" s="192"/>
      <c r="AF39" s="192"/>
      <c r="AG39" s="193"/>
      <c r="AH39" s="192"/>
      <c r="AI39" s="192"/>
      <c r="AJ39" s="192"/>
      <c r="AK39" s="192"/>
      <c r="AL39" s="194" t="e">
        <f>SUM(AI39:AK39)/AG39</f>
        <v>#DIV/0!</v>
      </c>
      <c r="AM39" s="192"/>
      <c r="AN39" s="192"/>
      <c r="AO39" s="195" t="e">
        <f>SUM(AM39:AN39)/AH39</f>
        <v>#DIV/0!</v>
      </c>
      <c r="AP39" s="192"/>
      <c r="AQ39" s="192"/>
      <c r="AR39" s="195" t="e">
        <f>(AP39+AQ39)/$AH39</f>
        <v>#DIV/0!</v>
      </c>
      <c r="AS39" s="192"/>
      <c r="AT39" s="192"/>
      <c r="AU39" s="195" t="e">
        <f>(AS39+AT39)/$AH39</f>
        <v>#DIV/0!</v>
      </c>
      <c r="AV39" s="192"/>
      <c r="AW39" s="192"/>
      <c r="AX39" s="195" t="e">
        <f>(AV39+AW39)/$AH39</f>
        <v>#DIV/0!</v>
      </c>
      <c r="AY39" s="196">
        <f>SUM(AM39,AP39,AS39,AV39)</f>
        <v>0</v>
      </c>
      <c r="AZ39" s="196">
        <f>SUM(AN39,AQ39,AT39,AW39)</f>
        <v>0</v>
      </c>
      <c r="BA39" s="196">
        <f>SUM(AY39:AZ39)</f>
        <v>0</v>
      </c>
      <c r="BB39" s="195">
        <f>(BA39+1)/(AH39+1)</f>
        <v>1</v>
      </c>
      <c r="BC39" s="138"/>
      <c r="BD39" s="138"/>
    </row>
    <row r="40" spans="2:59" ht="15" customHeight="1" x14ac:dyDescent="0.2">
      <c r="S40" s="57"/>
      <c r="T40" s="58"/>
      <c r="U40" s="58"/>
      <c r="V40" s="58"/>
      <c r="W40" s="58"/>
      <c r="X40" s="58"/>
      <c r="AB40" s="260" t="s">
        <v>295</v>
      </c>
      <c r="AC40" s="147">
        <v>46045</v>
      </c>
      <c r="AD40" s="147">
        <v>46046</v>
      </c>
      <c r="AE40" s="197">
        <v>1</v>
      </c>
      <c r="AF40" s="197">
        <v>1028</v>
      </c>
      <c r="AG40" s="198">
        <v>512</v>
      </c>
      <c r="AH40" s="197">
        <v>503</v>
      </c>
      <c r="AI40" s="197">
        <v>0</v>
      </c>
      <c r="AJ40" s="197">
        <v>2</v>
      </c>
      <c r="AK40" s="197">
        <v>0</v>
      </c>
      <c r="AL40" s="261">
        <f t="shared" ref="AL40:AL41" si="103">SUM(AI40:AK40)/AG40</f>
        <v>3.90625E-3</v>
      </c>
      <c r="AM40" s="197">
        <v>7</v>
      </c>
      <c r="AN40" s="197">
        <v>0</v>
      </c>
      <c r="AO40" s="262">
        <f t="shared" ref="AO40:AO41" si="104">SUM(AM40:AN40)/AH40</f>
        <v>1.3916500994035786E-2</v>
      </c>
      <c r="AP40" s="197">
        <v>0</v>
      </c>
      <c r="AQ40" s="197">
        <v>0</v>
      </c>
      <c r="AR40" s="262">
        <f t="shared" ref="AR40:AR41" si="105">(AP40+AQ40)/$AH40</f>
        <v>0</v>
      </c>
      <c r="AS40" s="197">
        <v>0</v>
      </c>
      <c r="AT40" s="197">
        <v>0</v>
      </c>
      <c r="AU40" s="262">
        <f t="shared" ref="AU40:AU41" si="106">(AS40+AT40)/$AH40</f>
        <v>0</v>
      </c>
      <c r="AV40" s="197">
        <v>0</v>
      </c>
      <c r="AW40" s="197">
        <v>0</v>
      </c>
      <c r="AX40" s="262">
        <f t="shared" ref="AX40:AX41" si="107">(AV40+AW40)/$AH40</f>
        <v>0</v>
      </c>
      <c r="AY40" s="263">
        <f t="shared" ref="AY40:AY41" si="108">SUM(AM40,AP40,AS40,AV40)</f>
        <v>7</v>
      </c>
      <c r="AZ40" s="263">
        <f t="shared" ref="AZ40:AZ41" si="109">SUM(AN40,AQ40,AT40,AW40)</f>
        <v>0</v>
      </c>
      <c r="BA40" s="263">
        <f t="shared" ref="BA40:BA41" si="110">SUM(AY40:AZ40)</f>
        <v>7</v>
      </c>
      <c r="BB40" s="262">
        <f t="shared" ref="BB40:BB41" si="111">(BA40+1)/(AH40+1)</f>
        <v>1.5873015873015872E-2</v>
      </c>
      <c r="BC40" s="264"/>
      <c r="BD40" s="264"/>
    </row>
    <row r="41" spans="2:59" ht="15" customHeight="1" thickBot="1" x14ac:dyDescent="0.25">
      <c r="AB41" s="206" t="s">
        <v>296</v>
      </c>
      <c r="AC41" s="199"/>
      <c r="AD41" s="199"/>
      <c r="AE41" s="200"/>
      <c r="AF41" s="200"/>
      <c r="AG41" s="201"/>
      <c r="AH41" s="200"/>
      <c r="AI41" s="200"/>
      <c r="AJ41" s="200"/>
      <c r="AK41" s="200"/>
      <c r="AL41" s="202" t="e">
        <f t="shared" si="103"/>
        <v>#DIV/0!</v>
      </c>
      <c r="AM41" s="200"/>
      <c r="AN41" s="200"/>
      <c r="AO41" s="203" t="e">
        <f t="shared" si="104"/>
        <v>#DIV/0!</v>
      </c>
      <c r="AP41" s="200"/>
      <c r="AQ41" s="200"/>
      <c r="AR41" s="203" t="e">
        <f t="shared" si="105"/>
        <v>#DIV/0!</v>
      </c>
      <c r="AS41" s="200"/>
      <c r="AT41" s="200"/>
      <c r="AU41" s="203" t="e">
        <f t="shared" si="106"/>
        <v>#DIV/0!</v>
      </c>
      <c r="AV41" s="200"/>
      <c r="AW41" s="200"/>
      <c r="AX41" s="203" t="e">
        <f t="shared" si="107"/>
        <v>#DIV/0!</v>
      </c>
      <c r="AY41" s="204">
        <f t="shared" si="108"/>
        <v>0</v>
      </c>
      <c r="AZ41" s="204">
        <f t="shared" si="109"/>
        <v>0</v>
      </c>
      <c r="BA41" s="204">
        <f t="shared" si="110"/>
        <v>0</v>
      </c>
      <c r="BB41" s="203">
        <f t="shared" si="111"/>
        <v>1</v>
      </c>
      <c r="BC41" s="139"/>
      <c r="BD41" s="139"/>
      <c r="BE41" s="43"/>
    </row>
    <row r="42" spans="2:59" ht="15" customHeight="1" x14ac:dyDescent="0.2">
      <c r="AB42" s="7"/>
      <c r="AC42" s="148"/>
      <c r="AD42" s="148"/>
      <c r="AE42" s="32"/>
      <c r="AF42" s="14">
        <f>SUM(AF39:AF41)</f>
        <v>1028</v>
      </c>
      <c r="AG42" s="14">
        <f>SUM(AG39:AG41)</f>
        <v>512</v>
      </c>
      <c r="AH42" s="14">
        <f t="shared" ref="AH42:AK42" si="112">SUM(AH39:AH41)</f>
        <v>503</v>
      </c>
      <c r="AI42" s="14">
        <f t="shared" si="112"/>
        <v>0</v>
      </c>
      <c r="AJ42" s="14">
        <f t="shared" si="112"/>
        <v>2</v>
      </c>
      <c r="AK42" s="14">
        <f t="shared" si="112"/>
        <v>0</v>
      </c>
      <c r="AL42" s="163"/>
      <c r="AM42" s="14">
        <f>SUM(AM39:AM41)</f>
        <v>7</v>
      </c>
      <c r="AN42" s="14">
        <f>SUM(AN39:AN41)</f>
        <v>0</v>
      </c>
      <c r="AO42" s="165"/>
      <c r="AP42" s="14">
        <f>SUM(AP39:AP41)</f>
        <v>0</v>
      </c>
      <c r="AQ42" s="14">
        <f>SUM(AQ39:AQ41)</f>
        <v>0</v>
      </c>
      <c r="AR42" s="165"/>
      <c r="AS42" s="14">
        <f>SUM(AS39:AS41)</f>
        <v>0</v>
      </c>
      <c r="AT42" s="14">
        <f>SUM(AT39:AT41)</f>
        <v>0</v>
      </c>
      <c r="AU42" s="165"/>
      <c r="AV42" s="14">
        <f>SUM(AV39:AV41)</f>
        <v>0</v>
      </c>
      <c r="AW42" s="14">
        <f>SUM(AW39:AW41)</f>
        <v>0</v>
      </c>
      <c r="AX42" s="165"/>
      <c r="AY42" s="14">
        <f>SUM(AY39:AY41)</f>
        <v>7</v>
      </c>
      <c r="AZ42" s="14">
        <f>SUM(AZ39:AZ41)</f>
        <v>0</v>
      </c>
      <c r="BA42" s="14">
        <f>SUM(AY42:AZ42)</f>
        <v>7</v>
      </c>
      <c r="BB42" s="137">
        <f>(BA42+1)/(AH42+1)</f>
        <v>1.5873015873015872E-2</v>
      </c>
      <c r="BC42" s="136"/>
      <c r="BD42" s="136"/>
    </row>
    <row r="43" spans="2:59" ht="15" customHeight="1" thickBot="1" x14ac:dyDescent="0.25">
      <c r="AB43" s="13" t="s">
        <v>314</v>
      </c>
      <c r="AD43" s="35"/>
      <c r="AE43" s="28"/>
      <c r="AK43" s="36"/>
      <c r="AL43" s="9"/>
      <c r="AM43" s="35"/>
      <c r="AN43" s="35"/>
      <c r="AO43" s="7"/>
      <c r="AR43" s="7"/>
      <c r="AU43" s="7"/>
      <c r="AX43" s="18"/>
      <c r="AY43" s="17"/>
      <c r="AZ43" s="15"/>
      <c r="BA43" s="7"/>
      <c r="BB43" s="7"/>
      <c r="BC43" s="7"/>
      <c r="BD43" s="7"/>
    </row>
    <row r="44" spans="2:59" ht="15" customHeight="1" x14ac:dyDescent="0.2">
      <c r="AB44" s="205" t="s">
        <v>293</v>
      </c>
      <c r="AC44" s="191"/>
      <c r="AD44" s="191"/>
      <c r="AE44" s="192"/>
      <c r="AF44" s="192"/>
      <c r="AG44" s="193"/>
      <c r="AH44" s="192"/>
      <c r="AI44" s="192"/>
      <c r="AJ44" s="192"/>
      <c r="AK44" s="192"/>
      <c r="AL44" s="194" t="e">
        <f>SUM(AI44:AK44)/AG44</f>
        <v>#DIV/0!</v>
      </c>
      <c r="AM44" s="192"/>
      <c r="AN44" s="192"/>
      <c r="AO44" s="195" t="e">
        <f>SUM(AM44:AN44)/AH44</f>
        <v>#DIV/0!</v>
      </c>
      <c r="AP44" s="192"/>
      <c r="AQ44" s="192"/>
      <c r="AR44" s="195" t="e">
        <f>(AP44+AQ44)/$AH44</f>
        <v>#DIV/0!</v>
      </c>
      <c r="AS44" s="192"/>
      <c r="AT44" s="192"/>
      <c r="AU44" s="195" t="e">
        <f>(AS44+AT44)/$AH44</f>
        <v>#DIV/0!</v>
      </c>
      <c r="AV44" s="192"/>
      <c r="AW44" s="192"/>
      <c r="AX44" s="195" t="e">
        <f>(AV44+AW44)/$AH44</f>
        <v>#DIV/0!</v>
      </c>
      <c r="AY44" s="196">
        <f>SUM(AM44,AP44,AS44,AV44)</f>
        <v>0</v>
      </c>
      <c r="AZ44" s="196">
        <f>SUM(AN44,AQ44,AT44,AW44)</f>
        <v>0</v>
      </c>
      <c r="BA44" s="196">
        <f>SUM(AY44:AZ44)</f>
        <v>0</v>
      </c>
      <c r="BB44" s="195">
        <f>(BA44+1)/(AH44+1)</f>
        <v>1</v>
      </c>
      <c r="BC44" s="138"/>
      <c r="BD44" s="138"/>
    </row>
    <row r="45" spans="2:59" ht="15" customHeight="1" x14ac:dyDescent="0.2">
      <c r="AB45" s="260" t="s">
        <v>295</v>
      </c>
      <c r="AC45" s="147">
        <v>46052</v>
      </c>
      <c r="AD45" s="147">
        <v>46053</v>
      </c>
      <c r="AE45" s="197">
        <v>2</v>
      </c>
      <c r="AF45" s="197">
        <v>509</v>
      </c>
      <c r="AG45" s="198">
        <v>505</v>
      </c>
      <c r="AH45" s="197">
        <v>503</v>
      </c>
      <c r="AI45" s="197">
        <v>4</v>
      </c>
      <c r="AJ45" s="197">
        <v>0</v>
      </c>
      <c r="AK45" s="197">
        <v>2</v>
      </c>
      <c r="AL45" s="261">
        <f t="shared" ref="AL45:AL46" si="113">SUM(AI45:AK45)/AG45</f>
        <v>1.1881188118811881E-2</v>
      </c>
      <c r="AM45" s="197">
        <v>11</v>
      </c>
      <c r="AN45" s="197">
        <v>0</v>
      </c>
      <c r="AO45" s="262">
        <f t="shared" ref="AO45:AO46" si="114">SUM(AM45:AN45)/AH45</f>
        <v>2.186878727634195E-2</v>
      </c>
      <c r="AP45" s="197">
        <v>0</v>
      </c>
      <c r="AQ45" s="197">
        <v>0</v>
      </c>
      <c r="AR45" s="262">
        <f t="shared" ref="AR45:AR46" si="115">(AP45+AQ45)/$AH45</f>
        <v>0</v>
      </c>
      <c r="AS45" s="197">
        <v>0</v>
      </c>
      <c r="AT45" s="197">
        <v>0</v>
      </c>
      <c r="AU45" s="262">
        <f t="shared" ref="AU45:AU46" si="116">(AS45+AT45)/$AH45</f>
        <v>0</v>
      </c>
      <c r="AV45" s="197">
        <v>0</v>
      </c>
      <c r="AW45" s="197">
        <v>0</v>
      </c>
      <c r="AX45" s="262">
        <f t="shared" ref="AX45:AX46" si="117">(AV45+AW45)/$AH45</f>
        <v>0</v>
      </c>
      <c r="AY45" s="263">
        <f t="shared" ref="AY45:AY46" si="118">SUM(AM45,AP45,AS45,AV45)</f>
        <v>11</v>
      </c>
      <c r="AZ45" s="263">
        <f t="shared" ref="AZ45:AZ46" si="119">SUM(AN45,AQ45,AT45,AW45)</f>
        <v>0</v>
      </c>
      <c r="BA45" s="263">
        <f t="shared" ref="BA45:BA46" si="120">SUM(AY45:AZ45)</f>
        <v>11</v>
      </c>
      <c r="BB45" s="262">
        <f t="shared" ref="BB45:BB46" si="121">(BA45+1)/(AH45+1)</f>
        <v>2.3809523809523808E-2</v>
      </c>
      <c r="BC45" s="264"/>
      <c r="BD45" s="264"/>
    </row>
    <row r="46" spans="2:59" ht="15" customHeight="1" thickBot="1" x14ac:dyDescent="0.25">
      <c r="AB46" s="206" t="s">
        <v>296</v>
      </c>
      <c r="AC46" s="199"/>
      <c r="AD46" s="199"/>
      <c r="AE46" s="200"/>
      <c r="AF46" s="200"/>
      <c r="AG46" s="201"/>
      <c r="AH46" s="200"/>
      <c r="AI46" s="200"/>
      <c r="AJ46" s="200"/>
      <c r="AK46" s="200"/>
      <c r="AL46" s="202" t="e">
        <f t="shared" si="113"/>
        <v>#DIV/0!</v>
      </c>
      <c r="AM46" s="200"/>
      <c r="AN46" s="200"/>
      <c r="AO46" s="203" t="e">
        <f t="shared" si="114"/>
        <v>#DIV/0!</v>
      </c>
      <c r="AP46" s="200"/>
      <c r="AQ46" s="200"/>
      <c r="AR46" s="203" t="e">
        <f t="shared" si="115"/>
        <v>#DIV/0!</v>
      </c>
      <c r="AS46" s="200"/>
      <c r="AT46" s="200"/>
      <c r="AU46" s="203" t="e">
        <f t="shared" si="116"/>
        <v>#DIV/0!</v>
      </c>
      <c r="AV46" s="200"/>
      <c r="AW46" s="200"/>
      <c r="AX46" s="203" t="e">
        <f t="shared" si="117"/>
        <v>#DIV/0!</v>
      </c>
      <c r="AY46" s="204">
        <f t="shared" si="118"/>
        <v>0</v>
      </c>
      <c r="AZ46" s="204">
        <f t="shared" si="119"/>
        <v>0</v>
      </c>
      <c r="BA46" s="204">
        <f t="shared" si="120"/>
        <v>0</v>
      </c>
      <c r="BB46" s="203">
        <f t="shared" si="121"/>
        <v>1</v>
      </c>
      <c r="BC46" s="139"/>
      <c r="BD46" s="139"/>
      <c r="BE46" s="43"/>
    </row>
    <row r="47" spans="2:59" ht="12.75" x14ac:dyDescent="0.2">
      <c r="AB47" s="7"/>
      <c r="AC47" s="148"/>
      <c r="AD47" s="148"/>
      <c r="AE47" s="32"/>
      <c r="AF47" s="14">
        <f>SUM(AF44:AF46)</f>
        <v>509</v>
      </c>
      <c r="AG47" s="14">
        <f>SUM(AG44:AG46)</f>
        <v>505</v>
      </c>
      <c r="AH47" s="14">
        <f t="shared" ref="AH47:AK47" si="122">SUM(AH44:AH46)</f>
        <v>503</v>
      </c>
      <c r="AI47" s="14">
        <f t="shared" si="122"/>
        <v>4</v>
      </c>
      <c r="AJ47" s="14">
        <f t="shared" si="122"/>
        <v>0</v>
      </c>
      <c r="AK47" s="14">
        <f t="shared" si="122"/>
        <v>2</v>
      </c>
      <c r="AL47" s="163"/>
      <c r="AM47" s="14">
        <f>SUM(AM44:AM46)</f>
        <v>11</v>
      </c>
      <c r="AN47" s="14">
        <f>SUM(AN44:AN46)</f>
        <v>0</v>
      </c>
      <c r="AO47" s="165"/>
      <c r="AP47" s="14">
        <f>SUM(AP44:AP46)</f>
        <v>0</v>
      </c>
      <c r="AQ47" s="14">
        <f>SUM(AQ44:AQ46)</f>
        <v>0</v>
      </c>
      <c r="AR47" s="165"/>
      <c r="AS47" s="14">
        <f>SUM(AS44:AS46)</f>
        <v>0</v>
      </c>
      <c r="AT47" s="14">
        <f>SUM(AT44:AT46)</f>
        <v>0</v>
      </c>
      <c r="AU47" s="165"/>
      <c r="AV47" s="14">
        <f>SUM(AV44:AV46)</f>
        <v>0</v>
      </c>
      <c r="AW47" s="14">
        <f>SUM(AW44:AW46)</f>
        <v>0</v>
      </c>
      <c r="AX47" s="165"/>
      <c r="AY47" s="14">
        <f>SUM(AY44:AY46)</f>
        <v>11</v>
      </c>
      <c r="AZ47" s="14">
        <f>SUM(AZ44:AZ46)</f>
        <v>0</v>
      </c>
      <c r="BA47" s="14">
        <f>SUM(AY47:AZ47)</f>
        <v>11</v>
      </c>
      <c r="BB47" s="137">
        <f>(BA47+1)/(AH47+1)</f>
        <v>2.3809523809523808E-2</v>
      </c>
      <c r="BC47" s="136"/>
      <c r="BD47" s="136"/>
      <c r="BG47" s="29"/>
    </row>
    <row r="48" spans="2:59" ht="15" customHeight="1" thickBot="1" x14ac:dyDescent="0.25">
      <c r="AB48" s="13" t="s">
        <v>315</v>
      </c>
      <c r="AD48" s="35"/>
      <c r="AE48" s="28"/>
      <c r="AK48" s="36"/>
      <c r="AL48" s="9"/>
      <c r="AM48" s="35"/>
      <c r="AN48" s="35"/>
      <c r="AO48" s="7"/>
      <c r="AR48" s="7"/>
      <c r="AU48" s="7"/>
      <c r="AX48" s="18"/>
      <c r="AY48" s="17"/>
      <c r="AZ48" s="15"/>
      <c r="BA48" s="7"/>
      <c r="BB48" s="7"/>
      <c r="BC48" s="7"/>
      <c r="BD48" s="7"/>
      <c r="BG48" s="29"/>
    </row>
    <row r="49" spans="11:60" ht="15" customHeight="1" x14ac:dyDescent="0.2">
      <c r="AB49" s="205" t="s">
        <v>293</v>
      </c>
      <c r="AC49" s="191"/>
      <c r="AD49" s="191"/>
      <c r="AE49" s="192"/>
      <c r="AF49" s="192"/>
      <c r="AG49" s="193"/>
      <c r="AH49" s="192"/>
      <c r="AI49" s="192"/>
      <c r="AJ49" s="192"/>
      <c r="AK49" s="192"/>
      <c r="AL49" s="194" t="e">
        <f>SUM(AI49:AK49)/AG49</f>
        <v>#DIV/0!</v>
      </c>
      <c r="AM49" s="192"/>
      <c r="AN49" s="192"/>
      <c r="AO49" s="195" t="e">
        <f>SUM(AM49:AN49)/AH49</f>
        <v>#DIV/0!</v>
      </c>
      <c r="AP49" s="192"/>
      <c r="AQ49" s="192"/>
      <c r="AR49" s="195" t="e">
        <f>(AP49+AQ49)/$AH49</f>
        <v>#DIV/0!</v>
      </c>
      <c r="AS49" s="192"/>
      <c r="AT49" s="192"/>
      <c r="AU49" s="195" t="e">
        <f>(AS49+AT49)/$AH49</f>
        <v>#DIV/0!</v>
      </c>
      <c r="AV49" s="192"/>
      <c r="AW49" s="192"/>
      <c r="AX49" s="195" t="e">
        <f>(AV49+AW49)/$AH49</f>
        <v>#DIV/0!</v>
      </c>
      <c r="AY49" s="196">
        <f>SUM(AM49,AP49,AS49,AV49)</f>
        <v>0</v>
      </c>
      <c r="AZ49" s="196">
        <f>SUM(AN49,AQ49,AT49,AW49)</f>
        <v>0</v>
      </c>
      <c r="BA49" s="196">
        <f>SUM(AY49:AZ49)</f>
        <v>0</v>
      </c>
      <c r="BB49" s="195">
        <f>(BA49+1)/(AH49+1)</f>
        <v>1</v>
      </c>
      <c r="BC49" s="138"/>
      <c r="BD49" s="138"/>
      <c r="BG49" s="29"/>
    </row>
    <row r="50" spans="11:60" ht="15" customHeight="1" x14ac:dyDescent="0.2">
      <c r="AB50" s="260" t="s">
        <v>295</v>
      </c>
      <c r="AC50" s="147">
        <v>46056</v>
      </c>
      <c r="AD50" s="147">
        <v>46057</v>
      </c>
      <c r="AE50" s="197">
        <v>1</v>
      </c>
      <c r="AF50" s="197">
        <v>501</v>
      </c>
      <c r="AG50" s="198">
        <v>499</v>
      </c>
      <c r="AH50" s="197">
        <v>498</v>
      </c>
      <c r="AI50" s="197">
        <v>1</v>
      </c>
      <c r="AJ50" s="197">
        <v>0</v>
      </c>
      <c r="AK50" s="197">
        <v>1</v>
      </c>
      <c r="AL50" s="261">
        <f t="shared" ref="AL50:AL51" si="123">SUM(AI50:AK50)/AG50</f>
        <v>4.0080160320641279E-3</v>
      </c>
      <c r="AM50" s="197">
        <v>3</v>
      </c>
      <c r="AN50" s="197">
        <v>0</v>
      </c>
      <c r="AO50" s="262">
        <f t="shared" ref="AO50:AO51" si="124">SUM(AM50:AN50)/AH50</f>
        <v>6.024096385542169E-3</v>
      </c>
      <c r="AP50" s="197">
        <v>0</v>
      </c>
      <c r="AQ50" s="197">
        <v>0</v>
      </c>
      <c r="AR50" s="262">
        <f t="shared" ref="AR50:AR51" si="125">(AP50+AQ50)/$AH50</f>
        <v>0</v>
      </c>
      <c r="AS50" s="197">
        <v>3</v>
      </c>
      <c r="AT50" s="197">
        <v>0</v>
      </c>
      <c r="AU50" s="262">
        <f t="shared" ref="AU50:AU51" si="126">(AS50+AT50)/$AH50</f>
        <v>6.024096385542169E-3</v>
      </c>
      <c r="AV50" s="197">
        <v>0</v>
      </c>
      <c r="AW50" s="197">
        <v>0</v>
      </c>
      <c r="AX50" s="262">
        <f t="shared" ref="AX50:AX51" si="127">(AV50+AW50)/$AH50</f>
        <v>0</v>
      </c>
      <c r="AY50" s="263">
        <f t="shared" ref="AY50:AY51" si="128">SUM(AM50,AP50,AS50,AV50)</f>
        <v>6</v>
      </c>
      <c r="AZ50" s="263">
        <f t="shared" ref="AZ50:AZ51" si="129">SUM(AN50,AQ50,AT50,AW50)</f>
        <v>0</v>
      </c>
      <c r="BA50" s="263">
        <f t="shared" ref="BA50:BA51" si="130">SUM(AY50:AZ50)</f>
        <v>6</v>
      </c>
      <c r="BB50" s="262">
        <f t="shared" ref="BB50:BB51" si="131">(BA50+1)/(AH50+1)</f>
        <v>1.4028056112224449E-2</v>
      </c>
      <c r="BC50" s="264"/>
      <c r="BD50" s="264"/>
      <c r="BE50" s="43"/>
      <c r="BG50" s="29"/>
    </row>
    <row r="51" spans="11:60" ht="15" customHeight="1" thickBot="1" x14ac:dyDescent="0.25">
      <c r="P51" s="59"/>
      <c r="AB51" s="206" t="s">
        <v>296</v>
      </c>
      <c r="AC51" s="199"/>
      <c r="AD51" s="199"/>
      <c r="AE51" s="200"/>
      <c r="AF51" s="200"/>
      <c r="AG51" s="201"/>
      <c r="AH51" s="200"/>
      <c r="AI51" s="200"/>
      <c r="AJ51" s="200"/>
      <c r="AK51" s="200"/>
      <c r="AL51" s="202" t="e">
        <f t="shared" si="123"/>
        <v>#DIV/0!</v>
      </c>
      <c r="AM51" s="200"/>
      <c r="AN51" s="200"/>
      <c r="AO51" s="203" t="e">
        <f t="shared" si="124"/>
        <v>#DIV/0!</v>
      </c>
      <c r="AP51" s="200"/>
      <c r="AQ51" s="200"/>
      <c r="AR51" s="203" t="e">
        <f t="shared" si="125"/>
        <v>#DIV/0!</v>
      </c>
      <c r="AS51" s="200"/>
      <c r="AT51" s="200"/>
      <c r="AU51" s="203" t="e">
        <f t="shared" si="126"/>
        <v>#DIV/0!</v>
      </c>
      <c r="AV51" s="200"/>
      <c r="AW51" s="200"/>
      <c r="AX51" s="203" t="e">
        <f t="shared" si="127"/>
        <v>#DIV/0!</v>
      </c>
      <c r="AY51" s="204">
        <f t="shared" si="128"/>
        <v>0</v>
      </c>
      <c r="AZ51" s="204">
        <f t="shared" si="129"/>
        <v>0</v>
      </c>
      <c r="BA51" s="204">
        <f t="shared" si="130"/>
        <v>0</v>
      </c>
      <c r="BB51" s="203">
        <f t="shared" si="131"/>
        <v>1</v>
      </c>
      <c r="BC51" s="139"/>
      <c r="BD51" s="139"/>
      <c r="BG51" s="29"/>
    </row>
    <row r="52" spans="11:60" ht="15" customHeight="1" x14ac:dyDescent="0.2">
      <c r="AB52" s="7"/>
      <c r="AC52" s="148"/>
      <c r="AD52" s="148"/>
      <c r="AE52" s="32"/>
      <c r="AF52" s="14">
        <f>SUM(AF49:AF51)</f>
        <v>501</v>
      </c>
      <c r="AG52" s="14">
        <f>SUM(AG49:AG51)</f>
        <v>499</v>
      </c>
      <c r="AH52" s="14">
        <f t="shared" ref="AH52:AK52" si="132">SUM(AH49:AH51)</f>
        <v>498</v>
      </c>
      <c r="AI52" s="14">
        <f t="shared" si="132"/>
        <v>1</v>
      </c>
      <c r="AJ52" s="14">
        <f t="shared" si="132"/>
        <v>0</v>
      </c>
      <c r="AK52" s="14">
        <f t="shared" si="132"/>
        <v>1</v>
      </c>
      <c r="AL52" s="163"/>
      <c r="AM52" s="14">
        <f>SUM(AM49:AM51)</f>
        <v>3</v>
      </c>
      <c r="AN52" s="14">
        <f>SUM(AN49:AN51)</f>
        <v>0</v>
      </c>
      <c r="AO52" s="165"/>
      <c r="AP52" s="14">
        <f>SUM(AP49:AP51)</f>
        <v>0</v>
      </c>
      <c r="AQ52" s="14">
        <f>SUM(AQ49:AQ51)</f>
        <v>0</v>
      </c>
      <c r="AR52" s="165"/>
      <c r="AS52" s="14">
        <f>SUM(AS49:AS51)</f>
        <v>3</v>
      </c>
      <c r="AT52" s="14">
        <f>SUM(AT49:AT51)</f>
        <v>0</v>
      </c>
      <c r="AU52" s="165"/>
      <c r="AV52" s="14">
        <f>SUM(AV49:AV51)</f>
        <v>0</v>
      </c>
      <c r="AW52" s="14">
        <f>SUM(AW49:AW51)</f>
        <v>0</v>
      </c>
      <c r="AX52" s="165"/>
      <c r="AY52" s="14">
        <f>SUM(AY49:AY51)</f>
        <v>6</v>
      </c>
      <c r="AZ52" s="14">
        <f>SUM(AZ49:AZ51)</f>
        <v>0</v>
      </c>
      <c r="BA52" s="14">
        <f>SUM(AY52:AZ52)</f>
        <v>6</v>
      </c>
      <c r="BB52" s="137">
        <f>(BA52+1)/(AH52+1)</f>
        <v>1.4028056112224449E-2</v>
      </c>
      <c r="BC52" s="136"/>
      <c r="BD52" s="136"/>
      <c r="BG52" s="29"/>
    </row>
    <row r="53" spans="11:60" ht="15" customHeight="1" thickBot="1" x14ac:dyDescent="0.25">
      <c r="AB53" s="13" t="s">
        <v>316</v>
      </c>
      <c r="AD53" s="35"/>
      <c r="AE53" s="28"/>
      <c r="AK53" s="36"/>
      <c r="AL53" s="9"/>
      <c r="AM53" s="35"/>
      <c r="AN53" s="35"/>
      <c r="AO53" s="7"/>
      <c r="AR53" s="7"/>
      <c r="AU53" s="7"/>
      <c r="AX53" s="18"/>
      <c r="AY53" s="17"/>
      <c r="AZ53" s="15"/>
      <c r="BA53" s="7"/>
      <c r="BB53" s="7"/>
      <c r="BC53" s="7"/>
      <c r="BD53" s="7"/>
      <c r="BF53" s="29"/>
    </row>
    <row r="54" spans="11:60" ht="15" customHeight="1" x14ac:dyDescent="0.2">
      <c r="S54" s="31"/>
      <c r="T54" s="42"/>
      <c r="U54" s="42"/>
      <c r="V54" s="42"/>
      <c r="W54" s="42"/>
      <c r="X54" s="42"/>
      <c r="AB54" s="205" t="s">
        <v>293</v>
      </c>
      <c r="AC54" s="191"/>
      <c r="AD54" s="191"/>
      <c r="AE54" s="192"/>
      <c r="AF54" s="192"/>
      <c r="AG54" s="193"/>
      <c r="AH54" s="192"/>
      <c r="AI54" s="192"/>
      <c r="AJ54" s="192"/>
      <c r="AK54" s="192"/>
      <c r="AL54" s="194" t="e">
        <f>SUM(AI54:AK54)/AG54</f>
        <v>#DIV/0!</v>
      </c>
      <c r="AM54" s="192"/>
      <c r="AN54" s="192"/>
      <c r="AO54" s="195" t="e">
        <f>SUM(AM54:AN54)/AH54</f>
        <v>#DIV/0!</v>
      </c>
      <c r="AP54" s="192"/>
      <c r="AQ54" s="192"/>
      <c r="AR54" s="195" t="e">
        <f>(AP54+AQ54)/$AH54</f>
        <v>#DIV/0!</v>
      </c>
      <c r="AS54" s="192"/>
      <c r="AT54" s="192"/>
      <c r="AU54" s="195" t="e">
        <f>(AS54+AT54)/$AH54</f>
        <v>#DIV/0!</v>
      </c>
      <c r="AV54" s="192"/>
      <c r="AW54" s="192"/>
      <c r="AX54" s="195" t="e">
        <f>(AV54+AW54)/$AH54</f>
        <v>#DIV/0!</v>
      </c>
      <c r="AY54" s="196">
        <f>SUM(AM54,AP54,AS54,AV54)</f>
        <v>0</v>
      </c>
      <c r="AZ54" s="196">
        <f>SUM(AN54,AQ54,AT54,AW54)</f>
        <v>0</v>
      </c>
      <c r="BA54" s="196">
        <f>SUM(AY54:AZ54)</f>
        <v>0</v>
      </c>
      <c r="BB54" s="195">
        <f>(BA54+1)/(AH54+1)</f>
        <v>1</v>
      </c>
      <c r="BC54" s="138"/>
      <c r="BD54" s="138"/>
      <c r="BH54" s="29"/>
    </row>
    <row r="55" spans="11:60" ht="15" customHeight="1" x14ac:dyDescent="0.2">
      <c r="AB55" s="260" t="s">
        <v>295</v>
      </c>
      <c r="AC55" s="147">
        <v>46059</v>
      </c>
      <c r="AD55" s="147">
        <v>46060</v>
      </c>
      <c r="AE55" s="197">
        <v>1</v>
      </c>
      <c r="AF55" s="197">
        <v>500</v>
      </c>
      <c r="AG55" s="198">
        <v>498</v>
      </c>
      <c r="AH55" s="197">
        <v>491</v>
      </c>
      <c r="AI55" s="197">
        <v>1</v>
      </c>
      <c r="AJ55" s="197">
        <v>0</v>
      </c>
      <c r="AK55" s="197">
        <v>5</v>
      </c>
      <c r="AL55" s="261">
        <f t="shared" ref="AL55:AL56" si="133">SUM(AI55:AK55)/AG55</f>
        <v>1.2048192771084338E-2</v>
      </c>
      <c r="AM55" s="197">
        <v>1</v>
      </c>
      <c r="AN55" s="197">
        <v>0</v>
      </c>
      <c r="AO55" s="262">
        <f t="shared" ref="AO55:AO56" si="134">SUM(AM55:AN55)/AH55</f>
        <v>2.0366598778004071E-3</v>
      </c>
      <c r="AP55" s="197">
        <v>1</v>
      </c>
      <c r="AQ55" s="197">
        <v>0</v>
      </c>
      <c r="AR55" s="262">
        <f t="shared" ref="AR55:AR56" si="135">(AP55+AQ55)/$AH55</f>
        <v>2.0366598778004071E-3</v>
      </c>
      <c r="AS55" s="197">
        <v>0</v>
      </c>
      <c r="AT55" s="197">
        <v>0</v>
      </c>
      <c r="AU55" s="262">
        <f t="shared" ref="AU55:AU56" si="136">(AS55+AT55)/$AH55</f>
        <v>0</v>
      </c>
      <c r="AV55" s="197">
        <v>0</v>
      </c>
      <c r="AW55" s="197">
        <v>0</v>
      </c>
      <c r="AX55" s="262">
        <f t="shared" ref="AX55:AX56" si="137">(AV55+AW55)/$AH55</f>
        <v>0</v>
      </c>
      <c r="AY55" s="263">
        <f t="shared" ref="AY55:AY56" si="138">SUM(AM55,AP55,AS55,AV55)</f>
        <v>2</v>
      </c>
      <c r="AZ55" s="263">
        <f t="shared" ref="AZ55:AZ56" si="139">SUM(AN55,AQ55,AT55,AW55)</f>
        <v>0</v>
      </c>
      <c r="BA55" s="263">
        <f t="shared" ref="BA55:BA56" si="140">SUM(AY55:AZ55)</f>
        <v>2</v>
      </c>
      <c r="BB55" s="262">
        <f t="shared" ref="BB55:BB56" si="141">(BA55+1)/(AH55+1)</f>
        <v>6.0975609756097563E-3</v>
      </c>
      <c r="BC55" s="264"/>
      <c r="BD55" s="264"/>
      <c r="BE55" s="43"/>
      <c r="BH55" s="29"/>
    </row>
    <row r="56" spans="11:60" ht="15" customHeight="1" thickBot="1" x14ac:dyDescent="0.25">
      <c r="AB56" s="206" t="s">
        <v>296</v>
      </c>
      <c r="AC56" s="199"/>
      <c r="AD56" s="199"/>
      <c r="AE56" s="200"/>
      <c r="AF56" s="200"/>
      <c r="AG56" s="201"/>
      <c r="AH56" s="200"/>
      <c r="AI56" s="200"/>
      <c r="AJ56" s="200"/>
      <c r="AK56" s="200"/>
      <c r="AL56" s="202" t="e">
        <f t="shared" si="133"/>
        <v>#DIV/0!</v>
      </c>
      <c r="AM56" s="200"/>
      <c r="AN56" s="200"/>
      <c r="AO56" s="203" t="e">
        <f t="shared" si="134"/>
        <v>#DIV/0!</v>
      </c>
      <c r="AP56" s="200"/>
      <c r="AQ56" s="200"/>
      <c r="AR56" s="203" t="e">
        <f t="shared" si="135"/>
        <v>#DIV/0!</v>
      </c>
      <c r="AS56" s="200"/>
      <c r="AT56" s="200"/>
      <c r="AU56" s="203" t="e">
        <f t="shared" si="136"/>
        <v>#DIV/0!</v>
      </c>
      <c r="AV56" s="200"/>
      <c r="AW56" s="200"/>
      <c r="AX56" s="203" t="e">
        <f t="shared" si="137"/>
        <v>#DIV/0!</v>
      </c>
      <c r="AY56" s="204">
        <f t="shared" si="138"/>
        <v>0</v>
      </c>
      <c r="AZ56" s="204">
        <f t="shared" si="139"/>
        <v>0</v>
      </c>
      <c r="BA56" s="204">
        <f t="shared" si="140"/>
        <v>0</v>
      </c>
      <c r="BB56" s="203">
        <f t="shared" si="141"/>
        <v>1</v>
      </c>
      <c r="BC56" s="139"/>
      <c r="BD56" s="139"/>
      <c r="BH56" s="29"/>
    </row>
    <row r="57" spans="11:60" ht="15" customHeight="1" x14ac:dyDescent="0.2">
      <c r="AB57" s="7"/>
      <c r="AC57" s="148"/>
      <c r="AD57" s="148"/>
      <c r="AE57" s="32"/>
      <c r="AF57" s="14">
        <f>SUM(AF54:AF56)</f>
        <v>500</v>
      </c>
      <c r="AG57" s="14">
        <f>SUM(AG54:AG56)</f>
        <v>498</v>
      </c>
      <c r="AH57" s="14">
        <f t="shared" ref="AH57:AK57" si="142">SUM(AH54:AH56)</f>
        <v>491</v>
      </c>
      <c r="AI57" s="14">
        <f t="shared" si="142"/>
        <v>1</v>
      </c>
      <c r="AJ57" s="14">
        <f t="shared" si="142"/>
        <v>0</v>
      </c>
      <c r="AK57" s="14">
        <f t="shared" si="142"/>
        <v>5</v>
      </c>
      <c r="AL57" s="163"/>
      <c r="AM57" s="14">
        <f>SUM(AM54:AM56)</f>
        <v>1</v>
      </c>
      <c r="AN57" s="14">
        <f>SUM(AN54:AN56)</f>
        <v>0</v>
      </c>
      <c r="AO57" s="165"/>
      <c r="AP57" s="14">
        <f>SUM(AP54:AP56)</f>
        <v>1</v>
      </c>
      <c r="AQ57" s="14">
        <f>SUM(AQ54:AQ56)</f>
        <v>0</v>
      </c>
      <c r="AR57" s="165"/>
      <c r="AS57" s="14">
        <f>SUM(AS54:AS56)</f>
        <v>0</v>
      </c>
      <c r="AT57" s="14">
        <f>SUM(AT54:AT56)</f>
        <v>0</v>
      </c>
      <c r="AU57" s="165"/>
      <c r="AV57" s="14">
        <f>SUM(AV54:AV56)</f>
        <v>0</v>
      </c>
      <c r="AW57" s="14">
        <f>SUM(AW54:AW56)</f>
        <v>0</v>
      </c>
      <c r="AX57" s="165"/>
      <c r="AY57" s="14">
        <f>SUM(AY54:AY56)</f>
        <v>2</v>
      </c>
      <c r="AZ57" s="14">
        <f>SUM(AZ54:AZ56)</f>
        <v>0</v>
      </c>
      <c r="BA57" s="14">
        <f>SUM(AY57:AZ57)</f>
        <v>2</v>
      </c>
      <c r="BB57" s="137">
        <f>(BA57+1)/(AH57+1)</f>
        <v>6.0975609756097563E-3</v>
      </c>
      <c r="BC57" s="136"/>
      <c r="BD57" s="136"/>
      <c r="BH57" s="29"/>
    </row>
    <row r="58" spans="11:60" ht="15" customHeight="1" thickBot="1" x14ac:dyDescent="0.25">
      <c r="AB58" s="13" t="s">
        <v>317</v>
      </c>
      <c r="AD58" s="35"/>
      <c r="AE58" s="28"/>
      <c r="AK58" s="36"/>
      <c r="AL58" s="9"/>
      <c r="AM58" s="35"/>
      <c r="AN58" s="35"/>
      <c r="AO58" s="7"/>
      <c r="AR58" s="7"/>
      <c r="AU58" s="7"/>
      <c r="AX58" s="18"/>
      <c r="AY58" s="17"/>
      <c r="AZ58" s="15"/>
      <c r="BA58" s="7"/>
      <c r="BB58" s="7"/>
      <c r="BC58" s="7"/>
      <c r="BD58" s="7"/>
      <c r="BH58" s="29"/>
    </row>
    <row r="59" spans="11:60" ht="15" customHeight="1" x14ac:dyDescent="0.2">
      <c r="AB59" s="205" t="s">
        <v>293</v>
      </c>
      <c r="AC59" s="191"/>
      <c r="AD59" s="191"/>
      <c r="AE59" s="192"/>
      <c r="AF59" s="192"/>
      <c r="AG59" s="193"/>
      <c r="AH59" s="192"/>
      <c r="AI59" s="192"/>
      <c r="AJ59" s="192"/>
      <c r="AK59" s="192"/>
      <c r="AL59" s="194" t="e">
        <f>SUM(AI59:AK59)/AG59</f>
        <v>#DIV/0!</v>
      </c>
      <c r="AM59" s="192"/>
      <c r="AN59" s="192"/>
      <c r="AO59" s="195" t="e">
        <f>SUM(AM59:AN59)/AH59</f>
        <v>#DIV/0!</v>
      </c>
      <c r="AP59" s="192"/>
      <c r="AQ59" s="192"/>
      <c r="AR59" s="195" t="e">
        <f>(AP59+AQ59)/$AH59</f>
        <v>#DIV/0!</v>
      </c>
      <c r="AS59" s="192"/>
      <c r="AT59" s="192"/>
      <c r="AU59" s="195" t="e">
        <f>(AS59+AT59)/$AH59</f>
        <v>#DIV/0!</v>
      </c>
      <c r="AV59" s="192"/>
      <c r="AW59" s="192"/>
      <c r="AX59" s="195" t="e">
        <f>(AV59+AW59)/$AH59</f>
        <v>#DIV/0!</v>
      </c>
      <c r="AY59" s="196">
        <f>SUM(AM59,AP59,AS59,AV59)</f>
        <v>0</v>
      </c>
      <c r="AZ59" s="196">
        <f>SUM(AN59,AQ59,AT59,AW59)</f>
        <v>0</v>
      </c>
      <c r="BA59" s="196">
        <f>SUM(AY59:AZ59)</f>
        <v>0</v>
      </c>
      <c r="BB59" s="195">
        <f>(BA59+1)/(AH59+1)</f>
        <v>1</v>
      </c>
      <c r="BC59" s="138"/>
      <c r="BD59" s="138"/>
      <c r="BH59" s="29"/>
    </row>
    <row r="60" spans="11:60" ht="15" customHeight="1" x14ac:dyDescent="0.2">
      <c r="AB60" s="260" t="s">
        <v>295</v>
      </c>
      <c r="AC60" s="147">
        <v>46063</v>
      </c>
      <c r="AD60" s="147">
        <v>46063</v>
      </c>
      <c r="AE60" s="197">
        <v>2</v>
      </c>
      <c r="AF60" s="197">
        <v>424</v>
      </c>
      <c r="AG60" s="198">
        <v>424</v>
      </c>
      <c r="AH60" s="197">
        <v>415</v>
      </c>
      <c r="AI60" s="197">
        <v>6</v>
      </c>
      <c r="AJ60" s="197">
        <v>0</v>
      </c>
      <c r="AK60" s="197">
        <v>0</v>
      </c>
      <c r="AL60" s="261">
        <f t="shared" ref="AL60:AL61" si="143">SUM(AI60:AK60)/AG60</f>
        <v>1.4150943396226415E-2</v>
      </c>
      <c r="AM60" s="197">
        <v>4</v>
      </c>
      <c r="AN60" s="197">
        <v>0</v>
      </c>
      <c r="AO60" s="262">
        <f t="shared" ref="AO60:AO61" si="144">SUM(AM60:AN60)/AH60</f>
        <v>9.6385542168674707E-3</v>
      </c>
      <c r="AP60" s="197">
        <v>2</v>
      </c>
      <c r="AQ60" s="197">
        <v>0</v>
      </c>
      <c r="AR60" s="262">
        <f t="shared" ref="AR60:AR61" si="145">(AP60+AQ60)/$AH60</f>
        <v>4.8192771084337354E-3</v>
      </c>
      <c r="AS60" s="197">
        <v>0</v>
      </c>
      <c r="AT60" s="197">
        <v>0</v>
      </c>
      <c r="AU60" s="262">
        <f t="shared" ref="AU60:AU61" si="146">(AS60+AT60)/$AH60</f>
        <v>0</v>
      </c>
      <c r="AV60" s="197">
        <v>0</v>
      </c>
      <c r="AW60" s="197">
        <v>0</v>
      </c>
      <c r="AX60" s="262">
        <f t="shared" ref="AX60:AX61" si="147">(AV60+AW60)/$AH60</f>
        <v>0</v>
      </c>
      <c r="AY60" s="263">
        <f t="shared" ref="AY60:AY61" si="148">SUM(AM60,AP60,AS60,AV60)</f>
        <v>6</v>
      </c>
      <c r="AZ60" s="263">
        <f t="shared" ref="AZ60:AZ61" si="149">SUM(AN60,AQ60,AT60,AW60)</f>
        <v>0</v>
      </c>
      <c r="BA60" s="263">
        <f t="shared" ref="BA60:BA61" si="150">SUM(AY60:AZ60)</f>
        <v>6</v>
      </c>
      <c r="BB60" s="262">
        <f t="shared" ref="BB60:BB61" si="151">(BA60+1)/(AH60+1)</f>
        <v>1.6826923076923076E-2</v>
      </c>
      <c r="BC60" s="264"/>
      <c r="BD60" s="264"/>
      <c r="BE60" s="60"/>
    </row>
    <row r="61" spans="11:60" ht="15" customHeight="1" thickBot="1" x14ac:dyDescent="0.25">
      <c r="AB61" s="206" t="s">
        <v>296</v>
      </c>
      <c r="AC61" s="199"/>
      <c r="AD61" s="199"/>
      <c r="AE61" s="200"/>
      <c r="AF61" s="200"/>
      <c r="AG61" s="201"/>
      <c r="AH61" s="200"/>
      <c r="AI61" s="200"/>
      <c r="AJ61" s="200"/>
      <c r="AK61" s="200"/>
      <c r="AL61" s="202" t="e">
        <f t="shared" si="143"/>
        <v>#DIV/0!</v>
      </c>
      <c r="AM61" s="200"/>
      <c r="AN61" s="200"/>
      <c r="AO61" s="203" t="e">
        <f t="shared" si="144"/>
        <v>#DIV/0!</v>
      </c>
      <c r="AP61" s="200"/>
      <c r="AQ61" s="200"/>
      <c r="AR61" s="203" t="e">
        <f t="shared" si="145"/>
        <v>#DIV/0!</v>
      </c>
      <c r="AS61" s="200"/>
      <c r="AT61" s="200"/>
      <c r="AU61" s="203" t="e">
        <f t="shared" si="146"/>
        <v>#DIV/0!</v>
      </c>
      <c r="AV61" s="200"/>
      <c r="AW61" s="200"/>
      <c r="AX61" s="203" t="e">
        <f t="shared" si="147"/>
        <v>#DIV/0!</v>
      </c>
      <c r="AY61" s="204">
        <f t="shared" si="148"/>
        <v>0</v>
      </c>
      <c r="AZ61" s="204">
        <f t="shared" si="149"/>
        <v>0</v>
      </c>
      <c r="BA61" s="204">
        <f t="shared" si="150"/>
        <v>0</v>
      </c>
      <c r="BB61" s="203">
        <f t="shared" si="151"/>
        <v>1</v>
      </c>
      <c r="BC61" s="139"/>
      <c r="BD61" s="139"/>
    </row>
    <row r="62" spans="11:60" ht="18" customHeight="1" x14ac:dyDescent="0.2">
      <c r="AB62" s="7"/>
      <c r="AC62" s="148"/>
      <c r="AD62" s="148"/>
      <c r="AE62" s="32"/>
      <c r="AF62" s="14">
        <f>SUM(AF59:AF61)</f>
        <v>424</v>
      </c>
      <c r="AG62" s="14">
        <f>SUM(AG59:AG61)</f>
        <v>424</v>
      </c>
      <c r="AH62" s="14">
        <f t="shared" ref="AH62:AK62" si="152">SUM(AH59:AH61)</f>
        <v>415</v>
      </c>
      <c r="AI62" s="14">
        <f t="shared" si="152"/>
        <v>6</v>
      </c>
      <c r="AJ62" s="14">
        <f t="shared" si="152"/>
        <v>0</v>
      </c>
      <c r="AK62" s="14">
        <f t="shared" si="152"/>
        <v>0</v>
      </c>
      <c r="AL62" s="163"/>
      <c r="AM62" s="14">
        <f>SUM(AM59:AM61)</f>
        <v>4</v>
      </c>
      <c r="AN62" s="14">
        <f>SUM(AN59:AN61)</f>
        <v>0</v>
      </c>
      <c r="AO62" s="165"/>
      <c r="AP62" s="14">
        <f>SUM(AP59:AP61)</f>
        <v>2</v>
      </c>
      <c r="AQ62" s="14">
        <f>SUM(AQ59:AQ61)</f>
        <v>0</v>
      </c>
      <c r="AR62" s="165"/>
      <c r="AS62" s="14">
        <f>SUM(AS59:AS61)</f>
        <v>0</v>
      </c>
      <c r="AT62" s="14">
        <f>SUM(AT59:AT61)</f>
        <v>0</v>
      </c>
      <c r="AU62" s="165"/>
      <c r="AV62" s="14">
        <f>SUM(AV59:AV61)</f>
        <v>0</v>
      </c>
      <c r="AW62" s="14">
        <f>SUM(AW59:AW61)</f>
        <v>0</v>
      </c>
      <c r="AX62" s="165"/>
      <c r="AY62" s="14">
        <f>SUM(AY59:AY61)</f>
        <v>6</v>
      </c>
      <c r="AZ62" s="14">
        <f>SUM(AZ59:AZ61)</f>
        <v>0</v>
      </c>
      <c r="BA62" s="14">
        <f>SUM(AY62:AZ62)</f>
        <v>6</v>
      </c>
      <c r="BB62" s="137">
        <f>(BA62+1)/(AH62+1)</f>
        <v>1.6826923076923076E-2</v>
      </c>
      <c r="BC62" s="136"/>
      <c r="BD62" s="136"/>
    </row>
    <row r="63" spans="11:60" ht="18" customHeight="1" thickBot="1" x14ac:dyDescent="0.25">
      <c r="AB63" s="13" t="s">
        <v>318</v>
      </c>
      <c r="AD63" s="35"/>
      <c r="AE63" s="28"/>
      <c r="AK63" s="36"/>
      <c r="AL63" s="9"/>
      <c r="AM63" s="35"/>
      <c r="AN63" s="35"/>
      <c r="AO63" s="7"/>
      <c r="AR63" s="7"/>
      <c r="AU63" s="7"/>
      <c r="AX63" s="18"/>
      <c r="AY63" s="17"/>
      <c r="AZ63" s="15"/>
      <c r="BA63" s="7"/>
      <c r="BB63" s="7"/>
      <c r="BC63" s="7"/>
      <c r="BD63" s="7"/>
    </row>
    <row r="64" spans="11:60" ht="18" customHeight="1" x14ac:dyDescent="0.2">
      <c r="K64" s="59"/>
      <c r="L64" s="59"/>
      <c r="N64" s="59"/>
      <c r="Q64" s="31"/>
      <c r="AB64" s="205" t="s">
        <v>293</v>
      </c>
      <c r="AC64" s="191"/>
      <c r="AD64" s="191"/>
      <c r="AE64" s="192"/>
      <c r="AF64" s="192"/>
      <c r="AG64" s="193"/>
      <c r="AH64" s="192"/>
      <c r="AI64" s="192"/>
      <c r="AJ64" s="192"/>
      <c r="AK64" s="192"/>
      <c r="AL64" s="194" t="e">
        <f>SUM(AI64:AK64)/AG64</f>
        <v>#DIV/0!</v>
      </c>
      <c r="AM64" s="192"/>
      <c r="AN64" s="192"/>
      <c r="AO64" s="195" t="e">
        <f>SUM(AM64:AN64)/AH64</f>
        <v>#DIV/0!</v>
      </c>
      <c r="AP64" s="192"/>
      <c r="AQ64" s="192"/>
      <c r="AR64" s="195" t="e">
        <f>(AP64+AQ64)/$AH64</f>
        <v>#DIV/0!</v>
      </c>
      <c r="AS64" s="192"/>
      <c r="AT64" s="192"/>
      <c r="AU64" s="195" t="e">
        <f>(AS64+AT64)/$AH64</f>
        <v>#DIV/0!</v>
      </c>
      <c r="AV64" s="192"/>
      <c r="AW64" s="192"/>
      <c r="AX64" s="195" t="e">
        <f>(AV64+AW64)/$AH64</f>
        <v>#DIV/0!</v>
      </c>
      <c r="AY64" s="196">
        <f>SUM(AM64,AP64,AS64,AV64)</f>
        <v>0</v>
      </c>
      <c r="AZ64" s="196">
        <f>SUM(AN64,AQ64,AT64,AW64)</f>
        <v>0</v>
      </c>
      <c r="BA64" s="196">
        <f>SUM(AY64:AZ64)</f>
        <v>0</v>
      </c>
      <c r="BB64" s="195">
        <f>(BA64+1)/(AH64+1)</f>
        <v>1</v>
      </c>
      <c r="BC64" s="138"/>
      <c r="BD64" s="138"/>
      <c r="BE64" s="43"/>
    </row>
    <row r="65" spans="6:57" ht="18" customHeight="1" x14ac:dyDescent="0.2">
      <c r="K65" s="59"/>
      <c r="L65" s="59"/>
      <c r="N65" s="59"/>
      <c r="Q65" s="31"/>
      <c r="AB65" s="260" t="s">
        <v>295</v>
      </c>
      <c r="AC65" s="147"/>
      <c r="AD65" s="147"/>
      <c r="AE65" s="197"/>
      <c r="AF65" s="197"/>
      <c r="AG65" s="198"/>
      <c r="AH65" s="197"/>
      <c r="AI65" s="197"/>
      <c r="AJ65" s="197"/>
      <c r="AK65" s="197"/>
      <c r="AL65" s="261" t="e">
        <f t="shared" ref="AL65:AL66" si="153">SUM(AI65:AK65)/AG65</f>
        <v>#DIV/0!</v>
      </c>
      <c r="AM65" s="197"/>
      <c r="AN65" s="197"/>
      <c r="AO65" s="262" t="e">
        <f t="shared" ref="AO65:AO66" si="154">SUM(AM65:AN65)/AH65</f>
        <v>#DIV/0!</v>
      </c>
      <c r="AP65" s="197"/>
      <c r="AQ65" s="197"/>
      <c r="AR65" s="262" t="e">
        <f t="shared" ref="AR65:AR66" si="155">(AP65+AQ65)/$AH65</f>
        <v>#DIV/0!</v>
      </c>
      <c r="AS65" s="197"/>
      <c r="AT65" s="197"/>
      <c r="AU65" s="262" t="e">
        <f t="shared" ref="AU65:AU66" si="156">(AS65+AT65)/$AH65</f>
        <v>#DIV/0!</v>
      </c>
      <c r="AV65" s="197"/>
      <c r="AW65" s="197"/>
      <c r="AX65" s="262" t="e">
        <f t="shared" ref="AX65:AX66" si="157">(AV65+AW65)/$AH65</f>
        <v>#DIV/0!</v>
      </c>
      <c r="AY65" s="263">
        <f t="shared" ref="AY65:AY66" si="158">SUM(AM65,AP65,AS65,AV65)</f>
        <v>0</v>
      </c>
      <c r="AZ65" s="263">
        <f t="shared" ref="AZ65:AZ66" si="159">SUM(AN65,AQ65,AT65,AW65)</f>
        <v>0</v>
      </c>
      <c r="BA65" s="263">
        <f t="shared" ref="BA65:BA66" si="160">SUM(AY65:AZ65)</f>
        <v>0</v>
      </c>
      <c r="BB65" s="262">
        <f t="shared" ref="BB65:BB66" si="161">(BA65+1)/(AH65+1)</f>
        <v>1</v>
      </c>
      <c r="BC65" s="264"/>
      <c r="BD65" s="264"/>
    </row>
    <row r="66" spans="6:57" ht="18" customHeight="1" thickBot="1" x14ac:dyDescent="0.25">
      <c r="K66" s="59"/>
      <c r="L66" s="59"/>
      <c r="N66" s="59"/>
      <c r="Q66" s="31"/>
      <c r="AB66" s="206" t="s">
        <v>296</v>
      </c>
      <c r="AC66" s="199">
        <v>46063</v>
      </c>
      <c r="AD66" s="199">
        <v>46063</v>
      </c>
      <c r="AE66" s="200">
        <v>2</v>
      </c>
      <c r="AF66" s="200">
        <v>472</v>
      </c>
      <c r="AG66" s="201">
        <v>472</v>
      </c>
      <c r="AH66" s="200">
        <v>461</v>
      </c>
      <c r="AI66" s="200">
        <v>3</v>
      </c>
      <c r="AJ66" s="200">
        <v>0</v>
      </c>
      <c r="AK66" s="200">
        <v>0</v>
      </c>
      <c r="AL66" s="202">
        <f t="shared" si="153"/>
        <v>6.3559322033898309E-3</v>
      </c>
      <c r="AM66" s="200">
        <v>3</v>
      </c>
      <c r="AN66" s="200">
        <v>0</v>
      </c>
      <c r="AO66" s="203">
        <f t="shared" si="154"/>
        <v>6.5075921908893707E-3</v>
      </c>
      <c r="AP66" s="200">
        <v>2</v>
      </c>
      <c r="AQ66" s="200">
        <v>0</v>
      </c>
      <c r="AR66" s="203">
        <f t="shared" si="155"/>
        <v>4.3383947939262474E-3</v>
      </c>
      <c r="AS66" s="200">
        <v>1</v>
      </c>
      <c r="AT66" s="200">
        <v>0</v>
      </c>
      <c r="AU66" s="203">
        <f t="shared" si="156"/>
        <v>2.1691973969631237E-3</v>
      </c>
      <c r="AV66" s="200">
        <v>0</v>
      </c>
      <c r="AW66" s="200">
        <v>0</v>
      </c>
      <c r="AX66" s="203">
        <f t="shared" si="157"/>
        <v>0</v>
      </c>
      <c r="AY66" s="204">
        <f t="shared" si="158"/>
        <v>6</v>
      </c>
      <c r="AZ66" s="204">
        <f t="shared" si="159"/>
        <v>0</v>
      </c>
      <c r="BA66" s="204">
        <f t="shared" si="160"/>
        <v>6</v>
      </c>
      <c r="BB66" s="203">
        <f t="shared" si="161"/>
        <v>1.5151515151515152E-2</v>
      </c>
      <c r="BC66" s="139"/>
      <c r="BD66" s="139"/>
    </row>
    <row r="67" spans="6:57" ht="18" customHeight="1" x14ac:dyDescent="0.2">
      <c r="K67" s="59"/>
      <c r="L67" s="59"/>
      <c r="N67" s="59"/>
      <c r="Q67" s="31"/>
      <c r="AB67" s="7"/>
      <c r="AC67" s="148"/>
      <c r="AD67" s="148"/>
      <c r="AE67" s="32"/>
      <c r="AF67" s="14">
        <f>SUM(AF64:AF66)</f>
        <v>472</v>
      </c>
      <c r="AG67" s="14">
        <f>SUM(AG64:AG66)</f>
        <v>472</v>
      </c>
      <c r="AH67" s="14">
        <f t="shared" ref="AH67:AK67" si="162">SUM(AH64:AH66)</f>
        <v>461</v>
      </c>
      <c r="AI67" s="14">
        <f t="shared" si="162"/>
        <v>3</v>
      </c>
      <c r="AJ67" s="14">
        <f t="shared" si="162"/>
        <v>0</v>
      </c>
      <c r="AK67" s="14">
        <f t="shared" si="162"/>
        <v>0</v>
      </c>
      <c r="AL67" s="163"/>
      <c r="AM67" s="14">
        <f>SUM(AM64:AM66)</f>
        <v>3</v>
      </c>
      <c r="AN67" s="14">
        <f>SUM(AN64:AN66)</f>
        <v>0</v>
      </c>
      <c r="AO67" s="165"/>
      <c r="AP67" s="14">
        <f>SUM(AP64:AP66)</f>
        <v>2</v>
      </c>
      <c r="AQ67" s="14">
        <f>SUM(AQ64:AQ66)</f>
        <v>0</v>
      </c>
      <c r="AR67" s="165"/>
      <c r="AS67" s="14">
        <f>SUM(AS64:AS66)</f>
        <v>1</v>
      </c>
      <c r="AT67" s="14">
        <f>SUM(AT64:AT66)</f>
        <v>0</v>
      </c>
      <c r="AU67" s="165"/>
      <c r="AV67" s="14">
        <f>SUM(AV64:AV66)</f>
        <v>0</v>
      </c>
      <c r="AW67" s="14">
        <f>SUM(AW64:AW66)</f>
        <v>0</v>
      </c>
      <c r="AX67" s="165"/>
      <c r="AY67" s="14">
        <f>SUM(AY64:AY66)</f>
        <v>6</v>
      </c>
      <c r="AZ67" s="14">
        <f>SUM(AZ64:AZ66)</f>
        <v>0</v>
      </c>
      <c r="BA67" s="14">
        <f>SUM(AY67:AZ67)</f>
        <v>6</v>
      </c>
      <c r="BB67" s="137">
        <f>(BA67+1)/(AH67+1)</f>
        <v>1.5151515151515152E-2</v>
      </c>
      <c r="BC67" s="136"/>
      <c r="BD67" s="136"/>
    </row>
    <row r="68" spans="6:57" ht="18" customHeight="1" thickBot="1" x14ac:dyDescent="0.25">
      <c r="K68" s="59"/>
      <c r="L68" s="59"/>
      <c r="N68" s="59"/>
      <c r="Q68" s="31"/>
      <c r="AB68" s="13" t="s">
        <v>319</v>
      </c>
      <c r="AD68" s="35"/>
      <c r="AE68" s="28"/>
      <c r="AK68" s="36"/>
      <c r="AL68" s="9"/>
      <c r="AM68" s="35"/>
      <c r="AN68" s="35"/>
      <c r="AO68" s="7"/>
      <c r="AR68" s="7"/>
      <c r="AU68" s="7"/>
      <c r="AX68" s="18"/>
      <c r="AY68" s="17"/>
      <c r="AZ68" s="15"/>
      <c r="BA68" s="7"/>
      <c r="BB68" s="7"/>
      <c r="BC68" s="7"/>
      <c r="BD68" s="7"/>
    </row>
    <row r="69" spans="6:57" ht="18" customHeight="1" x14ac:dyDescent="0.2">
      <c r="K69" s="59"/>
      <c r="L69" s="59"/>
      <c r="N69" s="59"/>
      <c r="Q69" s="31"/>
      <c r="AB69" s="205" t="s">
        <v>293</v>
      </c>
      <c r="AC69" s="191"/>
      <c r="AD69" s="191"/>
      <c r="AE69" s="192"/>
      <c r="AF69" s="192"/>
      <c r="AG69" s="193"/>
      <c r="AH69" s="192"/>
      <c r="AI69" s="192"/>
      <c r="AJ69" s="192"/>
      <c r="AK69" s="192"/>
      <c r="AL69" s="194" t="e">
        <f>SUM(AI69:AK69)/AG69</f>
        <v>#DIV/0!</v>
      </c>
      <c r="AM69" s="192"/>
      <c r="AN69" s="192"/>
      <c r="AO69" s="195" t="e">
        <f>SUM(AM69:AN69)/AH69</f>
        <v>#DIV/0!</v>
      </c>
      <c r="AP69" s="192"/>
      <c r="AQ69" s="192"/>
      <c r="AR69" s="195" t="e">
        <f>(AP69+AQ69)/$AH69</f>
        <v>#DIV/0!</v>
      </c>
      <c r="AS69" s="192"/>
      <c r="AT69" s="192"/>
      <c r="AU69" s="195" t="e">
        <f>(AS69+AT69)/$AH69</f>
        <v>#DIV/0!</v>
      </c>
      <c r="AV69" s="192"/>
      <c r="AW69" s="192"/>
      <c r="AX69" s="195" t="e">
        <f>(AV69+AW69)/$AH69</f>
        <v>#DIV/0!</v>
      </c>
      <c r="AY69" s="196">
        <f>SUM(AM69,AP69,AS69,AV69)</f>
        <v>0</v>
      </c>
      <c r="AZ69" s="196">
        <f>SUM(AN69,AQ69,AT69,AW69)</f>
        <v>0</v>
      </c>
      <c r="BA69" s="196">
        <f>SUM(AY69:AZ69)</f>
        <v>0</v>
      </c>
      <c r="BB69" s="195">
        <f>(BA69+1)/(AH69+1)</f>
        <v>1</v>
      </c>
      <c r="BC69" s="138"/>
      <c r="BD69" s="138"/>
      <c r="BE69" s="43"/>
    </row>
    <row r="70" spans="6:57" ht="18" customHeight="1" x14ac:dyDescent="0.2">
      <c r="K70" s="59"/>
      <c r="L70" s="59"/>
      <c r="N70" s="59"/>
      <c r="Q70" s="31"/>
      <c r="AB70" s="260" t="s">
        <v>295</v>
      </c>
      <c r="AC70" s="147"/>
      <c r="AD70" s="147"/>
      <c r="AE70" s="197"/>
      <c r="AF70" s="197"/>
      <c r="AG70" s="198"/>
      <c r="AH70" s="197"/>
      <c r="AI70" s="197"/>
      <c r="AJ70" s="197"/>
      <c r="AK70" s="197"/>
      <c r="AL70" s="261" t="e">
        <f t="shared" ref="AL70:AL71" si="163">SUM(AI70:AK70)/AG70</f>
        <v>#DIV/0!</v>
      </c>
      <c r="AM70" s="197"/>
      <c r="AN70" s="197"/>
      <c r="AO70" s="262" t="e">
        <f t="shared" ref="AO70:AO71" si="164">SUM(AM70:AN70)/AH70</f>
        <v>#DIV/0!</v>
      </c>
      <c r="AP70" s="197"/>
      <c r="AQ70" s="197"/>
      <c r="AR70" s="262" t="e">
        <f t="shared" ref="AR70:AR71" si="165">(AP70+AQ70)/$AH70</f>
        <v>#DIV/0!</v>
      </c>
      <c r="AS70" s="197"/>
      <c r="AT70" s="197"/>
      <c r="AU70" s="262" t="e">
        <f t="shared" ref="AU70:AU71" si="166">(AS70+AT70)/$AH70</f>
        <v>#DIV/0!</v>
      </c>
      <c r="AV70" s="197"/>
      <c r="AW70" s="197"/>
      <c r="AX70" s="262" t="e">
        <f t="shared" ref="AX70:AX71" si="167">(AV70+AW70)/$AH70</f>
        <v>#DIV/0!</v>
      </c>
      <c r="AY70" s="263">
        <f t="shared" ref="AY70:AY71" si="168">SUM(AM70,AP70,AS70,AV70)</f>
        <v>0</v>
      </c>
      <c r="AZ70" s="263">
        <f t="shared" ref="AZ70:AZ71" si="169">SUM(AN70,AQ70,AT70,AW70)</f>
        <v>0</v>
      </c>
      <c r="BA70" s="263">
        <f t="shared" ref="BA70:BA71" si="170">SUM(AY70:AZ70)</f>
        <v>0</v>
      </c>
      <c r="BB70" s="262">
        <f t="shared" ref="BB70:BB71" si="171">(BA70+1)/(AH70+1)</f>
        <v>1</v>
      </c>
      <c r="BC70" s="264"/>
      <c r="BD70" s="264"/>
    </row>
    <row r="71" spans="6:57" ht="18" customHeight="1" thickBot="1" x14ac:dyDescent="0.25">
      <c r="N71" s="59"/>
      <c r="Q71" s="31"/>
      <c r="AB71" s="206" t="s">
        <v>296</v>
      </c>
      <c r="AC71" s="199">
        <v>46066</v>
      </c>
      <c r="AD71" s="199">
        <v>46066</v>
      </c>
      <c r="AE71" s="200">
        <v>2</v>
      </c>
      <c r="AF71" s="200">
        <v>520</v>
      </c>
      <c r="AG71" s="201">
        <v>510</v>
      </c>
      <c r="AH71" s="200">
        <v>510</v>
      </c>
      <c r="AI71" s="200">
        <v>5</v>
      </c>
      <c r="AJ71" s="200">
        <v>0</v>
      </c>
      <c r="AK71" s="200">
        <v>0</v>
      </c>
      <c r="AL71" s="202">
        <f t="shared" si="163"/>
        <v>9.8039215686274508E-3</v>
      </c>
      <c r="AM71" s="200">
        <v>6</v>
      </c>
      <c r="AN71" s="200">
        <v>0</v>
      </c>
      <c r="AO71" s="203">
        <f t="shared" si="164"/>
        <v>1.1764705882352941E-2</v>
      </c>
      <c r="AP71" s="200">
        <v>3</v>
      </c>
      <c r="AQ71" s="200">
        <v>0</v>
      </c>
      <c r="AR71" s="203">
        <f t="shared" si="165"/>
        <v>5.8823529411764705E-3</v>
      </c>
      <c r="AS71" s="200">
        <v>1</v>
      </c>
      <c r="AT71" s="200">
        <v>0</v>
      </c>
      <c r="AU71" s="203">
        <f t="shared" si="166"/>
        <v>1.9607843137254902E-3</v>
      </c>
      <c r="AV71" s="200">
        <v>0</v>
      </c>
      <c r="AW71" s="200">
        <v>0</v>
      </c>
      <c r="AX71" s="203">
        <f t="shared" si="167"/>
        <v>0</v>
      </c>
      <c r="AY71" s="204">
        <f t="shared" si="168"/>
        <v>10</v>
      </c>
      <c r="AZ71" s="204">
        <f t="shared" si="169"/>
        <v>0</v>
      </c>
      <c r="BA71" s="204">
        <f t="shared" si="170"/>
        <v>10</v>
      </c>
      <c r="BB71" s="203">
        <f t="shared" si="171"/>
        <v>2.1526418786692758E-2</v>
      </c>
      <c r="BC71" s="139"/>
      <c r="BD71" s="139"/>
    </row>
    <row r="72" spans="6:57" ht="18" customHeight="1" x14ac:dyDescent="0.2">
      <c r="F72" s="33"/>
      <c r="G72" s="61"/>
      <c r="H72" s="62"/>
      <c r="I72" s="62"/>
      <c r="N72" s="59"/>
      <c r="Q72" s="31"/>
      <c r="AB72" s="7"/>
      <c r="AC72" s="148"/>
      <c r="AD72" s="148"/>
      <c r="AE72" s="32"/>
      <c r="AF72" s="14">
        <f>SUM(AF69:AF71)</f>
        <v>520</v>
      </c>
      <c r="AG72" s="14">
        <f>SUM(AG69:AG71)</f>
        <v>510</v>
      </c>
      <c r="AH72" s="14">
        <f t="shared" ref="AH72:AK72" si="172">SUM(AH69:AH71)</f>
        <v>510</v>
      </c>
      <c r="AI72" s="14">
        <f t="shared" si="172"/>
        <v>5</v>
      </c>
      <c r="AJ72" s="14">
        <f t="shared" si="172"/>
        <v>0</v>
      </c>
      <c r="AK72" s="14">
        <f t="shared" si="172"/>
        <v>0</v>
      </c>
      <c r="AL72" s="163"/>
      <c r="AM72" s="14">
        <f>SUM(AM69:AM71)</f>
        <v>6</v>
      </c>
      <c r="AN72" s="14">
        <f>SUM(AN69:AN71)</f>
        <v>0</v>
      </c>
      <c r="AO72" s="165"/>
      <c r="AP72" s="14">
        <f>SUM(AP69:AP71)</f>
        <v>3</v>
      </c>
      <c r="AQ72" s="14">
        <f>SUM(AQ69:AQ71)</f>
        <v>0</v>
      </c>
      <c r="AR72" s="165"/>
      <c r="AS72" s="14">
        <f>SUM(AS69:AS71)</f>
        <v>1</v>
      </c>
      <c r="AT72" s="14">
        <f>SUM(AT69:AT71)</f>
        <v>0</v>
      </c>
      <c r="AU72" s="165"/>
      <c r="AV72" s="14">
        <f>SUM(AV69:AV71)</f>
        <v>0</v>
      </c>
      <c r="AW72" s="14">
        <f>SUM(AW69:AW71)</f>
        <v>0</v>
      </c>
      <c r="AX72" s="165"/>
      <c r="AY72" s="14">
        <f>SUM(AY69:AY71)</f>
        <v>10</v>
      </c>
      <c r="AZ72" s="14">
        <f>SUM(AZ69:AZ71)</f>
        <v>0</v>
      </c>
      <c r="BA72" s="14">
        <f>SUM(AY72:AZ72)</f>
        <v>10</v>
      </c>
      <c r="BB72" s="137">
        <f>(BA72+1)/(AH72+1)</f>
        <v>2.1526418786692758E-2</v>
      </c>
      <c r="BC72" s="136"/>
      <c r="BD72" s="136"/>
    </row>
    <row r="73" spans="6:57" ht="18" customHeight="1" thickBot="1" x14ac:dyDescent="0.25">
      <c r="F73" s="33"/>
      <c r="G73" s="61"/>
      <c r="H73" s="62"/>
      <c r="I73" s="62"/>
      <c r="N73" s="59"/>
      <c r="Q73" s="31"/>
      <c r="AB73" s="13" t="s">
        <v>320</v>
      </c>
      <c r="AD73" s="35"/>
      <c r="AE73" s="28"/>
      <c r="AK73" s="36"/>
      <c r="AL73" s="9"/>
      <c r="AM73" s="35"/>
      <c r="AN73" s="35"/>
      <c r="AO73" s="7"/>
      <c r="AR73" s="7"/>
      <c r="AU73" s="7"/>
      <c r="AX73" s="18"/>
      <c r="AY73" s="17"/>
      <c r="AZ73" s="15"/>
      <c r="BA73" s="7"/>
      <c r="BB73" s="7"/>
      <c r="BC73" s="7"/>
      <c r="BD73" s="7"/>
    </row>
    <row r="74" spans="6:57" ht="18" customHeight="1" x14ac:dyDescent="0.2">
      <c r="F74" s="33"/>
      <c r="G74" s="61"/>
      <c r="H74" s="62"/>
      <c r="I74" s="62"/>
      <c r="N74" s="59"/>
      <c r="Q74" s="31"/>
      <c r="AB74" s="205" t="s">
        <v>293</v>
      </c>
      <c r="AC74" s="191"/>
      <c r="AD74" s="191"/>
      <c r="AE74" s="192"/>
      <c r="AF74" s="192"/>
      <c r="AG74" s="193"/>
      <c r="AH74" s="192"/>
      <c r="AI74" s="192"/>
      <c r="AJ74" s="192"/>
      <c r="AK74" s="192"/>
      <c r="AL74" s="194" t="e">
        <f>SUM(AI74:AK74)/AG74</f>
        <v>#DIV/0!</v>
      </c>
      <c r="AM74" s="192"/>
      <c r="AN74" s="192"/>
      <c r="AO74" s="195" t="e">
        <f>SUM(AM74:AN74)/AH74</f>
        <v>#DIV/0!</v>
      </c>
      <c r="AP74" s="192"/>
      <c r="AQ74" s="192"/>
      <c r="AR74" s="195" t="e">
        <f>(AP74+AQ74)/$AH74</f>
        <v>#DIV/0!</v>
      </c>
      <c r="AS74" s="192"/>
      <c r="AT74" s="192"/>
      <c r="AU74" s="195" t="e">
        <f>(AS74+AT74)/$AH74</f>
        <v>#DIV/0!</v>
      </c>
      <c r="AV74" s="192"/>
      <c r="AW74" s="192"/>
      <c r="AX74" s="195" t="e">
        <f>(AV74+AW74)/$AH74</f>
        <v>#DIV/0!</v>
      </c>
      <c r="AY74" s="196">
        <f>SUM(AM74,AP74,AS74,AV74)</f>
        <v>0</v>
      </c>
      <c r="AZ74" s="196">
        <f>SUM(AN74,AQ74,AT74,AW74)</f>
        <v>0</v>
      </c>
      <c r="BA74" s="196">
        <f>SUM(AY74:AZ74)</f>
        <v>0</v>
      </c>
      <c r="BB74" s="195">
        <f>(BA74+1)/(AH74+1)</f>
        <v>1</v>
      </c>
      <c r="BC74" s="138"/>
      <c r="BD74" s="138"/>
    </row>
    <row r="75" spans="6:57" ht="18" customHeight="1" x14ac:dyDescent="0.2">
      <c r="F75" s="33"/>
      <c r="G75" s="61"/>
      <c r="H75" s="62"/>
      <c r="I75" s="62"/>
      <c r="AB75" s="260" t="s">
        <v>295</v>
      </c>
      <c r="AC75" s="147">
        <v>46066</v>
      </c>
      <c r="AD75" s="147">
        <v>46066</v>
      </c>
      <c r="AE75" s="197">
        <v>2</v>
      </c>
      <c r="AF75" s="197">
        <v>520</v>
      </c>
      <c r="AG75" s="198">
        <v>512</v>
      </c>
      <c r="AH75" s="197">
        <v>512</v>
      </c>
      <c r="AI75" s="197">
        <v>1</v>
      </c>
      <c r="AJ75" s="197">
        <v>0</v>
      </c>
      <c r="AK75" s="197">
        <v>0</v>
      </c>
      <c r="AL75" s="261">
        <f t="shared" ref="AL75:AL76" si="173">SUM(AI75:AK75)/AG75</f>
        <v>1.953125E-3</v>
      </c>
      <c r="AM75" s="197">
        <v>5</v>
      </c>
      <c r="AN75" s="197">
        <v>0</v>
      </c>
      <c r="AO75" s="262">
        <f t="shared" ref="AO75:AO76" si="174">SUM(AM75:AN75)/AH75</f>
        <v>9.765625E-3</v>
      </c>
      <c r="AP75" s="197">
        <v>1</v>
      </c>
      <c r="AQ75" s="197">
        <v>0</v>
      </c>
      <c r="AR75" s="262">
        <f t="shared" ref="AR75:AR76" si="175">(AP75+AQ75)/$AH75</f>
        <v>1.953125E-3</v>
      </c>
      <c r="AS75" s="197">
        <v>1</v>
      </c>
      <c r="AT75" s="197">
        <v>0</v>
      </c>
      <c r="AU75" s="262">
        <f t="shared" ref="AU75:AU76" si="176">(AS75+AT75)/$AH75</f>
        <v>1.953125E-3</v>
      </c>
      <c r="AV75" s="197">
        <v>1</v>
      </c>
      <c r="AW75" s="197">
        <v>0</v>
      </c>
      <c r="AX75" s="262">
        <f t="shared" ref="AX75:AX76" si="177">(AV75+AW75)/$AH75</f>
        <v>1.953125E-3</v>
      </c>
      <c r="AY75" s="263">
        <f t="shared" ref="AY75:AY76" si="178">SUM(AM75,AP75,AS75,AV75)</f>
        <v>8</v>
      </c>
      <c r="AZ75" s="263">
        <f t="shared" ref="AZ75:AZ76" si="179">SUM(AN75,AQ75,AT75,AW75)</f>
        <v>0</v>
      </c>
      <c r="BA75" s="263">
        <f t="shared" ref="BA75:BA76" si="180">SUM(AY75:AZ75)</f>
        <v>8</v>
      </c>
      <c r="BB75" s="262">
        <f t="shared" ref="BB75:BB76" si="181">(BA75+1)/(AH75+1)</f>
        <v>1.7543859649122806E-2</v>
      </c>
      <c r="BC75" s="264"/>
      <c r="BD75" s="264"/>
    </row>
    <row r="76" spans="6:57" ht="18" customHeight="1" x14ac:dyDescent="0.2">
      <c r="F76" s="33"/>
      <c r="G76" s="61"/>
      <c r="H76" s="62"/>
      <c r="I76" s="62"/>
      <c r="AB76" s="206" t="s">
        <v>296</v>
      </c>
      <c r="AC76" s="199"/>
      <c r="AD76" s="199"/>
      <c r="AE76" s="200"/>
      <c r="AF76" s="200"/>
      <c r="AG76" s="201"/>
      <c r="AH76" s="200"/>
      <c r="AI76" s="200"/>
      <c r="AJ76" s="200"/>
      <c r="AK76" s="200"/>
      <c r="AL76" s="202" t="e">
        <f t="shared" si="173"/>
        <v>#DIV/0!</v>
      </c>
      <c r="AM76" s="200"/>
      <c r="AN76" s="200"/>
      <c r="AO76" s="203" t="e">
        <f t="shared" si="174"/>
        <v>#DIV/0!</v>
      </c>
      <c r="AP76" s="200"/>
      <c r="AQ76" s="200"/>
      <c r="AR76" s="203" t="e">
        <f t="shared" si="175"/>
        <v>#DIV/0!</v>
      </c>
      <c r="AS76" s="200"/>
      <c r="AT76" s="200"/>
      <c r="AU76" s="203" t="e">
        <f t="shared" si="176"/>
        <v>#DIV/0!</v>
      </c>
      <c r="AV76" s="200"/>
      <c r="AW76" s="200"/>
      <c r="AX76" s="203" t="e">
        <f t="shared" si="177"/>
        <v>#DIV/0!</v>
      </c>
      <c r="AY76" s="204">
        <f t="shared" si="178"/>
        <v>0</v>
      </c>
      <c r="AZ76" s="204">
        <f t="shared" si="179"/>
        <v>0</v>
      </c>
      <c r="BA76" s="204">
        <f t="shared" si="180"/>
        <v>0</v>
      </c>
      <c r="BB76" s="203">
        <f t="shared" si="181"/>
        <v>1</v>
      </c>
      <c r="BC76" s="139"/>
      <c r="BD76" s="139"/>
    </row>
    <row r="77" spans="6:57" ht="18" customHeight="1" x14ac:dyDescent="0.2">
      <c r="AB77" s="7"/>
      <c r="AC77" s="148"/>
      <c r="AD77" s="148"/>
      <c r="AE77" s="32"/>
      <c r="AF77" s="14">
        <f>SUM(AF74:AF76)</f>
        <v>520</v>
      </c>
      <c r="AG77" s="14">
        <f>SUM(AG74:AG76)</f>
        <v>512</v>
      </c>
      <c r="AH77" s="14">
        <f t="shared" ref="AH77:AK77" si="182">SUM(AH74:AH76)</f>
        <v>512</v>
      </c>
      <c r="AI77" s="14">
        <f t="shared" si="182"/>
        <v>1</v>
      </c>
      <c r="AJ77" s="14">
        <f t="shared" si="182"/>
        <v>0</v>
      </c>
      <c r="AK77" s="14">
        <f t="shared" si="182"/>
        <v>0</v>
      </c>
      <c r="AL77" s="163"/>
      <c r="AM77" s="14">
        <f>SUM(AM74:AM76)</f>
        <v>5</v>
      </c>
      <c r="AN77" s="14">
        <f>SUM(AN74:AN76)</f>
        <v>0</v>
      </c>
      <c r="AO77" s="165"/>
      <c r="AP77" s="14">
        <f>SUM(AP74:AP76)</f>
        <v>1</v>
      </c>
      <c r="AQ77" s="14">
        <f>SUM(AQ74:AQ76)</f>
        <v>0</v>
      </c>
      <c r="AR77" s="165"/>
      <c r="AS77" s="14">
        <f>SUM(AS74:AS76)</f>
        <v>1</v>
      </c>
      <c r="AT77" s="14">
        <f>SUM(AT74:AT76)</f>
        <v>0</v>
      </c>
      <c r="AU77" s="165"/>
      <c r="AV77" s="14">
        <f>SUM(AV74:AV76)</f>
        <v>1</v>
      </c>
      <c r="AW77" s="14">
        <f>SUM(AW74:AW76)</f>
        <v>0</v>
      </c>
      <c r="AX77" s="165"/>
      <c r="AY77" s="14">
        <f>SUM(AY74:AY76)</f>
        <v>8</v>
      </c>
      <c r="AZ77" s="14">
        <f>SUM(AZ74:AZ76)</f>
        <v>0</v>
      </c>
      <c r="BA77" s="14">
        <f>SUM(AY77:AZ77)</f>
        <v>8</v>
      </c>
      <c r="BB77" s="137">
        <f>(BA77+1)/(AH77+1)</f>
        <v>1.7543859649122806E-2</v>
      </c>
      <c r="BC77" s="136"/>
      <c r="BD77" s="136"/>
    </row>
    <row r="78" spans="6:57" ht="18" customHeight="1" thickBot="1" x14ac:dyDescent="0.25">
      <c r="AB78" s="13" t="s">
        <v>321</v>
      </c>
      <c r="AD78" s="35"/>
      <c r="AE78" s="28"/>
      <c r="AK78" s="36"/>
      <c r="AL78" s="9"/>
      <c r="AM78" s="35"/>
      <c r="AN78" s="35"/>
      <c r="AO78" s="7"/>
      <c r="AR78" s="7"/>
      <c r="AU78" s="7"/>
      <c r="AX78" s="18"/>
      <c r="AY78" s="17"/>
      <c r="AZ78" s="15"/>
      <c r="BA78" s="7"/>
      <c r="BB78" s="7"/>
      <c r="BC78" s="7"/>
      <c r="BD78" s="7"/>
    </row>
    <row r="79" spans="6:57" ht="18" customHeight="1" x14ac:dyDescent="0.2">
      <c r="AB79" s="205" t="s">
        <v>293</v>
      </c>
      <c r="AC79" s="191"/>
      <c r="AD79" s="191"/>
      <c r="AE79" s="192"/>
      <c r="AF79" s="192"/>
      <c r="AG79" s="193"/>
      <c r="AH79" s="192"/>
      <c r="AI79" s="192"/>
      <c r="AJ79" s="192"/>
      <c r="AK79" s="192"/>
      <c r="AL79" s="194" t="e">
        <f>SUM(AI79:AK79)/AG79</f>
        <v>#DIV/0!</v>
      </c>
      <c r="AM79" s="192"/>
      <c r="AN79" s="192"/>
      <c r="AO79" s="195" t="e">
        <f>SUM(AM79:AN79)/AH79</f>
        <v>#DIV/0!</v>
      </c>
      <c r="AP79" s="192"/>
      <c r="AQ79" s="192"/>
      <c r="AR79" s="195" t="e">
        <f>(AP79+AQ79)/$AH79</f>
        <v>#DIV/0!</v>
      </c>
      <c r="AS79" s="192"/>
      <c r="AT79" s="192"/>
      <c r="AU79" s="195" t="e">
        <f>(AS79+AT79)/$AH79</f>
        <v>#DIV/0!</v>
      </c>
      <c r="AV79" s="192"/>
      <c r="AW79" s="192"/>
      <c r="AX79" s="195" t="e">
        <f>(AV79+AW79)/$AH79</f>
        <v>#DIV/0!</v>
      </c>
      <c r="AY79" s="196">
        <f>SUM(AM79,AP79,AS79,AV79)</f>
        <v>0</v>
      </c>
      <c r="AZ79" s="196">
        <f>SUM(AN79,AQ79,AT79,AW79)</f>
        <v>0</v>
      </c>
      <c r="BA79" s="196">
        <f>SUM(AY79:AZ79)</f>
        <v>0</v>
      </c>
      <c r="BB79" s="195">
        <f>(BA79+1)/(AH79+1)</f>
        <v>1</v>
      </c>
      <c r="BC79" s="138"/>
      <c r="BD79" s="138"/>
    </row>
    <row r="80" spans="6:57" ht="18" customHeight="1" x14ac:dyDescent="0.2">
      <c r="AB80" s="260" t="s">
        <v>295</v>
      </c>
      <c r="AC80" s="147">
        <v>46090</v>
      </c>
      <c r="AD80" s="147">
        <v>46091</v>
      </c>
      <c r="AE80" s="197">
        <v>3</v>
      </c>
      <c r="AF80" s="197">
        <v>123</v>
      </c>
      <c r="AG80" s="198">
        <v>99</v>
      </c>
      <c r="AH80" s="197">
        <v>94</v>
      </c>
      <c r="AI80" s="197">
        <v>0</v>
      </c>
      <c r="AJ80" s="197">
        <v>0</v>
      </c>
      <c r="AK80" s="197">
        <v>5</v>
      </c>
      <c r="AL80" s="261">
        <f t="shared" ref="AL80:AL81" si="183">SUM(AI80:AK80)/AG80</f>
        <v>5.0505050505050504E-2</v>
      </c>
      <c r="AM80" s="197">
        <v>5</v>
      </c>
      <c r="AN80" s="197">
        <v>0</v>
      </c>
      <c r="AO80" s="262">
        <f t="shared" ref="AO80:AO81" si="184">SUM(AM80:AN80)/AH80</f>
        <v>5.3191489361702128E-2</v>
      </c>
      <c r="AP80" s="197">
        <v>2</v>
      </c>
      <c r="AQ80" s="197">
        <v>0</v>
      </c>
      <c r="AR80" s="262">
        <f t="shared" ref="AR80:AR81" si="185">(AP80+AQ80)/$AH80</f>
        <v>2.1276595744680851E-2</v>
      </c>
      <c r="AS80" s="197">
        <v>1</v>
      </c>
      <c r="AT80" s="197">
        <v>0</v>
      </c>
      <c r="AU80" s="262">
        <f t="shared" ref="AU80:AU81" si="186">(AS80+AT80)/$AH80</f>
        <v>1.0638297872340425E-2</v>
      </c>
      <c r="AV80" s="197">
        <v>0</v>
      </c>
      <c r="AW80" s="197">
        <v>0</v>
      </c>
      <c r="AX80" s="262">
        <f t="shared" ref="AX80:AX81" si="187">(AV80+AW80)/$AH80</f>
        <v>0</v>
      </c>
      <c r="AY80" s="263">
        <f t="shared" ref="AY80:AY81" si="188">SUM(AM80,AP80,AS80,AV80)</f>
        <v>8</v>
      </c>
      <c r="AZ80" s="263">
        <f t="shared" ref="AZ80:AZ81" si="189">SUM(AN80,AQ80,AT80,AW80)</f>
        <v>0</v>
      </c>
      <c r="BA80" s="263">
        <f t="shared" ref="BA80:BA81" si="190">SUM(AY80:AZ80)</f>
        <v>8</v>
      </c>
      <c r="BB80" s="262">
        <f t="shared" ref="BB80:BB81" si="191">(BA80+1)/(AH80+1)</f>
        <v>9.4736842105263161E-2</v>
      </c>
      <c r="BC80" s="264"/>
      <c r="BD80" s="264"/>
    </row>
    <row r="81" spans="28:56" ht="18" customHeight="1" thickBot="1" x14ac:dyDescent="0.25">
      <c r="AB81" s="206" t="s">
        <v>296</v>
      </c>
      <c r="AC81" s="199"/>
      <c r="AD81" s="199"/>
      <c r="AE81" s="200"/>
      <c r="AF81" s="200"/>
      <c r="AG81" s="201"/>
      <c r="AH81" s="200"/>
      <c r="AI81" s="200"/>
      <c r="AJ81" s="200"/>
      <c r="AK81" s="200"/>
      <c r="AL81" s="202" t="e">
        <f t="shared" si="183"/>
        <v>#DIV/0!</v>
      </c>
      <c r="AM81" s="200"/>
      <c r="AN81" s="200"/>
      <c r="AO81" s="203" t="e">
        <f t="shared" si="184"/>
        <v>#DIV/0!</v>
      </c>
      <c r="AP81" s="200"/>
      <c r="AQ81" s="200"/>
      <c r="AR81" s="203" t="e">
        <f t="shared" si="185"/>
        <v>#DIV/0!</v>
      </c>
      <c r="AS81" s="200"/>
      <c r="AT81" s="200"/>
      <c r="AU81" s="203" t="e">
        <f t="shared" si="186"/>
        <v>#DIV/0!</v>
      </c>
      <c r="AV81" s="200"/>
      <c r="AW81" s="200"/>
      <c r="AX81" s="203" t="e">
        <f t="shared" si="187"/>
        <v>#DIV/0!</v>
      </c>
      <c r="AY81" s="204">
        <f t="shared" si="188"/>
        <v>0</v>
      </c>
      <c r="AZ81" s="204">
        <f t="shared" si="189"/>
        <v>0</v>
      </c>
      <c r="BA81" s="204">
        <f t="shared" si="190"/>
        <v>0</v>
      </c>
      <c r="BB81" s="203">
        <f t="shared" si="191"/>
        <v>1</v>
      </c>
      <c r="BC81" s="139"/>
      <c r="BD81" s="139"/>
    </row>
    <row r="82" spans="28:56" ht="18" customHeight="1" x14ac:dyDescent="0.2">
      <c r="AB82" s="7"/>
      <c r="AC82" s="148"/>
      <c r="AD82" s="148"/>
      <c r="AE82" s="32"/>
      <c r="AF82" s="14">
        <f>SUM(AF79:AF81)</f>
        <v>123</v>
      </c>
      <c r="AG82" s="14">
        <f>SUM(AG79:AG81)</f>
        <v>99</v>
      </c>
      <c r="AH82" s="14">
        <f t="shared" ref="AH82:AK82" si="192">SUM(AH79:AH81)</f>
        <v>94</v>
      </c>
      <c r="AI82" s="14">
        <f t="shared" si="192"/>
        <v>0</v>
      </c>
      <c r="AJ82" s="14">
        <f t="shared" si="192"/>
        <v>0</v>
      </c>
      <c r="AK82" s="14">
        <f t="shared" si="192"/>
        <v>5</v>
      </c>
      <c r="AL82" s="163"/>
      <c r="AM82" s="14">
        <f>SUM(AM79:AM81)</f>
        <v>5</v>
      </c>
      <c r="AN82" s="14">
        <f>SUM(AN79:AN81)</f>
        <v>0</v>
      </c>
      <c r="AO82" s="165"/>
      <c r="AP82" s="14">
        <f>SUM(AP79:AP81)</f>
        <v>2</v>
      </c>
      <c r="AQ82" s="14">
        <f>SUM(AQ79:AQ81)</f>
        <v>0</v>
      </c>
      <c r="AR82" s="165"/>
      <c r="AS82" s="14">
        <f>SUM(AS79:AS81)</f>
        <v>1</v>
      </c>
      <c r="AT82" s="14">
        <f>SUM(AT79:AT81)</f>
        <v>0</v>
      </c>
      <c r="AU82" s="165"/>
      <c r="AV82" s="14">
        <f>SUM(AV79:AV81)</f>
        <v>0</v>
      </c>
      <c r="AW82" s="14">
        <f>SUM(AW79:AW81)</f>
        <v>0</v>
      </c>
      <c r="AX82" s="165"/>
      <c r="AY82" s="14">
        <f>SUM(AY79:AY81)</f>
        <v>8</v>
      </c>
      <c r="AZ82" s="14">
        <f>SUM(AZ79:AZ81)</f>
        <v>0</v>
      </c>
      <c r="BA82" s="14">
        <f>SUM(AY82:AZ82)</f>
        <v>8</v>
      </c>
      <c r="BB82" s="137">
        <f>(BA82+1)/(AH82+1)</f>
        <v>9.4736842105263161E-2</v>
      </c>
      <c r="BC82" s="136"/>
      <c r="BD82" s="136"/>
    </row>
    <row r="83" spans="28:56" ht="18" customHeight="1" thickBot="1" x14ac:dyDescent="0.25">
      <c r="AB83" s="13" t="s">
        <v>322</v>
      </c>
      <c r="AD83" s="35"/>
      <c r="AE83" s="28"/>
      <c r="AK83" s="36"/>
      <c r="AL83" s="9"/>
      <c r="AM83" s="35"/>
      <c r="AN83" s="35"/>
      <c r="AO83" s="7"/>
      <c r="AR83" s="7"/>
      <c r="AU83" s="7"/>
      <c r="AX83" s="18"/>
      <c r="AY83" s="17"/>
      <c r="AZ83" s="15"/>
      <c r="BA83" s="7"/>
      <c r="BB83" s="7"/>
      <c r="BC83" s="7"/>
      <c r="BD83" s="7"/>
    </row>
    <row r="84" spans="28:56" ht="18" customHeight="1" x14ac:dyDescent="0.2">
      <c r="AB84" s="205" t="s">
        <v>293</v>
      </c>
      <c r="AC84" s="191"/>
      <c r="AD84" s="191"/>
      <c r="AE84" s="192"/>
      <c r="AF84" s="192"/>
      <c r="AG84" s="193"/>
      <c r="AH84" s="192"/>
      <c r="AI84" s="192"/>
      <c r="AJ84" s="192"/>
      <c r="AK84" s="192"/>
      <c r="AL84" s="194" t="e">
        <f>SUM(AI84:AK84)/AG84</f>
        <v>#DIV/0!</v>
      </c>
      <c r="AM84" s="192"/>
      <c r="AN84" s="192"/>
      <c r="AO84" s="195" t="e">
        <f>SUM(AM84:AN84)/AH84</f>
        <v>#DIV/0!</v>
      </c>
      <c r="AP84" s="192"/>
      <c r="AQ84" s="192"/>
      <c r="AR84" s="195" t="e">
        <f>(AP84+AQ84)/$AH84</f>
        <v>#DIV/0!</v>
      </c>
      <c r="AS84" s="192"/>
      <c r="AT84" s="192"/>
      <c r="AU84" s="195" t="e">
        <f>(AS84+AT84)/$AH84</f>
        <v>#DIV/0!</v>
      </c>
      <c r="AV84" s="192"/>
      <c r="AW84" s="192"/>
      <c r="AX84" s="195" t="e">
        <f>(AV84+AW84)/$AH84</f>
        <v>#DIV/0!</v>
      </c>
      <c r="AY84" s="196">
        <f>SUM(AM84,AP84,AS84,AV84)</f>
        <v>0</v>
      </c>
      <c r="AZ84" s="196">
        <f>SUM(AN84,AQ84,AT84,AW84)</f>
        <v>0</v>
      </c>
      <c r="BA84" s="196">
        <f>SUM(AY84:AZ84)</f>
        <v>0</v>
      </c>
      <c r="BB84" s="195">
        <f>(BA84+1)/(AH84+1)</f>
        <v>1</v>
      </c>
      <c r="BC84" s="138"/>
      <c r="BD84" s="138"/>
    </row>
    <row r="85" spans="28:56" ht="18" customHeight="1" x14ac:dyDescent="0.2">
      <c r="AB85" s="260" t="s">
        <v>295</v>
      </c>
      <c r="AC85" s="147"/>
      <c r="AD85" s="147"/>
      <c r="AE85" s="197"/>
      <c r="AF85" s="197"/>
      <c r="AG85" s="198"/>
      <c r="AH85" s="197"/>
      <c r="AI85" s="197"/>
      <c r="AJ85" s="197"/>
      <c r="AK85" s="197"/>
      <c r="AL85" s="261" t="e">
        <f t="shared" ref="AL85:AL86" si="193">SUM(AI85:AK85)/AG85</f>
        <v>#DIV/0!</v>
      </c>
      <c r="AM85" s="197"/>
      <c r="AN85" s="197"/>
      <c r="AO85" s="262" t="e">
        <f t="shared" ref="AO85:AO86" si="194">SUM(AM85:AN85)/AH85</f>
        <v>#DIV/0!</v>
      </c>
      <c r="AP85" s="197"/>
      <c r="AQ85" s="197"/>
      <c r="AR85" s="262" t="e">
        <f t="shared" ref="AR85:AR86" si="195">(AP85+AQ85)/$AH85</f>
        <v>#DIV/0!</v>
      </c>
      <c r="AS85" s="197"/>
      <c r="AT85" s="197"/>
      <c r="AU85" s="262" t="e">
        <f t="shared" ref="AU85:AU86" si="196">(AS85+AT85)/$AH85</f>
        <v>#DIV/0!</v>
      </c>
      <c r="AV85" s="197"/>
      <c r="AW85" s="197"/>
      <c r="AX85" s="262" t="e">
        <f t="shared" ref="AX85:AX86" si="197">(AV85+AW85)/$AH85</f>
        <v>#DIV/0!</v>
      </c>
      <c r="AY85" s="263">
        <f t="shared" ref="AY85:AY86" si="198">SUM(AM85,AP85,AS85,AV85)</f>
        <v>0</v>
      </c>
      <c r="AZ85" s="263">
        <f t="shared" ref="AZ85:AZ86" si="199">SUM(AN85,AQ85,AT85,AW85)</f>
        <v>0</v>
      </c>
      <c r="BA85" s="263">
        <f t="shared" ref="BA85:BA86" si="200">SUM(AY85:AZ85)</f>
        <v>0</v>
      </c>
      <c r="BB85" s="262">
        <f t="shared" ref="BB85:BB86" si="201">(BA85+1)/(AH85+1)</f>
        <v>1</v>
      </c>
      <c r="BC85" s="264"/>
      <c r="BD85" s="264"/>
    </row>
    <row r="86" spans="28:56" ht="18" customHeight="1" thickBot="1" x14ac:dyDescent="0.25">
      <c r="AB86" s="206" t="s">
        <v>296</v>
      </c>
      <c r="AC86" s="199"/>
      <c r="AD86" s="199"/>
      <c r="AE86" s="200"/>
      <c r="AF86" s="200"/>
      <c r="AG86" s="201"/>
      <c r="AH86" s="200"/>
      <c r="AI86" s="200"/>
      <c r="AJ86" s="200"/>
      <c r="AK86" s="200"/>
      <c r="AL86" s="202" t="e">
        <f t="shared" si="193"/>
        <v>#DIV/0!</v>
      </c>
      <c r="AM86" s="200"/>
      <c r="AN86" s="200"/>
      <c r="AO86" s="203" t="e">
        <f t="shared" si="194"/>
        <v>#DIV/0!</v>
      </c>
      <c r="AP86" s="200"/>
      <c r="AQ86" s="200"/>
      <c r="AR86" s="203" t="e">
        <f t="shared" si="195"/>
        <v>#DIV/0!</v>
      </c>
      <c r="AS86" s="200"/>
      <c r="AT86" s="200"/>
      <c r="AU86" s="203" t="e">
        <f t="shared" si="196"/>
        <v>#DIV/0!</v>
      </c>
      <c r="AV86" s="200"/>
      <c r="AW86" s="200"/>
      <c r="AX86" s="203" t="e">
        <f t="shared" si="197"/>
        <v>#DIV/0!</v>
      </c>
      <c r="AY86" s="204">
        <f t="shared" si="198"/>
        <v>0</v>
      </c>
      <c r="AZ86" s="204">
        <f t="shared" si="199"/>
        <v>0</v>
      </c>
      <c r="BA86" s="204">
        <f t="shared" si="200"/>
        <v>0</v>
      </c>
      <c r="BB86" s="203">
        <f t="shared" si="201"/>
        <v>1</v>
      </c>
      <c r="BC86" s="139"/>
      <c r="BD86" s="139"/>
    </row>
    <row r="87" spans="28:56" ht="18" customHeight="1" x14ac:dyDescent="0.2">
      <c r="AB87" s="7"/>
      <c r="AC87" s="148"/>
      <c r="AD87" s="148"/>
      <c r="AE87" s="32"/>
      <c r="AF87" s="14">
        <f>SUM(AF84:AF86)</f>
        <v>0</v>
      </c>
      <c r="AG87" s="14">
        <f>SUM(AG84:AG86)</f>
        <v>0</v>
      </c>
      <c r="AH87" s="14">
        <f t="shared" ref="AH87:AK87" si="202">SUM(AH84:AH86)</f>
        <v>0</v>
      </c>
      <c r="AI87" s="14">
        <f t="shared" si="202"/>
        <v>0</v>
      </c>
      <c r="AJ87" s="14">
        <f t="shared" si="202"/>
        <v>0</v>
      </c>
      <c r="AK87" s="14">
        <f t="shared" si="202"/>
        <v>0</v>
      </c>
      <c r="AL87" s="163"/>
      <c r="AM87" s="14">
        <f>SUM(AM84:AM86)</f>
        <v>0</v>
      </c>
      <c r="AN87" s="14">
        <f>SUM(AN84:AN86)</f>
        <v>0</v>
      </c>
      <c r="AO87" s="165"/>
      <c r="AP87" s="14">
        <f>SUM(AP84:AP86)</f>
        <v>0</v>
      </c>
      <c r="AQ87" s="14">
        <f>SUM(AQ84:AQ86)</f>
        <v>0</v>
      </c>
      <c r="AR87" s="165"/>
      <c r="AS87" s="14">
        <f>SUM(AS84:AS86)</f>
        <v>0</v>
      </c>
      <c r="AT87" s="14">
        <f>SUM(AT84:AT86)</f>
        <v>0</v>
      </c>
      <c r="AU87" s="165"/>
      <c r="AV87" s="14">
        <f>SUM(AV84:AV86)</f>
        <v>0</v>
      </c>
      <c r="AW87" s="14">
        <f>SUM(AW84:AW86)</f>
        <v>0</v>
      </c>
      <c r="AX87" s="165"/>
      <c r="AY87" s="14">
        <f>SUM(AY84:AY86)</f>
        <v>0</v>
      </c>
      <c r="AZ87" s="14">
        <f>SUM(AZ84:AZ86)</f>
        <v>0</v>
      </c>
      <c r="BA87" s="14">
        <f>SUM(AY87:AZ87)</f>
        <v>0</v>
      </c>
      <c r="BB87" s="137">
        <f>(BA87+1)/(AH87+1)</f>
        <v>1</v>
      </c>
      <c r="BC87" s="136"/>
      <c r="BD87" s="136"/>
    </row>
    <row r="88" spans="28:56" ht="18" customHeight="1" thickBot="1" x14ac:dyDescent="0.25">
      <c r="AB88" s="13" t="s">
        <v>323</v>
      </c>
      <c r="AD88" s="35"/>
      <c r="AE88" s="28"/>
      <c r="AK88" s="36"/>
      <c r="AL88" s="9"/>
      <c r="AM88" s="35"/>
      <c r="AN88" s="35"/>
      <c r="AO88" s="7"/>
      <c r="AR88" s="7"/>
      <c r="AU88" s="7"/>
      <c r="AX88" s="18"/>
      <c r="AY88" s="17"/>
      <c r="AZ88" s="15"/>
      <c r="BA88" s="7"/>
      <c r="BB88" s="7"/>
      <c r="BC88" s="7"/>
      <c r="BD88" s="7"/>
    </row>
    <row r="89" spans="28:56" ht="18" customHeight="1" x14ac:dyDescent="0.2">
      <c r="AB89" s="205" t="s">
        <v>293</v>
      </c>
      <c r="AC89" s="191"/>
      <c r="AD89" s="191"/>
      <c r="AE89" s="192"/>
      <c r="AF89" s="192"/>
      <c r="AG89" s="193"/>
      <c r="AH89" s="192"/>
      <c r="AI89" s="192"/>
      <c r="AJ89" s="192"/>
      <c r="AK89" s="192"/>
      <c r="AL89" s="194" t="e">
        <f>SUM(AI89:AK89)/AG89</f>
        <v>#DIV/0!</v>
      </c>
      <c r="AM89" s="192"/>
      <c r="AN89" s="192"/>
      <c r="AO89" s="195" t="e">
        <f>SUM(AM89:AN89)/AH89</f>
        <v>#DIV/0!</v>
      </c>
      <c r="AP89" s="192"/>
      <c r="AQ89" s="192"/>
      <c r="AR89" s="195" t="e">
        <f>(AP89+AQ89)/$AH89</f>
        <v>#DIV/0!</v>
      </c>
      <c r="AS89" s="192"/>
      <c r="AT89" s="192"/>
      <c r="AU89" s="195" t="e">
        <f>(AS89+AT89)/$AH89</f>
        <v>#DIV/0!</v>
      </c>
      <c r="AV89" s="192"/>
      <c r="AW89" s="192"/>
      <c r="AX89" s="195" t="e">
        <f>(AV89+AW89)/$AH89</f>
        <v>#DIV/0!</v>
      </c>
      <c r="AY89" s="196">
        <f>SUM(AM89,AP89,AS89,AV89)</f>
        <v>0</v>
      </c>
      <c r="AZ89" s="196">
        <f>SUM(AN89,AQ89,AT89,AW89)</f>
        <v>0</v>
      </c>
      <c r="BA89" s="196">
        <f>SUM(AY89:AZ89)</f>
        <v>0</v>
      </c>
      <c r="BB89" s="195">
        <f>(BA89+1)/(AH89+1)</f>
        <v>1</v>
      </c>
      <c r="BC89" s="138"/>
      <c r="BD89" s="138"/>
    </row>
    <row r="90" spans="28:56" ht="18" customHeight="1" x14ac:dyDescent="0.2">
      <c r="AB90" s="260" t="s">
        <v>295</v>
      </c>
      <c r="AC90" s="147"/>
      <c r="AD90" s="147"/>
      <c r="AE90" s="197"/>
      <c r="AF90" s="197"/>
      <c r="AG90" s="198"/>
      <c r="AH90" s="197"/>
      <c r="AI90" s="197"/>
      <c r="AJ90" s="197"/>
      <c r="AK90" s="197"/>
      <c r="AL90" s="261" t="e">
        <f t="shared" ref="AL90:AL91" si="203">SUM(AI90:AK90)/AG90</f>
        <v>#DIV/0!</v>
      </c>
      <c r="AM90" s="197"/>
      <c r="AN90" s="197"/>
      <c r="AO90" s="262" t="e">
        <f t="shared" ref="AO90:AO91" si="204">SUM(AM90:AN90)/AH90</f>
        <v>#DIV/0!</v>
      </c>
      <c r="AP90" s="197"/>
      <c r="AQ90" s="197"/>
      <c r="AR90" s="262" t="e">
        <f t="shared" ref="AR90:AR91" si="205">(AP90+AQ90)/$AH90</f>
        <v>#DIV/0!</v>
      </c>
      <c r="AS90" s="197"/>
      <c r="AT90" s="197"/>
      <c r="AU90" s="262" t="e">
        <f t="shared" ref="AU90:AU91" si="206">(AS90+AT90)/$AH90</f>
        <v>#DIV/0!</v>
      </c>
      <c r="AV90" s="197"/>
      <c r="AW90" s="197"/>
      <c r="AX90" s="262" t="e">
        <f t="shared" ref="AX90:AX91" si="207">(AV90+AW90)/$AH90</f>
        <v>#DIV/0!</v>
      </c>
      <c r="AY90" s="263">
        <f t="shared" ref="AY90:AY91" si="208">SUM(AM90,AP90,AS90,AV90)</f>
        <v>0</v>
      </c>
      <c r="AZ90" s="263">
        <f t="shared" ref="AZ90:AZ91" si="209">SUM(AN90,AQ90,AT90,AW90)</f>
        <v>0</v>
      </c>
      <c r="BA90" s="263">
        <f t="shared" ref="BA90:BA91" si="210">SUM(AY90:AZ90)</f>
        <v>0</v>
      </c>
      <c r="BB90" s="262">
        <f t="shared" ref="BB90:BB91" si="211">(BA90+1)/(AH90+1)</f>
        <v>1</v>
      </c>
      <c r="BC90" s="264"/>
      <c r="BD90" s="264"/>
    </row>
    <row r="91" spans="28:56" ht="18" customHeight="1" thickBot="1" x14ac:dyDescent="0.25">
      <c r="AB91" s="206" t="s">
        <v>296</v>
      </c>
      <c r="AC91" s="199"/>
      <c r="AD91" s="199"/>
      <c r="AE91" s="200"/>
      <c r="AF91" s="200"/>
      <c r="AG91" s="201"/>
      <c r="AH91" s="200"/>
      <c r="AI91" s="200"/>
      <c r="AJ91" s="200"/>
      <c r="AK91" s="200"/>
      <c r="AL91" s="202" t="e">
        <f t="shared" si="203"/>
        <v>#DIV/0!</v>
      </c>
      <c r="AM91" s="200"/>
      <c r="AN91" s="200"/>
      <c r="AO91" s="203" t="e">
        <f t="shared" si="204"/>
        <v>#DIV/0!</v>
      </c>
      <c r="AP91" s="200"/>
      <c r="AQ91" s="200"/>
      <c r="AR91" s="203" t="e">
        <f t="shared" si="205"/>
        <v>#DIV/0!</v>
      </c>
      <c r="AS91" s="200"/>
      <c r="AT91" s="200"/>
      <c r="AU91" s="203" t="e">
        <f t="shared" si="206"/>
        <v>#DIV/0!</v>
      </c>
      <c r="AV91" s="200"/>
      <c r="AW91" s="200"/>
      <c r="AX91" s="203" t="e">
        <f t="shared" si="207"/>
        <v>#DIV/0!</v>
      </c>
      <c r="AY91" s="204">
        <f t="shared" si="208"/>
        <v>0</v>
      </c>
      <c r="AZ91" s="204">
        <f t="shared" si="209"/>
        <v>0</v>
      </c>
      <c r="BA91" s="204">
        <f t="shared" si="210"/>
        <v>0</v>
      </c>
      <c r="BB91" s="203">
        <f t="shared" si="211"/>
        <v>1</v>
      </c>
      <c r="BC91" s="139"/>
      <c r="BD91" s="139"/>
    </row>
    <row r="92" spans="28:56" ht="18" customHeight="1" x14ac:dyDescent="0.2">
      <c r="AB92" s="7"/>
      <c r="AC92" s="148"/>
      <c r="AD92" s="148"/>
      <c r="AE92" s="32"/>
      <c r="AF92" s="14">
        <f>SUM(AF89:AF91)</f>
        <v>0</v>
      </c>
      <c r="AG92" s="14">
        <f>SUM(AG89:AG91)</f>
        <v>0</v>
      </c>
      <c r="AH92" s="14">
        <f t="shared" ref="AH92:AK92" si="212">SUM(AH89:AH91)</f>
        <v>0</v>
      </c>
      <c r="AI92" s="14">
        <f t="shared" si="212"/>
        <v>0</v>
      </c>
      <c r="AJ92" s="14">
        <f t="shared" si="212"/>
        <v>0</v>
      </c>
      <c r="AK92" s="14">
        <f t="shared" si="212"/>
        <v>0</v>
      </c>
      <c r="AL92" s="163"/>
      <c r="AM92" s="14">
        <f>SUM(AM89:AM91)</f>
        <v>0</v>
      </c>
      <c r="AN92" s="14">
        <f>SUM(AN89:AN91)</f>
        <v>0</v>
      </c>
      <c r="AO92" s="165"/>
      <c r="AP92" s="14">
        <f>SUM(AP89:AP91)</f>
        <v>0</v>
      </c>
      <c r="AQ92" s="14">
        <f>SUM(AQ89:AQ91)</f>
        <v>0</v>
      </c>
      <c r="AR92" s="165"/>
      <c r="AS92" s="14">
        <f>SUM(AS89:AS91)</f>
        <v>0</v>
      </c>
      <c r="AT92" s="14">
        <f>SUM(AT89:AT91)</f>
        <v>0</v>
      </c>
      <c r="AU92" s="165"/>
      <c r="AV92" s="14">
        <f>SUM(AV89:AV91)</f>
        <v>0</v>
      </c>
      <c r="AW92" s="14">
        <f>SUM(AW89:AW91)</f>
        <v>0</v>
      </c>
      <c r="AX92" s="165"/>
      <c r="AY92" s="14">
        <f>SUM(AY89:AY91)</f>
        <v>0</v>
      </c>
      <c r="AZ92" s="14">
        <f>SUM(AZ89:AZ91)</f>
        <v>0</v>
      </c>
      <c r="BA92" s="14">
        <f>SUM(AY92:AZ92)</f>
        <v>0</v>
      </c>
      <c r="BB92" s="137">
        <f>(BA92+1)/(AH92+1)</f>
        <v>1</v>
      </c>
      <c r="BC92" s="136"/>
      <c r="BD92" s="136"/>
    </row>
    <row r="93" spans="28:56" ht="18" customHeight="1" thickBot="1" x14ac:dyDescent="0.25">
      <c r="AB93" s="13" t="s">
        <v>324</v>
      </c>
      <c r="AD93" s="35"/>
      <c r="AE93" s="28"/>
      <c r="AK93" s="36"/>
      <c r="AL93" s="9"/>
      <c r="AM93" s="35"/>
      <c r="AN93" s="35"/>
      <c r="AO93" s="7"/>
      <c r="AR93" s="7"/>
      <c r="AU93" s="7"/>
      <c r="AX93" s="18"/>
      <c r="AY93" s="17"/>
      <c r="AZ93" s="15"/>
      <c r="BA93" s="7"/>
      <c r="BB93" s="7"/>
      <c r="BC93" s="7"/>
      <c r="BD93" s="7"/>
    </row>
    <row r="94" spans="28:56" ht="18" customHeight="1" x14ac:dyDescent="0.2">
      <c r="AB94" s="205" t="s">
        <v>293</v>
      </c>
      <c r="AC94" s="191"/>
      <c r="AD94" s="191"/>
      <c r="AE94" s="192"/>
      <c r="AF94" s="192"/>
      <c r="AG94" s="193"/>
      <c r="AH94" s="192"/>
      <c r="AI94" s="192"/>
      <c r="AJ94" s="192"/>
      <c r="AK94" s="192"/>
      <c r="AL94" s="194" t="e">
        <f>SUM(AI94:AK94)/AG94</f>
        <v>#DIV/0!</v>
      </c>
      <c r="AM94" s="192"/>
      <c r="AN94" s="192"/>
      <c r="AO94" s="195" t="e">
        <f>SUM(AM94:AN94)/AH94</f>
        <v>#DIV/0!</v>
      </c>
      <c r="AP94" s="192"/>
      <c r="AQ94" s="192"/>
      <c r="AR94" s="195" t="e">
        <f>(AP94+AQ94)/$AH94</f>
        <v>#DIV/0!</v>
      </c>
      <c r="AS94" s="192"/>
      <c r="AT94" s="192"/>
      <c r="AU94" s="195" t="e">
        <f>(AS94+AT94)/$AH94</f>
        <v>#DIV/0!</v>
      </c>
      <c r="AV94" s="192"/>
      <c r="AW94" s="192"/>
      <c r="AX94" s="195" t="e">
        <f>(AV94+AW94)/$AH94</f>
        <v>#DIV/0!</v>
      </c>
      <c r="AY94" s="196">
        <f>SUM(AM94,AP94,AS94,AV94)</f>
        <v>0</v>
      </c>
      <c r="AZ94" s="196">
        <f>SUM(AN94,AQ94,AT94,AW94)</f>
        <v>0</v>
      </c>
      <c r="BA94" s="196">
        <f>SUM(AY94:AZ94)</f>
        <v>0</v>
      </c>
      <c r="BB94" s="195">
        <f>(BA94+1)/(AH94+1)</f>
        <v>1</v>
      </c>
      <c r="BC94" s="138"/>
      <c r="BD94" s="138"/>
    </row>
    <row r="95" spans="28:56" ht="18" customHeight="1" x14ac:dyDescent="0.2">
      <c r="AB95" s="260" t="s">
        <v>295</v>
      </c>
      <c r="AC95" s="147"/>
      <c r="AD95" s="147"/>
      <c r="AE95" s="197"/>
      <c r="AF95" s="197"/>
      <c r="AG95" s="198"/>
      <c r="AH95" s="197"/>
      <c r="AI95" s="197"/>
      <c r="AJ95" s="197"/>
      <c r="AK95" s="197"/>
      <c r="AL95" s="261" t="e">
        <f t="shared" ref="AL95:AL96" si="213">SUM(AI95:AK95)/AG95</f>
        <v>#DIV/0!</v>
      </c>
      <c r="AM95" s="197"/>
      <c r="AN95" s="197"/>
      <c r="AO95" s="262" t="e">
        <f t="shared" ref="AO95:AO96" si="214">SUM(AM95:AN95)/AH95</f>
        <v>#DIV/0!</v>
      </c>
      <c r="AP95" s="197"/>
      <c r="AQ95" s="197"/>
      <c r="AR95" s="262" t="e">
        <f t="shared" ref="AR95:AR96" si="215">(AP95+AQ95)/$AH95</f>
        <v>#DIV/0!</v>
      </c>
      <c r="AS95" s="197"/>
      <c r="AT95" s="197"/>
      <c r="AU95" s="262" t="e">
        <f t="shared" ref="AU95:AU96" si="216">(AS95+AT95)/$AH95</f>
        <v>#DIV/0!</v>
      </c>
      <c r="AV95" s="197"/>
      <c r="AW95" s="197"/>
      <c r="AX95" s="262" t="e">
        <f t="shared" ref="AX95:AX96" si="217">(AV95+AW95)/$AH95</f>
        <v>#DIV/0!</v>
      </c>
      <c r="AY95" s="263">
        <f t="shared" ref="AY95:AY96" si="218">SUM(AM95,AP95,AS95,AV95)</f>
        <v>0</v>
      </c>
      <c r="AZ95" s="263">
        <f t="shared" ref="AZ95:AZ96" si="219">SUM(AN95,AQ95,AT95,AW95)</f>
        <v>0</v>
      </c>
      <c r="BA95" s="263">
        <f t="shared" ref="BA95:BA96" si="220">SUM(AY95:AZ95)</f>
        <v>0</v>
      </c>
      <c r="BB95" s="262">
        <f t="shared" ref="BB95:BB96" si="221">(BA95+1)/(AH95+1)</f>
        <v>1</v>
      </c>
      <c r="BC95" s="264"/>
      <c r="BD95" s="264"/>
    </row>
    <row r="96" spans="28:56" ht="18" customHeight="1" thickBot="1" x14ac:dyDescent="0.25">
      <c r="AB96" s="206" t="s">
        <v>296</v>
      </c>
      <c r="AC96" s="199"/>
      <c r="AD96" s="199"/>
      <c r="AE96" s="200"/>
      <c r="AF96" s="200"/>
      <c r="AG96" s="201"/>
      <c r="AH96" s="200"/>
      <c r="AI96" s="200"/>
      <c r="AJ96" s="200"/>
      <c r="AK96" s="200"/>
      <c r="AL96" s="202" t="e">
        <f t="shared" si="213"/>
        <v>#DIV/0!</v>
      </c>
      <c r="AM96" s="200"/>
      <c r="AN96" s="200"/>
      <c r="AO96" s="203" t="e">
        <f t="shared" si="214"/>
        <v>#DIV/0!</v>
      </c>
      <c r="AP96" s="200"/>
      <c r="AQ96" s="200"/>
      <c r="AR96" s="203" t="e">
        <f t="shared" si="215"/>
        <v>#DIV/0!</v>
      </c>
      <c r="AS96" s="200"/>
      <c r="AT96" s="200"/>
      <c r="AU96" s="203" t="e">
        <f t="shared" si="216"/>
        <v>#DIV/0!</v>
      </c>
      <c r="AV96" s="200"/>
      <c r="AW96" s="200"/>
      <c r="AX96" s="203" t="e">
        <f t="shared" si="217"/>
        <v>#DIV/0!</v>
      </c>
      <c r="AY96" s="204">
        <f t="shared" si="218"/>
        <v>0</v>
      </c>
      <c r="AZ96" s="204">
        <f t="shared" si="219"/>
        <v>0</v>
      </c>
      <c r="BA96" s="204">
        <f t="shared" si="220"/>
        <v>0</v>
      </c>
      <c r="BB96" s="203">
        <f t="shared" si="221"/>
        <v>1</v>
      </c>
      <c r="BC96" s="139"/>
      <c r="BD96" s="139"/>
    </row>
    <row r="97" spans="28:56" ht="18" customHeight="1" x14ac:dyDescent="0.2">
      <c r="AB97" s="7"/>
      <c r="AC97" s="148"/>
      <c r="AD97" s="148"/>
      <c r="AE97" s="32"/>
      <c r="AF97" s="14">
        <f>SUM(AF94:AF96)</f>
        <v>0</v>
      </c>
      <c r="AG97" s="14">
        <f>SUM(AG94:AG96)</f>
        <v>0</v>
      </c>
      <c r="AH97" s="14">
        <f t="shared" ref="AH97:AK97" si="222">SUM(AH94:AH96)</f>
        <v>0</v>
      </c>
      <c r="AI97" s="14">
        <f t="shared" si="222"/>
        <v>0</v>
      </c>
      <c r="AJ97" s="14">
        <f t="shared" si="222"/>
        <v>0</v>
      </c>
      <c r="AK97" s="14">
        <f t="shared" si="222"/>
        <v>0</v>
      </c>
      <c r="AL97" s="163"/>
      <c r="AM97" s="14">
        <f>SUM(AM94:AM96)</f>
        <v>0</v>
      </c>
      <c r="AN97" s="14">
        <f>SUM(AN94:AN96)</f>
        <v>0</v>
      </c>
      <c r="AO97" s="165"/>
      <c r="AP97" s="14">
        <f>SUM(AP94:AP96)</f>
        <v>0</v>
      </c>
      <c r="AQ97" s="14">
        <f>SUM(AQ94:AQ96)</f>
        <v>0</v>
      </c>
      <c r="AR97" s="165"/>
      <c r="AS97" s="14">
        <f>SUM(AS94:AS96)</f>
        <v>0</v>
      </c>
      <c r="AT97" s="14">
        <f>SUM(AT94:AT96)</f>
        <v>0</v>
      </c>
      <c r="AU97" s="165"/>
      <c r="AV97" s="14">
        <f>SUM(AV94:AV96)</f>
        <v>0</v>
      </c>
      <c r="AW97" s="14">
        <f>SUM(AW94:AW96)</f>
        <v>0</v>
      </c>
      <c r="AX97" s="165"/>
      <c r="AY97" s="14">
        <f>SUM(AY94:AY96)</f>
        <v>0</v>
      </c>
      <c r="AZ97" s="14">
        <f>SUM(AZ94:AZ96)</f>
        <v>0</v>
      </c>
      <c r="BA97" s="14">
        <f>SUM(AY97:AZ97)</f>
        <v>0</v>
      </c>
      <c r="BB97" s="137">
        <f>(BA97+1)/(AH97+1)</f>
        <v>1</v>
      </c>
      <c r="BC97" s="136"/>
      <c r="BD97" s="136"/>
    </row>
    <row r="98" spans="28:56" ht="18" customHeight="1" thickBot="1" x14ac:dyDescent="0.25">
      <c r="AB98" s="13" t="s">
        <v>325</v>
      </c>
      <c r="AD98" s="35"/>
      <c r="AE98" s="28"/>
      <c r="AK98" s="36"/>
      <c r="AL98" s="9"/>
      <c r="AM98" s="35"/>
      <c r="AN98" s="35"/>
      <c r="AO98" s="7"/>
      <c r="AR98" s="7"/>
      <c r="AU98" s="7"/>
      <c r="AX98" s="18"/>
      <c r="AY98" s="17"/>
      <c r="AZ98" s="15"/>
      <c r="BA98" s="7"/>
      <c r="BB98" s="7"/>
      <c r="BC98" s="7"/>
      <c r="BD98" s="7"/>
    </row>
    <row r="99" spans="28:56" ht="18" customHeight="1" x14ac:dyDescent="0.2">
      <c r="AB99" s="205" t="s">
        <v>293</v>
      </c>
      <c r="AC99" s="191"/>
      <c r="AD99" s="191"/>
      <c r="AE99" s="192"/>
      <c r="AF99" s="192"/>
      <c r="AG99" s="193"/>
      <c r="AH99" s="192"/>
      <c r="AI99" s="192"/>
      <c r="AJ99" s="192"/>
      <c r="AK99" s="192"/>
      <c r="AL99" s="194" t="e">
        <f>SUM(AI99:AK99)/AG99</f>
        <v>#DIV/0!</v>
      </c>
      <c r="AM99" s="192"/>
      <c r="AN99" s="192"/>
      <c r="AO99" s="195" t="e">
        <f>SUM(AM99:AN99)/AH99</f>
        <v>#DIV/0!</v>
      </c>
      <c r="AP99" s="192"/>
      <c r="AQ99" s="192"/>
      <c r="AR99" s="195" t="e">
        <f>(AP99+AQ99)/$AH99</f>
        <v>#DIV/0!</v>
      </c>
      <c r="AS99" s="192"/>
      <c r="AT99" s="192"/>
      <c r="AU99" s="195" t="e">
        <f>(AS99+AT99)/$AH99</f>
        <v>#DIV/0!</v>
      </c>
      <c r="AV99" s="192"/>
      <c r="AW99" s="192"/>
      <c r="AX99" s="195" t="e">
        <f>(AV99+AW99)/$AH99</f>
        <v>#DIV/0!</v>
      </c>
      <c r="AY99" s="196">
        <f>SUM(AM99,AP99,AS99,AV99)</f>
        <v>0</v>
      </c>
      <c r="AZ99" s="196">
        <f>SUM(AN99,AQ99,AT99,AW99)</f>
        <v>0</v>
      </c>
      <c r="BA99" s="196">
        <f>SUM(AY99:AZ99)</f>
        <v>0</v>
      </c>
      <c r="BB99" s="195">
        <f>(BA99+1)/(AH99+1)</f>
        <v>1</v>
      </c>
      <c r="BC99" s="138"/>
      <c r="BD99" s="138"/>
    </row>
    <row r="100" spans="28:56" ht="18" customHeight="1" x14ac:dyDescent="0.2">
      <c r="AB100" s="260" t="s">
        <v>295</v>
      </c>
      <c r="AC100" s="147"/>
      <c r="AD100" s="147"/>
      <c r="AE100" s="197"/>
      <c r="AF100" s="197"/>
      <c r="AG100" s="198"/>
      <c r="AH100" s="197"/>
      <c r="AI100" s="197"/>
      <c r="AJ100" s="197"/>
      <c r="AK100" s="197"/>
      <c r="AL100" s="261" t="e">
        <f t="shared" ref="AL100:AL101" si="223">SUM(AI100:AK100)/AG100</f>
        <v>#DIV/0!</v>
      </c>
      <c r="AM100" s="197"/>
      <c r="AN100" s="197"/>
      <c r="AO100" s="262" t="e">
        <f t="shared" ref="AO100:AO101" si="224">SUM(AM100:AN100)/AH100</f>
        <v>#DIV/0!</v>
      </c>
      <c r="AP100" s="197"/>
      <c r="AQ100" s="197"/>
      <c r="AR100" s="262" t="e">
        <f t="shared" ref="AR100:AR101" si="225">(AP100+AQ100)/$AH100</f>
        <v>#DIV/0!</v>
      </c>
      <c r="AS100" s="197"/>
      <c r="AT100" s="197"/>
      <c r="AU100" s="262" t="e">
        <f t="shared" ref="AU100:AU101" si="226">(AS100+AT100)/$AH100</f>
        <v>#DIV/0!</v>
      </c>
      <c r="AV100" s="197"/>
      <c r="AW100" s="197"/>
      <c r="AX100" s="262" t="e">
        <f t="shared" ref="AX100:AX101" si="227">(AV100+AW100)/$AH100</f>
        <v>#DIV/0!</v>
      </c>
      <c r="AY100" s="263">
        <f t="shared" ref="AY100:AY101" si="228">SUM(AM100,AP100,AS100,AV100)</f>
        <v>0</v>
      </c>
      <c r="AZ100" s="263">
        <f t="shared" ref="AZ100:AZ101" si="229">SUM(AN100,AQ100,AT100,AW100)</f>
        <v>0</v>
      </c>
      <c r="BA100" s="263">
        <f t="shared" ref="BA100:BA101" si="230">SUM(AY100:AZ100)</f>
        <v>0</v>
      </c>
      <c r="BB100" s="262">
        <f t="shared" ref="BB100:BB101" si="231">(BA100+1)/(AH100+1)</f>
        <v>1</v>
      </c>
      <c r="BC100" s="264"/>
      <c r="BD100" s="264"/>
    </row>
    <row r="101" spans="28:56" ht="18" customHeight="1" thickBot="1" x14ac:dyDescent="0.25">
      <c r="AB101" s="206" t="s">
        <v>296</v>
      </c>
      <c r="AC101" s="199"/>
      <c r="AD101" s="199"/>
      <c r="AE101" s="200"/>
      <c r="AF101" s="200"/>
      <c r="AG101" s="201"/>
      <c r="AH101" s="200"/>
      <c r="AI101" s="200"/>
      <c r="AJ101" s="200"/>
      <c r="AK101" s="200"/>
      <c r="AL101" s="202" t="e">
        <f t="shared" si="223"/>
        <v>#DIV/0!</v>
      </c>
      <c r="AM101" s="200"/>
      <c r="AN101" s="200"/>
      <c r="AO101" s="203" t="e">
        <f t="shared" si="224"/>
        <v>#DIV/0!</v>
      </c>
      <c r="AP101" s="200"/>
      <c r="AQ101" s="200"/>
      <c r="AR101" s="203" t="e">
        <f t="shared" si="225"/>
        <v>#DIV/0!</v>
      </c>
      <c r="AS101" s="200"/>
      <c r="AT101" s="200"/>
      <c r="AU101" s="203" t="e">
        <f t="shared" si="226"/>
        <v>#DIV/0!</v>
      </c>
      <c r="AV101" s="200"/>
      <c r="AW101" s="200"/>
      <c r="AX101" s="203" t="e">
        <f t="shared" si="227"/>
        <v>#DIV/0!</v>
      </c>
      <c r="AY101" s="204">
        <f t="shared" si="228"/>
        <v>0</v>
      </c>
      <c r="AZ101" s="204">
        <f t="shared" si="229"/>
        <v>0</v>
      </c>
      <c r="BA101" s="204">
        <f t="shared" si="230"/>
        <v>0</v>
      </c>
      <c r="BB101" s="203">
        <f t="shared" si="231"/>
        <v>1</v>
      </c>
      <c r="BC101" s="139"/>
      <c r="BD101" s="139"/>
    </row>
    <row r="102" spans="28:56" ht="18" customHeight="1" x14ac:dyDescent="0.2">
      <c r="AB102" s="7"/>
      <c r="AC102" s="148"/>
      <c r="AD102" s="148"/>
      <c r="AE102" s="32"/>
      <c r="AF102" s="14">
        <f>SUM(AF99:AF101)</f>
        <v>0</v>
      </c>
      <c r="AG102" s="14">
        <f>SUM(AG99:AG101)</f>
        <v>0</v>
      </c>
      <c r="AH102" s="14">
        <f t="shared" ref="AH102:AK102" si="232">SUM(AH99:AH101)</f>
        <v>0</v>
      </c>
      <c r="AI102" s="14">
        <f t="shared" si="232"/>
        <v>0</v>
      </c>
      <c r="AJ102" s="14">
        <f t="shared" si="232"/>
        <v>0</v>
      </c>
      <c r="AK102" s="14">
        <f t="shared" si="232"/>
        <v>0</v>
      </c>
      <c r="AL102" s="163"/>
      <c r="AM102" s="14">
        <f>SUM(AM99:AM101)</f>
        <v>0</v>
      </c>
      <c r="AN102" s="14">
        <f>SUM(AN99:AN101)</f>
        <v>0</v>
      </c>
      <c r="AO102" s="165"/>
      <c r="AP102" s="14">
        <f>SUM(AP99:AP101)</f>
        <v>0</v>
      </c>
      <c r="AQ102" s="14">
        <f>SUM(AQ99:AQ101)</f>
        <v>0</v>
      </c>
      <c r="AR102" s="165"/>
      <c r="AS102" s="14">
        <f>SUM(AS99:AS101)</f>
        <v>0</v>
      </c>
      <c r="AT102" s="14">
        <f>SUM(AT99:AT101)</f>
        <v>0</v>
      </c>
      <c r="AU102" s="165"/>
      <c r="AV102" s="14">
        <f>SUM(AV99:AV101)</f>
        <v>0</v>
      </c>
      <c r="AW102" s="14">
        <f>SUM(AW99:AW101)</f>
        <v>0</v>
      </c>
      <c r="AX102" s="165"/>
      <c r="AY102" s="14">
        <f>SUM(AY99:AY101)</f>
        <v>0</v>
      </c>
      <c r="AZ102" s="14">
        <f>SUM(AZ99:AZ101)</f>
        <v>0</v>
      </c>
      <c r="BA102" s="14">
        <f>SUM(AY102:AZ102)</f>
        <v>0</v>
      </c>
      <c r="BB102" s="137">
        <f>(BA102+1)/(AH102+1)</f>
        <v>1</v>
      </c>
      <c r="BC102" s="136"/>
      <c r="BD102" s="136"/>
    </row>
  </sheetData>
  <protectedRanges>
    <protectedRange sqref="AC4:AK6 AC9:AK11 AC14:AK16 AC19:AK21 AC24:AK26 AC29:AK31 AC34:AK36 AC39:AK41 AC44:AK46 AC49:AK51 AC54:AK56 AC59:AK61 AC64:AK66 AC69:AK71 AC74:AK76 AC79:AK81 AC84:AK86 AC89:AK91 AC94:AK96 AC99:AK101 B5:D5" name="Range2_12_3"/>
    <protectedRange sqref="AM4:AN6 AM9:AN11 AM14:AN16 AM19:AN21 AM24:AN26 AM29:AN31 AM34:AN36 AM39:AN41 AM44:AN46 AM49:AN51 AM54:AN56 AM59:AN61 AM64:AN66 AM69:AN71 AM74:AN76 AM79:AN81 AM84:AN86 AM89:AN91 AM94:AN96 AM99:AN101" name="Range3_12_3"/>
    <protectedRange sqref="AP4:AQ6 AP9:AQ11 AP14:AQ16 AP19:AQ21 AP24:AQ26 AP29:AQ31 AP34:AQ36 AP39:AQ41 AP44:AQ46 AP49:AQ51 AP54:AQ56 AP59:AQ61 AP64:AQ66 AP69:AQ71 AP74:AQ76 AP79:AQ81 AP84:AQ86 AP89:AQ91 AP94:AQ96 AP99:AQ101" name="Range4_12_3"/>
    <protectedRange sqref="AS4:AT6 AS9:AT11 AS14:AT16 AS19:AT21 AS24:AT26 AS29:AT31 AS34:AT36 AS39:AT41 AS44:AT46 AS49:AT51 AS54:AT56 AS59:AT61 AS64:AT66 AS69:AT71 AS74:AT76 AS79:AT81 AS84:AT86 AS89:AT91 AS94:AT96 AS99:AT101" name="Range5_12_3"/>
    <protectedRange sqref="AV4:AW6 AV9:AW11 AV14:AW16 AV19:AW21 AV24:AW26 AV29:AW31 AV34:AW36 AV39:AW41 AV44:AW46 AV49:AW51 AV54:AW56 AV59:AW61 AV64:AW66 AV69:AW71 AV74:AW76 AV79:AW81 AV84:AW86 AV89:AW91 AV94:AW96 AV99:AW101" name="Range6_12_3"/>
    <protectedRange sqref="D3:D4 D6" name="Range1_1_1_2"/>
    <protectedRange sqref="B3:C4 B6:C6" name="Range1_1_2"/>
    <protectedRange sqref="D7:D22" name="Range1_2_1"/>
    <protectedRange sqref="B7:C22" name="Range1_1_1_1_1"/>
    <protectedRange sqref="E9:K22" name="Range1_2_3_1"/>
    <protectedRange sqref="E3:K7" name="Range1_4_1"/>
  </protectedRanges>
  <mergeCells count="1">
    <mergeCell ref="I30:J30"/>
  </mergeCells>
  <pageMargins left="0.75" right="0.75" top="1" bottom="1" header="0.5" footer="0.5"/>
  <pageSetup orientation="portrait" r:id="rId1"/>
  <headerFooter alignWithMargins="0"/>
  <ignoredErrors>
    <ignoredError sqref="AU5 M10 AU79" evalErro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AE67"/>
  <sheetViews>
    <sheetView zoomScale="60" zoomScaleNormal="60" workbookViewId="0">
      <pane xSplit="2" ySplit="2" topLeftCell="C3" activePane="bottomRight" state="frozen"/>
      <selection pane="topRight" activeCell="C1" sqref="C1"/>
      <selection pane="bottomLeft" activeCell="A3" sqref="A3"/>
      <selection pane="bottomRight"/>
    </sheetView>
  </sheetViews>
  <sheetFormatPr defaultColWidth="5.42578125" defaultRowHeight="18" customHeight="1" x14ac:dyDescent="0.2"/>
  <cols>
    <col min="1" max="1" width="4.85546875" style="37" bestFit="1" customWidth="1"/>
    <col min="2" max="3" width="9.85546875" style="37" bestFit="1" customWidth="1"/>
    <col min="4" max="4" width="3.5703125" style="27" bestFit="1" customWidth="1"/>
    <col min="5" max="5" width="5.85546875" style="37" bestFit="1" customWidth="1"/>
    <col min="6" max="6" width="4.28515625" style="41" bestFit="1" customWidth="1"/>
    <col min="7" max="7" width="4.28515625" style="27" bestFit="1" customWidth="1"/>
    <col min="8" max="8" width="14.85546875" style="27" customWidth="1"/>
    <col min="9" max="9" width="12.140625" style="39" bestFit="1" customWidth="1"/>
    <col min="10" max="10" width="7.85546875" style="37" bestFit="1" customWidth="1"/>
    <col min="11" max="11" width="7.28515625" style="37" bestFit="1" customWidth="1"/>
    <col min="12" max="12" width="3.5703125" style="27" bestFit="1" customWidth="1"/>
    <col min="13" max="13" width="7.28515625" style="37" bestFit="1" customWidth="1"/>
    <col min="14" max="14" width="5.85546875" style="37" bestFit="1" customWidth="1"/>
    <col min="15" max="15" width="5.7109375" style="27" bestFit="1" customWidth="1"/>
    <col min="16" max="16" width="7.28515625" style="37" bestFit="1" customWidth="1"/>
    <col min="17" max="17" width="3.5703125" style="37" bestFit="1" customWidth="1"/>
    <col min="18" max="18" width="5.7109375" style="27" bestFit="1" customWidth="1"/>
    <col min="19" max="19" width="7.28515625" style="37" bestFit="1" customWidth="1"/>
    <col min="20" max="20" width="3.5703125" style="37" bestFit="1" customWidth="1"/>
    <col min="21" max="21" width="5.7109375" style="27" bestFit="1" customWidth="1"/>
    <col min="22" max="22" width="7.28515625" style="50" bestFit="1" customWidth="1"/>
    <col min="23" max="23" width="3.5703125" style="50" bestFit="1" customWidth="1"/>
    <col min="24" max="24" width="5.7109375" style="50" bestFit="1" customWidth="1"/>
    <col min="25" max="25" width="7.28515625" style="27" bestFit="1" customWidth="1"/>
    <col min="26" max="26" width="3.5703125" style="27" bestFit="1" customWidth="1"/>
    <col min="27" max="27" width="7.140625" style="27" bestFit="1" customWidth="1"/>
    <col min="28" max="28" width="10.7109375" style="27" bestFit="1" customWidth="1"/>
    <col min="29" max="29" width="7.28515625" style="27" customWidth="1"/>
    <col min="30" max="30" width="5.7109375" style="50" bestFit="1" customWidth="1"/>
    <col min="31" max="34" width="5.42578125" style="27" customWidth="1"/>
    <col min="35" max="16384" width="5.42578125" style="27"/>
  </cols>
  <sheetData>
    <row r="1" spans="1:31" ht="26.25" customHeight="1" thickBot="1" x14ac:dyDescent="0.35">
      <c r="A1" s="77" t="s">
        <v>330</v>
      </c>
      <c r="B1" s="75"/>
      <c r="C1" s="75"/>
      <c r="D1" s="75"/>
      <c r="E1" s="75"/>
      <c r="F1" s="75"/>
      <c r="G1" s="75"/>
      <c r="H1" s="75"/>
      <c r="I1" s="75"/>
      <c r="J1" s="75"/>
      <c r="K1" s="180" t="s">
        <v>270</v>
      </c>
      <c r="L1" s="181"/>
      <c r="M1" s="182"/>
      <c r="N1" s="183"/>
      <c r="O1" s="184"/>
      <c r="P1" s="184"/>
      <c r="Q1" s="184"/>
      <c r="R1" s="185"/>
      <c r="S1" s="240"/>
      <c r="T1" s="240"/>
      <c r="U1" s="240"/>
      <c r="V1" s="240"/>
      <c r="W1" s="75"/>
      <c r="X1" s="75"/>
      <c r="Y1" s="75"/>
      <c r="AD1" s="75"/>
      <c r="AE1" s="86" t="s">
        <v>331</v>
      </c>
    </row>
    <row r="2" spans="1:31" s="33" customFormat="1" ht="153.75" customHeight="1" thickBot="1" x14ac:dyDescent="0.25">
      <c r="A2" s="241" t="s">
        <v>63</v>
      </c>
      <c r="B2" s="242" t="s">
        <v>67</v>
      </c>
      <c r="C2" s="243" t="s">
        <v>70</v>
      </c>
      <c r="D2" s="152" t="s">
        <v>74</v>
      </c>
      <c r="E2" s="211" t="s">
        <v>78</v>
      </c>
      <c r="F2" s="211" t="s">
        <v>81</v>
      </c>
      <c r="G2" s="211" t="s">
        <v>84</v>
      </c>
      <c r="H2" s="211" t="s">
        <v>87</v>
      </c>
      <c r="I2" s="211" t="s">
        <v>90</v>
      </c>
      <c r="J2" s="211" t="s">
        <v>93</v>
      </c>
      <c r="K2" s="152" t="s">
        <v>96</v>
      </c>
      <c r="L2" s="211" t="s">
        <v>99</v>
      </c>
      <c r="M2" s="244" t="s">
        <v>101</v>
      </c>
      <c r="N2" s="245" t="s">
        <v>282</v>
      </c>
      <c r="O2" s="245" t="s">
        <v>283</v>
      </c>
      <c r="P2" s="241" t="s">
        <v>273</v>
      </c>
      <c r="Q2" s="245" t="s">
        <v>284</v>
      </c>
      <c r="R2" s="245" t="s">
        <v>285</v>
      </c>
      <c r="S2" s="241" t="s">
        <v>275</v>
      </c>
      <c r="T2" s="245" t="s">
        <v>286</v>
      </c>
      <c r="U2" s="245" t="s">
        <v>287</v>
      </c>
      <c r="V2" s="241" t="s">
        <v>277</v>
      </c>
      <c r="W2" s="245" t="s">
        <v>288</v>
      </c>
      <c r="X2" s="245" t="s">
        <v>289</v>
      </c>
      <c r="Y2" s="241" t="s">
        <v>279</v>
      </c>
      <c r="Z2" s="211" t="s">
        <v>131</v>
      </c>
      <c r="AA2" s="211" t="s">
        <v>134</v>
      </c>
      <c r="AB2" s="211" t="s">
        <v>137</v>
      </c>
      <c r="AC2" s="241" t="s">
        <v>141</v>
      </c>
      <c r="AD2" s="241" t="s">
        <v>281</v>
      </c>
    </row>
    <row r="3" spans="1:31" s="33" customFormat="1" ht="12.75" x14ac:dyDescent="0.2">
      <c r="A3" s="312">
        <v>1</v>
      </c>
      <c r="B3" s="313"/>
      <c r="C3" s="313"/>
      <c r="D3" s="314"/>
      <c r="E3" s="315"/>
      <c r="F3" s="314"/>
      <c r="G3" s="314"/>
      <c r="H3" s="314"/>
      <c r="I3" s="314"/>
      <c r="J3" s="314"/>
      <c r="K3" s="314"/>
      <c r="L3" s="316">
        <f t="shared" ref="L3:L12" si="0">SUM(H3:K3)</f>
        <v>0</v>
      </c>
      <c r="M3" s="317" t="e">
        <f>SUM(H3:K3)/F3</f>
        <v>#DIV/0!</v>
      </c>
      <c r="N3" s="314"/>
      <c r="O3" s="314"/>
      <c r="P3" s="318" t="e">
        <f>SUM(N3:O3)/$G3</f>
        <v>#DIV/0!</v>
      </c>
      <c r="Q3" s="314"/>
      <c r="R3" s="314"/>
      <c r="S3" s="318" t="e">
        <f>SUM(Q3:R3)/$G3</f>
        <v>#DIV/0!</v>
      </c>
      <c r="T3" s="314"/>
      <c r="U3" s="314"/>
      <c r="V3" s="318" t="e">
        <f>SUM(T3:U3)/$G3</f>
        <v>#DIV/0!</v>
      </c>
      <c r="W3" s="314"/>
      <c r="X3" s="314"/>
      <c r="Y3" s="318" t="e">
        <f>SUM(W3:X3)/$G3</f>
        <v>#DIV/0!</v>
      </c>
      <c r="Z3" s="316">
        <f>SUM(N3,Q3,T3,W3)</f>
        <v>0</v>
      </c>
      <c r="AA3" s="316">
        <f>SUM(O3,R3,U3,X3)</f>
        <v>0</v>
      </c>
      <c r="AB3" s="316">
        <f>SUM(Z3:AA3)</f>
        <v>0</v>
      </c>
      <c r="AC3" s="318">
        <f>(AB3+1)/(G3+1)</f>
        <v>1</v>
      </c>
      <c r="AD3" s="319"/>
    </row>
    <row r="4" spans="1:31" s="33" customFormat="1" ht="12.75" x14ac:dyDescent="0.2">
      <c r="A4" s="320">
        <v>2</v>
      </c>
      <c r="B4" s="321"/>
      <c r="C4" s="321"/>
      <c r="D4" s="322"/>
      <c r="E4" s="323"/>
      <c r="F4" s="322"/>
      <c r="G4" s="322"/>
      <c r="H4" s="322"/>
      <c r="I4" s="322"/>
      <c r="J4" s="322"/>
      <c r="K4" s="322"/>
      <c r="L4" s="324">
        <f t="shared" si="0"/>
        <v>0</v>
      </c>
      <c r="M4" s="325" t="e">
        <f t="shared" ref="M4:M13" si="1">SUM(H4:K4)/F4</f>
        <v>#DIV/0!</v>
      </c>
      <c r="N4" s="322"/>
      <c r="O4" s="322"/>
      <c r="P4" s="326" t="e">
        <f t="shared" ref="P4:P11" si="2">SUM(N4:O4)/$G4</f>
        <v>#DIV/0!</v>
      </c>
      <c r="Q4" s="322"/>
      <c r="R4" s="322"/>
      <c r="S4" s="326" t="e">
        <f t="shared" ref="S4:S11" si="3">SUM(Q4:R4)/$G4</f>
        <v>#DIV/0!</v>
      </c>
      <c r="T4" s="322"/>
      <c r="U4" s="322"/>
      <c r="V4" s="326" t="e">
        <f t="shared" ref="V4:V11" si="4">SUM(T4:U4)/$G4</f>
        <v>#DIV/0!</v>
      </c>
      <c r="W4" s="322"/>
      <c r="X4" s="322"/>
      <c r="Y4" s="326" t="e">
        <f t="shared" ref="Y4:Y11" si="5">SUM(W4:X4)/$G4</f>
        <v>#DIV/0!</v>
      </c>
      <c r="Z4" s="324">
        <f t="shared" ref="Z4:AA12" si="6">SUM(N4,Q4,T4,W4)</f>
        <v>0</v>
      </c>
      <c r="AA4" s="324">
        <f t="shared" si="6"/>
        <v>0</v>
      </c>
      <c r="AB4" s="324">
        <f t="shared" ref="AB4:AB12" si="7">SUM(Z4:AA4)</f>
        <v>0</v>
      </c>
      <c r="AC4" s="326">
        <f t="shared" ref="AC4:AC12" si="8">(AB4+1)/(G4+1)</f>
        <v>1</v>
      </c>
      <c r="AD4" s="327"/>
    </row>
    <row r="5" spans="1:31" s="33" customFormat="1" ht="12.75" x14ac:dyDescent="0.2">
      <c r="A5" s="320">
        <v>3</v>
      </c>
      <c r="B5" s="321"/>
      <c r="C5" s="321"/>
      <c r="D5" s="322"/>
      <c r="E5" s="323"/>
      <c r="F5" s="322"/>
      <c r="G5" s="322"/>
      <c r="H5" s="322"/>
      <c r="I5" s="322"/>
      <c r="J5" s="322"/>
      <c r="K5" s="322"/>
      <c r="L5" s="324">
        <f t="shared" si="0"/>
        <v>0</v>
      </c>
      <c r="M5" s="325" t="e">
        <f t="shared" si="1"/>
        <v>#DIV/0!</v>
      </c>
      <c r="N5" s="322"/>
      <c r="O5" s="322"/>
      <c r="P5" s="326" t="e">
        <f t="shared" si="2"/>
        <v>#DIV/0!</v>
      </c>
      <c r="Q5" s="322"/>
      <c r="R5" s="322"/>
      <c r="S5" s="326" t="e">
        <f t="shared" si="3"/>
        <v>#DIV/0!</v>
      </c>
      <c r="T5" s="322"/>
      <c r="U5" s="322"/>
      <c r="V5" s="326" t="e">
        <f t="shared" si="4"/>
        <v>#DIV/0!</v>
      </c>
      <c r="W5" s="322"/>
      <c r="X5" s="322"/>
      <c r="Y5" s="326" t="e">
        <f t="shared" si="5"/>
        <v>#DIV/0!</v>
      </c>
      <c r="Z5" s="324">
        <f t="shared" si="6"/>
        <v>0</v>
      </c>
      <c r="AA5" s="324">
        <f t="shared" si="6"/>
        <v>0</v>
      </c>
      <c r="AB5" s="324">
        <f t="shared" si="7"/>
        <v>0</v>
      </c>
      <c r="AC5" s="326">
        <f t="shared" si="8"/>
        <v>1</v>
      </c>
      <c r="AD5" s="327"/>
    </row>
    <row r="6" spans="1:31" s="33" customFormat="1" ht="12.75" x14ac:dyDescent="0.2">
      <c r="A6" s="320">
        <v>4</v>
      </c>
      <c r="B6" s="321"/>
      <c r="C6" s="321"/>
      <c r="D6" s="322"/>
      <c r="E6" s="323"/>
      <c r="F6" s="322"/>
      <c r="G6" s="322"/>
      <c r="H6" s="322"/>
      <c r="I6" s="322"/>
      <c r="J6" s="322"/>
      <c r="K6" s="322"/>
      <c r="L6" s="324">
        <f t="shared" si="0"/>
        <v>0</v>
      </c>
      <c r="M6" s="325" t="e">
        <f t="shared" si="1"/>
        <v>#DIV/0!</v>
      </c>
      <c r="N6" s="322"/>
      <c r="O6" s="322"/>
      <c r="P6" s="326" t="e">
        <f t="shared" si="2"/>
        <v>#DIV/0!</v>
      </c>
      <c r="Q6" s="322"/>
      <c r="R6" s="322"/>
      <c r="S6" s="326" t="e">
        <f t="shared" si="3"/>
        <v>#DIV/0!</v>
      </c>
      <c r="T6" s="322"/>
      <c r="U6" s="322"/>
      <c r="V6" s="326" t="e">
        <f t="shared" si="4"/>
        <v>#DIV/0!</v>
      </c>
      <c r="W6" s="322"/>
      <c r="X6" s="322"/>
      <c r="Y6" s="326" t="e">
        <f t="shared" si="5"/>
        <v>#DIV/0!</v>
      </c>
      <c r="Z6" s="324">
        <f t="shared" si="6"/>
        <v>0</v>
      </c>
      <c r="AA6" s="324">
        <f t="shared" si="6"/>
        <v>0</v>
      </c>
      <c r="AB6" s="324">
        <f t="shared" si="7"/>
        <v>0</v>
      </c>
      <c r="AC6" s="326">
        <f t="shared" si="8"/>
        <v>1</v>
      </c>
      <c r="AD6" s="327"/>
    </row>
    <row r="7" spans="1:31" s="33" customFormat="1" ht="12.75" x14ac:dyDescent="0.2">
      <c r="A7" s="320">
        <v>5</v>
      </c>
      <c r="B7" s="321"/>
      <c r="C7" s="321"/>
      <c r="D7" s="322"/>
      <c r="E7" s="323"/>
      <c r="F7" s="322"/>
      <c r="G7" s="322"/>
      <c r="H7" s="322"/>
      <c r="I7" s="322"/>
      <c r="J7" s="322"/>
      <c r="K7" s="322"/>
      <c r="L7" s="324">
        <f t="shared" si="0"/>
        <v>0</v>
      </c>
      <c r="M7" s="325" t="e">
        <f t="shared" si="1"/>
        <v>#DIV/0!</v>
      </c>
      <c r="N7" s="322"/>
      <c r="O7" s="322"/>
      <c r="P7" s="326" t="e">
        <f t="shared" si="2"/>
        <v>#DIV/0!</v>
      </c>
      <c r="Q7" s="322"/>
      <c r="R7" s="322"/>
      <c r="S7" s="326" t="e">
        <f t="shared" si="3"/>
        <v>#DIV/0!</v>
      </c>
      <c r="T7" s="322"/>
      <c r="U7" s="322"/>
      <c r="V7" s="326" t="e">
        <f t="shared" si="4"/>
        <v>#DIV/0!</v>
      </c>
      <c r="W7" s="322"/>
      <c r="X7" s="322"/>
      <c r="Y7" s="326" t="e">
        <f t="shared" si="5"/>
        <v>#DIV/0!</v>
      </c>
      <c r="Z7" s="324">
        <f t="shared" si="6"/>
        <v>0</v>
      </c>
      <c r="AA7" s="324">
        <f t="shared" si="6"/>
        <v>0</v>
      </c>
      <c r="AB7" s="324">
        <f t="shared" si="7"/>
        <v>0</v>
      </c>
      <c r="AC7" s="326">
        <f t="shared" si="8"/>
        <v>1</v>
      </c>
      <c r="AD7" s="327"/>
    </row>
    <row r="8" spans="1:31" s="33" customFormat="1" ht="12.75" x14ac:dyDescent="0.2">
      <c r="A8" s="320">
        <v>6</v>
      </c>
      <c r="B8" s="321"/>
      <c r="C8" s="321"/>
      <c r="D8" s="322"/>
      <c r="E8" s="328"/>
      <c r="F8" s="322"/>
      <c r="G8" s="322"/>
      <c r="H8" s="322"/>
      <c r="I8" s="322"/>
      <c r="J8" s="322"/>
      <c r="K8" s="322"/>
      <c r="L8" s="324">
        <f t="shared" si="0"/>
        <v>0</v>
      </c>
      <c r="M8" s="325" t="e">
        <f t="shared" si="1"/>
        <v>#DIV/0!</v>
      </c>
      <c r="N8" s="322"/>
      <c r="O8" s="322"/>
      <c r="P8" s="326" t="e">
        <f t="shared" si="2"/>
        <v>#DIV/0!</v>
      </c>
      <c r="Q8" s="322"/>
      <c r="R8" s="322"/>
      <c r="S8" s="326" t="e">
        <f t="shared" si="3"/>
        <v>#DIV/0!</v>
      </c>
      <c r="T8" s="322"/>
      <c r="U8" s="322"/>
      <c r="V8" s="326" t="e">
        <f t="shared" si="4"/>
        <v>#DIV/0!</v>
      </c>
      <c r="W8" s="322"/>
      <c r="X8" s="322"/>
      <c r="Y8" s="326" t="e">
        <f t="shared" si="5"/>
        <v>#DIV/0!</v>
      </c>
      <c r="Z8" s="324">
        <f t="shared" si="6"/>
        <v>0</v>
      </c>
      <c r="AA8" s="324">
        <f t="shared" si="6"/>
        <v>0</v>
      </c>
      <c r="AB8" s="324">
        <f t="shared" si="7"/>
        <v>0</v>
      </c>
      <c r="AC8" s="326">
        <f t="shared" si="8"/>
        <v>1</v>
      </c>
      <c r="AD8" s="327"/>
    </row>
    <row r="9" spans="1:31" ht="12.75" x14ac:dyDescent="0.2">
      <c r="A9" s="320">
        <v>7</v>
      </c>
      <c r="B9" s="321"/>
      <c r="C9" s="321"/>
      <c r="D9" s="322"/>
      <c r="E9" s="328"/>
      <c r="F9" s="322"/>
      <c r="G9" s="322"/>
      <c r="H9" s="322"/>
      <c r="I9" s="322"/>
      <c r="J9" s="322"/>
      <c r="K9" s="322"/>
      <c r="L9" s="324">
        <f t="shared" si="0"/>
        <v>0</v>
      </c>
      <c r="M9" s="325" t="e">
        <f t="shared" si="1"/>
        <v>#DIV/0!</v>
      </c>
      <c r="N9" s="322"/>
      <c r="O9" s="322"/>
      <c r="P9" s="326" t="e">
        <f t="shared" si="2"/>
        <v>#DIV/0!</v>
      </c>
      <c r="Q9" s="322"/>
      <c r="R9" s="322"/>
      <c r="S9" s="326" t="e">
        <f t="shared" si="3"/>
        <v>#DIV/0!</v>
      </c>
      <c r="T9" s="322"/>
      <c r="U9" s="322"/>
      <c r="V9" s="326" t="e">
        <f t="shared" si="4"/>
        <v>#DIV/0!</v>
      </c>
      <c r="W9" s="322"/>
      <c r="X9" s="322"/>
      <c r="Y9" s="326" t="e">
        <f t="shared" si="5"/>
        <v>#DIV/0!</v>
      </c>
      <c r="Z9" s="324">
        <f t="shared" si="6"/>
        <v>0</v>
      </c>
      <c r="AA9" s="324">
        <f t="shared" si="6"/>
        <v>0</v>
      </c>
      <c r="AB9" s="324">
        <f t="shared" si="7"/>
        <v>0</v>
      </c>
      <c r="AC9" s="326">
        <f t="shared" si="8"/>
        <v>1</v>
      </c>
      <c r="AD9" s="327"/>
    </row>
    <row r="10" spans="1:31" ht="12.75" x14ac:dyDescent="0.2">
      <c r="A10" s="320">
        <v>8</v>
      </c>
      <c r="B10" s="321"/>
      <c r="C10" s="321"/>
      <c r="D10" s="322"/>
      <c r="E10" s="328"/>
      <c r="F10" s="322"/>
      <c r="G10" s="322"/>
      <c r="H10" s="322"/>
      <c r="I10" s="322"/>
      <c r="J10" s="322"/>
      <c r="K10" s="322"/>
      <c r="L10" s="324">
        <f t="shared" si="0"/>
        <v>0</v>
      </c>
      <c r="M10" s="325" t="e">
        <f t="shared" si="1"/>
        <v>#DIV/0!</v>
      </c>
      <c r="N10" s="322"/>
      <c r="O10" s="322"/>
      <c r="P10" s="326" t="e">
        <f t="shared" si="2"/>
        <v>#DIV/0!</v>
      </c>
      <c r="Q10" s="322"/>
      <c r="R10" s="322"/>
      <c r="S10" s="326" t="e">
        <f t="shared" si="3"/>
        <v>#DIV/0!</v>
      </c>
      <c r="T10" s="322"/>
      <c r="U10" s="322"/>
      <c r="V10" s="326" t="e">
        <f t="shared" si="4"/>
        <v>#DIV/0!</v>
      </c>
      <c r="W10" s="322"/>
      <c r="X10" s="322"/>
      <c r="Y10" s="326" t="e">
        <f t="shared" si="5"/>
        <v>#DIV/0!</v>
      </c>
      <c r="Z10" s="324">
        <f t="shared" si="6"/>
        <v>0</v>
      </c>
      <c r="AA10" s="324">
        <f t="shared" si="6"/>
        <v>0</v>
      </c>
      <c r="AB10" s="324">
        <f t="shared" si="7"/>
        <v>0</v>
      </c>
      <c r="AC10" s="326">
        <f t="shared" si="8"/>
        <v>1</v>
      </c>
      <c r="AD10" s="327"/>
    </row>
    <row r="11" spans="1:31" ht="12.75" x14ac:dyDescent="0.2">
      <c r="A11" s="320">
        <v>9</v>
      </c>
      <c r="B11" s="321"/>
      <c r="C11" s="321"/>
      <c r="D11" s="322"/>
      <c r="E11" s="328"/>
      <c r="F11" s="322"/>
      <c r="G11" s="322"/>
      <c r="H11" s="322"/>
      <c r="I11" s="322"/>
      <c r="J11" s="322"/>
      <c r="K11" s="322"/>
      <c r="L11" s="324">
        <f t="shared" si="0"/>
        <v>0</v>
      </c>
      <c r="M11" s="325" t="e">
        <f t="shared" si="1"/>
        <v>#DIV/0!</v>
      </c>
      <c r="N11" s="322"/>
      <c r="O11" s="322"/>
      <c r="P11" s="326" t="e">
        <f t="shared" si="2"/>
        <v>#DIV/0!</v>
      </c>
      <c r="Q11" s="322"/>
      <c r="R11" s="322"/>
      <c r="S11" s="326" t="e">
        <f t="shared" si="3"/>
        <v>#DIV/0!</v>
      </c>
      <c r="T11" s="322"/>
      <c r="U11" s="322"/>
      <c r="V11" s="326" t="e">
        <f t="shared" si="4"/>
        <v>#DIV/0!</v>
      </c>
      <c r="W11" s="322"/>
      <c r="X11" s="322"/>
      <c r="Y11" s="326" t="e">
        <f t="shared" si="5"/>
        <v>#DIV/0!</v>
      </c>
      <c r="Z11" s="324">
        <f t="shared" si="6"/>
        <v>0</v>
      </c>
      <c r="AA11" s="324">
        <f t="shared" si="6"/>
        <v>0</v>
      </c>
      <c r="AB11" s="324">
        <f t="shared" si="7"/>
        <v>0</v>
      </c>
      <c r="AC11" s="326">
        <f t="shared" si="8"/>
        <v>1</v>
      </c>
      <c r="AD11" s="327"/>
    </row>
    <row r="12" spans="1:31" ht="13.5" thickBot="1" x14ac:dyDescent="0.25">
      <c r="A12" s="329">
        <v>10</v>
      </c>
      <c r="B12" s="330"/>
      <c r="C12" s="330"/>
      <c r="D12" s="331"/>
      <c r="E12" s="332"/>
      <c r="F12" s="331"/>
      <c r="G12" s="331"/>
      <c r="H12" s="331"/>
      <c r="I12" s="331"/>
      <c r="J12" s="331"/>
      <c r="K12" s="331"/>
      <c r="L12" s="333">
        <f t="shared" si="0"/>
        <v>0</v>
      </c>
      <c r="M12" s="334" t="e">
        <f t="shared" si="1"/>
        <v>#DIV/0!</v>
      </c>
      <c r="N12" s="331"/>
      <c r="O12" s="331"/>
      <c r="P12" s="335" t="e">
        <f>SUM(N12:O12)/$G12</f>
        <v>#DIV/0!</v>
      </c>
      <c r="Q12" s="331"/>
      <c r="R12" s="331"/>
      <c r="S12" s="335" t="e">
        <f>SUM(Q12:R12)/$G12</f>
        <v>#DIV/0!</v>
      </c>
      <c r="T12" s="331"/>
      <c r="U12" s="331"/>
      <c r="V12" s="335" t="e">
        <f>SUM(T12:U12)/$G12</f>
        <v>#DIV/0!</v>
      </c>
      <c r="W12" s="331"/>
      <c r="X12" s="331"/>
      <c r="Y12" s="335" t="e">
        <f>SUM(W12:X12)/$G12</f>
        <v>#DIV/0!</v>
      </c>
      <c r="Z12" s="333">
        <f t="shared" si="6"/>
        <v>0</v>
      </c>
      <c r="AA12" s="333">
        <f t="shared" si="6"/>
        <v>0</v>
      </c>
      <c r="AB12" s="333">
        <f t="shared" si="7"/>
        <v>0</v>
      </c>
      <c r="AC12" s="335">
        <f t="shared" si="8"/>
        <v>1</v>
      </c>
      <c r="AD12" s="336"/>
    </row>
    <row r="13" spans="1:31" ht="12.75" x14ac:dyDescent="0.2">
      <c r="A13" s="337"/>
      <c r="B13" s="338"/>
      <c r="C13" s="338"/>
      <c r="D13" s="339"/>
      <c r="E13" s="140">
        <f>SUM(E3:E12)</f>
        <v>0</v>
      </c>
      <c r="F13" s="140">
        <f t="shared" ref="F13:L13" si="9">SUM(F3:F12)</f>
        <v>0</v>
      </c>
      <c r="G13" s="140">
        <f t="shared" si="9"/>
        <v>0</v>
      </c>
      <c r="H13" s="140">
        <f t="shared" si="9"/>
        <v>0</v>
      </c>
      <c r="I13" s="140">
        <f t="shared" si="9"/>
        <v>0</v>
      </c>
      <c r="J13" s="140">
        <f t="shared" si="9"/>
        <v>0</v>
      </c>
      <c r="K13" s="140">
        <f t="shared" si="9"/>
        <v>0</v>
      </c>
      <c r="L13" s="140">
        <f t="shared" si="9"/>
        <v>0</v>
      </c>
      <c r="M13" s="142" t="e">
        <f t="shared" si="1"/>
        <v>#DIV/0!</v>
      </c>
      <c r="N13" s="140">
        <f t="shared" ref="N13" si="10">SUM(N3:N12)</f>
        <v>0</v>
      </c>
      <c r="O13" s="140">
        <f t="shared" ref="O13" si="11">SUM(O3:O12)</f>
        <v>0</v>
      </c>
      <c r="P13" s="141" t="e">
        <f>N13/G13</f>
        <v>#DIV/0!</v>
      </c>
      <c r="Q13" s="140">
        <f t="shared" ref="Q13" si="12">SUM(Q3:Q12)</f>
        <v>0</v>
      </c>
      <c r="R13" s="140">
        <f t="shared" ref="R13" si="13">SUM(R3:R12)</f>
        <v>0</v>
      </c>
      <c r="S13" s="141" t="e">
        <f>Q13/G13</f>
        <v>#DIV/0!</v>
      </c>
      <c r="T13" s="140">
        <f t="shared" ref="T13" si="14">SUM(T3:T12)</f>
        <v>0</v>
      </c>
      <c r="U13" s="140">
        <f t="shared" ref="U13" si="15">SUM(U3:U12)</f>
        <v>0</v>
      </c>
      <c r="V13" s="141" t="e">
        <f>T13/G13</f>
        <v>#DIV/0!</v>
      </c>
      <c r="W13" s="140">
        <f t="shared" ref="W13" si="16">SUM(W3:W12)</f>
        <v>0</v>
      </c>
      <c r="X13" s="140">
        <f t="shared" ref="X13" si="17">SUM(X3:X12)</f>
        <v>0</v>
      </c>
      <c r="Y13" s="141" t="e">
        <f>W13/G13</f>
        <v>#DIV/0!</v>
      </c>
      <c r="Z13" s="140">
        <f t="shared" ref="Z13" si="18">SUM(Z3:Z12)</f>
        <v>0</v>
      </c>
      <c r="AA13" s="140">
        <f t="shared" ref="AA13" si="19">SUM(AA3:AA12)</f>
        <v>0</v>
      </c>
      <c r="AB13" s="140">
        <f t="shared" ref="AB13" si="20">SUM(AB3:AB12)</f>
        <v>0</v>
      </c>
      <c r="AC13" s="141"/>
      <c r="AD13" s="140"/>
    </row>
    <row r="14" spans="1:31" ht="15" customHeight="1" x14ac:dyDescent="0.2">
      <c r="B14" s="38"/>
      <c r="C14" s="38"/>
      <c r="E14" s="27"/>
      <c r="F14" s="37"/>
      <c r="G14" s="41"/>
      <c r="I14" s="27"/>
      <c r="J14" s="39"/>
      <c r="L14" s="37"/>
      <c r="N14" s="31"/>
      <c r="O14" s="37"/>
      <c r="Q14" s="31"/>
      <c r="R14" s="37"/>
      <c r="T14" s="31"/>
      <c r="U14" s="37"/>
      <c r="V14" s="37"/>
      <c r="W14" s="31"/>
      <c r="X14" s="42"/>
      <c r="Y14" s="42"/>
      <c r="Z14" s="42"/>
      <c r="AA14" s="35"/>
      <c r="AB14" s="31"/>
      <c r="AC14" s="34"/>
      <c r="AD14" s="42"/>
    </row>
    <row r="15" spans="1:31" ht="20.25" x14ac:dyDescent="0.3">
      <c r="B15" s="38"/>
      <c r="C15" s="38"/>
      <c r="E15" s="27"/>
      <c r="F15" s="150" t="s">
        <v>306</v>
      </c>
      <c r="G15" s="155"/>
      <c r="H15" s="156"/>
      <c r="I15" s="157"/>
      <c r="J15" s="157"/>
      <c r="K15" s="157"/>
      <c r="L15" s="157"/>
      <c r="M15" s="158"/>
      <c r="N15" s="158"/>
      <c r="O15" s="23"/>
      <c r="P15" s="156"/>
      <c r="Q15" s="24"/>
      <c r="R15" s="156"/>
      <c r="S15" s="24"/>
      <c r="T15" s="156"/>
      <c r="U15" s="189"/>
      <c r="V15" s="37"/>
      <c r="W15" s="31"/>
      <c r="X15" s="42"/>
      <c r="Y15" s="42"/>
      <c r="Z15" s="42"/>
      <c r="AA15" s="35"/>
      <c r="AB15" s="31"/>
      <c r="AC15" s="34"/>
      <c r="AD15" s="42"/>
    </row>
    <row r="16" spans="1:31" ht="20.25" x14ac:dyDescent="0.3">
      <c r="B16" s="38"/>
      <c r="C16" s="38"/>
      <c r="E16" s="27"/>
      <c r="F16" s="180" t="s">
        <v>270</v>
      </c>
      <c r="G16" s="181"/>
      <c r="H16" s="182"/>
      <c r="I16" s="183"/>
      <c r="J16" s="184"/>
      <c r="K16" s="184"/>
      <c r="L16" s="184"/>
      <c r="M16" s="185"/>
      <c r="N16" s="182"/>
      <c r="O16" s="186"/>
      <c r="P16" s="182"/>
      <c r="Q16" s="186"/>
      <c r="R16" s="182"/>
      <c r="S16" s="187"/>
      <c r="T16" s="188"/>
      <c r="U16" s="190"/>
      <c r="V16" s="37"/>
      <c r="W16" s="31"/>
      <c r="X16" s="42"/>
      <c r="Y16" s="42"/>
      <c r="Z16" s="42"/>
      <c r="AA16" s="35"/>
      <c r="AB16" s="31"/>
      <c r="AC16" s="34"/>
      <c r="AD16" s="42"/>
    </row>
    <row r="17" spans="1:30" ht="15" customHeight="1" x14ac:dyDescent="0.2">
      <c r="B17" s="38"/>
      <c r="C17" s="38"/>
      <c r="E17" s="27"/>
      <c r="F17" s="37"/>
      <c r="G17" s="41"/>
      <c r="I17" s="27"/>
      <c r="J17" s="39"/>
      <c r="L17" s="37"/>
      <c r="N17" s="31"/>
      <c r="O17" s="37"/>
      <c r="Q17" s="31"/>
      <c r="R17" s="37"/>
      <c r="T17" s="31"/>
      <c r="U17" s="37"/>
      <c r="V17" s="37"/>
      <c r="W17" s="31"/>
      <c r="X17" s="42"/>
      <c r="Y17" s="42"/>
      <c r="Z17" s="42"/>
      <c r="AA17" s="35"/>
      <c r="AB17" s="31"/>
      <c r="AC17" s="34"/>
      <c r="AD17" s="42"/>
    </row>
    <row r="18" spans="1:30" ht="15" customHeight="1" x14ac:dyDescent="0.2">
      <c r="B18" s="38"/>
      <c r="C18" s="38"/>
      <c r="E18" s="27"/>
      <c r="F18" s="37"/>
      <c r="G18" s="41"/>
      <c r="H18" s="44"/>
      <c r="I18" s="2" t="s">
        <v>307</v>
      </c>
      <c r="J18" s="3" t="s">
        <v>308</v>
      </c>
      <c r="K18" s="4" t="s">
        <v>309</v>
      </c>
      <c r="L18" s="37"/>
      <c r="N18" s="27"/>
      <c r="O18" s="37"/>
      <c r="Q18" s="27"/>
      <c r="R18" s="37"/>
      <c r="T18" s="27"/>
      <c r="U18" s="37"/>
      <c r="V18" s="37"/>
      <c r="W18" s="45"/>
      <c r="X18" s="46"/>
      <c r="Y18" s="46"/>
      <c r="Z18" s="46"/>
      <c r="AB18" s="31"/>
      <c r="AC18" s="34"/>
      <c r="AD18" s="46"/>
    </row>
    <row r="19" spans="1:30" ht="15" customHeight="1" x14ac:dyDescent="0.2">
      <c r="B19" s="38"/>
      <c r="C19" s="38"/>
      <c r="D19" s="47"/>
      <c r="E19" s="47"/>
      <c r="F19" s="48"/>
      <c r="G19" s="41"/>
      <c r="H19" s="49"/>
      <c r="I19" s="5" t="e">
        <f>ROUND(AVERAGE(G3:G12),0)</f>
        <v>#DIV/0!</v>
      </c>
      <c r="J19" s="5">
        <f>ROUND(AVERAGE(AB3:AB12),0)</f>
        <v>0</v>
      </c>
      <c r="K19" s="6" t="e">
        <f>(J19+1)/(I19+1)</f>
        <v>#DIV/0!</v>
      </c>
      <c r="L19" s="37"/>
      <c r="N19" s="27"/>
      <c r="O19" s="37"/>
      <c r="Q19" s="27"/>
      <c r="R19" s="37"/>
      <c r="T19" s="27"/>
      <c r="U19" s="37"/>
      <c r="V19" s="37"/>
      <c r="W19" s="27"/>
      <c r="Y19" s="50"/>
      <c r="Z19" s="50"/>
      <c r="AA19" s="29"/>
      <c r="AB19" s="31"/>
      <c r="AC19" s="34"/>
    </row>
    <row r="20" spans="1:30" ht="15" customHeight="1" x14ac:dyDescent="0.2">
      <c r="B20" s="38"/>
      <c r="C20" s="38"/>
      <c r="E20" s="27"/>
      <c r="F20" s="37"/>
      <c r="G20" s="41"/>
      <c r="H20" s="44"/>
      <c r="I20" s="373" t="s">
        <v>311</v>
      </c>
      <c r="J20" s="125"/>
      <c r="K20" s="1"/>
      <c r="L20" s="1"/>
      <c r="N20" s="27"/>
      <c r="O20" s="37"/>
      <c r="Q20" s="27"/>
      <c r="R20" s="37"/>
      <c r="T20" s="27"/>
      <c r="U20" s="37"/>
      <c r="V20" s="37"/>
      <c r="W20" s="27"/>
      <c r="Y20" s="50"/>
      <c r="Z20" s="50"/>
      <c r="AA20" s="29"/>
      <c r="AB20" s="31"/>
      <c r="AC20" s="34"/>
    </row>
    <row r="21" spans="1:30" ht="15" customHeight="1" x14ac:dyDescent="0.2">
      <c r="E21" s="27"/>
      <c r="F21" s="37"/>
      <c r="G21" s="41"/>
      <c r="H21" s="51"/>
      <c r="I21" s="51"/>
      <c r="J21" s="52"/>
      <c r="L21" s="37"/>
      <c r="N21" s="27"/>
      <c r="O21" s="37"/>
      <c r="Q21" s="27"/>
      <c r="R21" s="37"/>
      <c r="T21" s="27"/>
      <c r="U21" s="37"/>
      <c r="V21" s="37"/>
      <c r="W21" s="27"/>
      <c r="Y21" s="50"/>
      <c r="Z21" s="50"/>
      <c r="AA21" s="29"/>
      <c r="AB21" s="31"/>
      <c r="AC21" s="34"/>
    </row>
    <row r="22" spans="1:30" ht="15" customHeight="1" x14ac:dyDescent="0.2">
      <c r="E22" s="40"/>
      <c r="G22" s="51"/>
      <c r="H22" s="51"/>
      <c r="I22" s="52"/>
      <c r="L22" s="31"/>
      <c r="O22" s="31"/>
      <c r="R22" s="31"/>
      <c r="Y22" s="29"/>
      <c r="AA22" s="34"/>
    </row>
    <row r="23" spans="1:30" ht="15" customHeight="1" x14ac:dyDescent="0.2">
      <c r="A23" s="31"/>
      <c r="B23" s="31"/>
      <c r="C23" s="31"/>
      <c r="D23" s="31"/>
      <c r="E23" s="31"/>
      <c r="F23" s="31"/>
      <c r="G23" s="31"/>
      <c r="H23" s="31"/>
      <c r="I23" s="31"/>
      <c r="J23" s="31"/>
      <c r="K23" s="31"/>
      <c r="L23" s="31"/>
      <c r="M23" s="31"/>
      <c r="N23" s="31"/>
      <c r="O23" s="31"/>
      <c r="P23" s="31"/>
      <c r="Q23" s="31"/>
      <c r="R23" s="31"/>
      <c r="U23" s="31"/>
      <c r="V23" s="42"/>
      <c r="W23" s="42"/>
      <c r="X23" s="42"/>
      <c r="Y23" s="31"/>
      <c r="AA23" s="34"/>
      <c r="AD23" s="42"/>
    </row>
    <row r="24" spans="1:30" ht="15" customHeight="1" x14ac:dyDescent="0.25">
      <c r="C24" s="53"/>
      <c r="D24" s="54"/>
      <c r="E24" s="55"/>
      <c r="F24" s="56"/>
      <c r="G24" s="51"/>
      <c r="H24" s="51"/>
      <c r="I24" s="52"/>
      <c r="R24" s="31"/>
      <c r="U24" s="57"/>
      <c r="V24" s="58"/>
      <c r="W24" s="58"/>
      <c r="X24" s="58"/>
      <c r="AA24" s="34"/>
      <c r="AD24" s="58"/>
    </row>
    <row r="25" spans="1:30" ht="15" customHeight="1" x14ac:dyDescent="0.2">
      <c r="R25" s="31"/>
      <c r="U25" s="57"/>
      <c r="V25" s="58"/>
      <c r="W25" s="58"/>
      <c r="X25" s="58"/>
      <c r="AA25" s="34"/>
      <c r="AD25" s="58"/>
    </row>
    <row r="26" spans="1:30" ht="15" customHeight="1" x14ac:dyDescent="0.2">
      <c r="R26" s="31"/>
      <c r="U26" s="57"/>
      <c r="V26" s="58"/>
      <c r="W26" s="58"/>
      <c r="X26" s="58"/>
      <c r="AA26" s="34"/>
      <c r="AD26" s="58"/>
    </row>
    <row r="27" spans="1:30" ht="15" customHeight="1" x14ac:dyDescent="0.2">
      <c r="R27" s="31"/>
      <c r="U27" s="57"/>
      <c r="V27" s="58"/>
      <c r="W27" s="58"/>
      <c r="X27" s="58"/>
      <c r="Z27" s="31"/>
      <c r="AA27" s="34"/>
      <c r="AD27" s="58"/>
    </row>
    <row r="28" spans="1:30" ht="15" customHeight="1" x14ac:dyDescent="0.2">
      <c r="AA28" s="34"/>
    </row>
    <row r="29" spans="1:30" ht="15" customHeight="1" x14ac:dyDescent="0.2">
      <c r="AA29" s="34"/>
    </row>
    <row r="30" spans="1:30" ht="15" customHeight="1" x14ac:dyDescent="0.2">
      <c r="AA30" s="34"/>
    </row>
    <row r="31" spans="1:30" ht="15" customHeight="1" x14ac:dyDescent="0.2">
      <c r="Z31" s="31"/>
      <c r="AA31" s="34"/>
    </row>
    <row r="32" spans="1:30" ht="15" customHeight="1" x14ac:dyDescent="0.2">
      <c r="AA32" s="34"/>
    </row>
    <row r="33" spans="16:30" ht="12.75" x14ac:dyDescent="0.2">
      <c r="AA33" s="34"/>
    </row>
    <row r="34" spans="16:30" ht="12.75" x14ac:dyDescent="0.2">
      <c r="AA34" s="34"/>
    </row>
    <row r="35" spans="16:30" ht="12.75" x14ac:dyDescent="0.2">
      <c r="AA35" s="34"/>
    </row>
    <row r="36" spans="16:30" ht="15" customHeight="1" x14ac:dyDescent="0.2">
      <c r="AA36" s="34"/>
    </row>
    <row r="37" spans="16:30" ht="15" customHeight="1" x14ac:dyDescent="0.2">
      <c r="AA37" s="34"/>
    </row>
    <row r="38" spans="16:30" ht="15" customHeight="1" x14ac:dyDescent="0.2">
      <c r="AA38" s="34"/>
    </row>
    <row r="39" spans="16:30" ht="15" customHeight="1" x14ac:dyDescent="0.2">
      <c r="AA39" s="34"/>
    </row>
    <row r="40" spans="16:30" ht="15" customHeight="1" x14ac:dyDescent="0.2">
      <c r="AA40" s="34"/>
    </row>
    <row r="41" spans="16:30" ht="15" customHeight="1" x14ac:dyDescent="0.2">
      <c r="P41" s="59"/>
      <c r="Q41" s="59"/>
      <c r="U41" s="31"/>
      <c r="V41" s="42"/>
      <c r="W41" s="42"/>
      <c r="X41" s="42"/>
      <c r="AA41" s="34"/>
      <c r="AD41" s="42"/>
    </row>
    <row r="42" spans="16:30" ht="15" customHeight="1" x14ac:dyDescent="0.2">
      <c r="AA42" s="34"/>
    </row>
    <row r="43" spans="16:30" ht="15" customHeight="1" x14ac:dyDescent="0.2">
      <c r="AA43" s="34"/>
    </row>
    <row r="44" spans="16:30" ht="15" customHeight="1" x14ac:dyDescent="0.2">
      <c r="AA44" s="34"/>
    </row>
    <row r="45" spans="16:30" ht="15" customHeight="1" x14ac:dyDescent="0.2">
      <c r="AA45" s="34"/>
    </row>
    <row r="46" spans="16:30" ht="15" customHeight="1" x14ac:dyDescent="0.2">
      <c r="AA46" s="31"/>
    </row>
    <row r="47" spans="16:30" ht="15" customHeight="1" x14ac:dyDescent="0.2">
      <c r="AA47" s="31"/>
    </row>
    <row r="48" spans="16:30" ht="15" customHeight="1" x14ac:dyDescent="0.2">
      <c r="AA48" s="31"/>
    </row>
    <row r="49" spans="5:29" ht="15" customHeight="1" x14ac:dyDescent="0.2">
      <c r="AA49" s="31"/>
    </row>
    <row r="50" spans="5:29" ht="15" customHeight="1" x14ac:dyDescent="0.2">
      <c r="AA50" s="31"/>
    </row>
    <row r="51" spans="5:29" ht="15" customHeight="1" x14ac:dyDescent="0.2">
      <c r="AA51" s="31"/>
    </row>
    <row r="52" spans="5:29" ht="15" customHeight="1" x14ac:dyDescent="0.2">
      <c r="AA52" s="31"/>
    </row>
    <row r="53" spans="5:29" ht="12.75" x14ac:dyDescent="0.2">
      <c r="AA53" s="31"/>
      <c r="AC53" s="29"/>
    </row>
    <row r="54" spans="5:29" ht="15" customHeight="1" x14ac:dyDescent="0.2">
      <c r="J54" s="59"/>
      <c r="K54" s="59"/>
      <c r="M54" s="59"/>
      <c r="N54" s="59"/>
      <c r="R54" s="31"/>
      <c r="AA54" s="31"/>
      <c r="AC54" s="29"/>
    </row>
    <row r="55" spans="5:29" ht="15" customHeight="1" x14ac:dyDescent="0.2">
      <c r="J55" s="59"/>
      <c r="K55" s="59"/>
      <c r="M55" s="59"/>
      <c r="N55" s="59"/>
      <c r="R55" s="31"/>
      <c r="AC55" s="29"/>
    </row>
    <row r="56" spans="5:29" ht="15" customHeight="1" x14ac:dyDescent="0.2">
      <c r="J56" s="59"/>
      <c r="K56" s="59"/>
      <c r="M56" s="59"/>
      <c r="N56" s="59"/>
      <c r="R56" s="31"/>
      <c r="AC56" s="29"/>
    </row>
    <row r="57" spans="5:29" ht="15" customHeight="1" x14ac:dyDescent="0.2">
      <c r="J57" s="59"/>
      <c r="K57" s="59"/>
      <c r="M57" s="59"/>
      <c r="N57" s="59"/>
      <c r="R57" s="31"/>
      <c r="AC57" s="29"/>
    </row>
    <row r="58" spans="5:29" ht="15" customHeight="1" x14ac:dyDescent="0.2">
      <c r="J58" s="59"/>
      <c r="K58" s="59"/>
      <c r="M58" s="59"/>
      <c r="N58" s="59"/>
      <c r="R58" s="31"/>
      <c r="AC58" s="29"/>
    </row>
    <row r="59" spans="5:29" ht="15" customHeight="1" x14ac:dyDescent="0.2">
      <c r="J59" s="59"/>
      <c r="K59" s="59"/>
      <c r="M59" s="59"/>
      <c r="N59" s="59"/>
      <c r="R59" s="31"/>
      <c r="AA59" s="31"/>
      <c r="AB59" s="29"/>
    </row>
    <row r="60" spans="5:29" ht="15" customHeight="1" x14ac:dyDescent="0.2">
      <c r="J60" s="59"/>
      <c r="K60" s="59"/>
      <c r="M60" s="59"/>
      <c r="N60" s="59"/>
      <c r="R60" s="31"/>
    </row>
    <row r="61" spans="5:29" ht="15" customHeight="1" x14ac:dyDescent="0.2">
      <c r="M61" s="59"/>
      <c r="N61" s="59"/>
      <c r="R61" s="31"/>
    </row>
    <row r="62" spans="5:29" ht="15" customHeight="1" x14ac:dyDescent="0.2">
      <c r="E62" s="33"/>
      <c r="F62" s="61"/>
      <c r="G62" s="62"/>
      <c r="H62" s="62"/>
      <c r="M62" s="59"/>
      <c r="N62" s="59"/>
      <c r="R62" s="31"/>
    </row>
    <row r="63" spans="5:29" ht="15" customHeight="1" x14ac:dyDescent="0.2">
      <c r="E63" s="33"/>
      <c r="F63" s="61"/>
      <c r="G63" s="62"/>
      <c r="H63" s="62"/>
      <c r="M63" s="59"/>
      <c r="N63" s="59"/>
      <c r="R63" s="31"/>
    </row>
    <row r="64" spans="5:29" ht="15" customHeight="1" x14ac:dyDescent="0.2">
      <c r="E64" s="33"/>
      <c r="F64" s="61"/>
      <c r="G64" s="62"/>
      <c r="H64" s="62"/>
      <c r="M64" s="59"/>
      <c r="N64" s="59"/>
      <c r="R64" s="31"/>
      <c r="AA64" s="31"/>
    </row>
    <row r="65" spans="5:8" ht="15" customHeight="1" x14ac:dyDescent="0.2">
      <c r="E65" s="33"/>
      <c r="F65" s="61"/>
      <c r="G65" s="62"/>
      <c r="H65" s="62"/>
    </row>
    <row r="66" spans="5:8" ht="15" customHeight="1" x14ac:dyDescent="0.2">
      <c r="E66" s="33"/>
      <c r="F66" s="61"/>
      <c r="G66" s="62"/>
      <c r="H66" s="62"/>
    </row>
    <row r="67" spans="5:8" ht="15" customHeight="1" x14ac:dyDescent="0.2"/>
  </sheetData>
  <protectedRanges>
    <protectedRange sqref="B3:D12" name="Range1_3"/>
    <protectedRange sqref="E8:E12" name="Range1_2_1"/>
    <protectedRange sqref="E3:E7" name="Range1_1_2"/>
  </protectedRanges>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9FF66"/>
  </sheetPr>
  <dimension ref="A1:AP45"/>
  <sheetViews>
    <sheetView topLeftCell="A20" zoomScale="90" zoomScaleNormal="90" workbookViewId="0">
      <selection activeCell="AA28" sqref="AA28"/>
    </sheetView>
  </sheetViews>
  <sheetFormatPr defaultColWidth="5.42578125" defaultRowHeight="18" customHeight="1" x14ac:dyDescent="0.2"/>
  <cols>
    <col min="1" max="1" width="3.42578125" style="72" bestFit="1" customWidth="1"/>
    <col min="2" max="3" width="8.7109375" style="167" bestFit="1" customWidth="1"/>
    <col min="4" max="4" width="3.28515625" style="171" bestFit="1" customWidth="1"/>
    <col min="5" max="6" width="5.7109375" style="171" bestFit="1" customWidth="1"/>
    <col min="7" max="7" width="6.7109375" style="171" customWidth="1"/>
    <col min="8" max="8" width="7.28515625" style="73" bestFit="1" customWidth="1"/>
    <col min="9" max="9" width="6.42578125" style="171" customWidth="1"/>
    <col min="10" max="10" width="7.28515625" style="73" bestFit="1" customWidth="1"/>
    <col min="11" max="11" width="7" style="171" customWidth="1"/>
    <col min="12" max="12" width="7.28515625" style="73" bestFit="1" customWidth="1"/>
    <col min="13" max="13" width="3.5703125" style="171" bestFit="1" customWidth="1"/>
    <col min="14" max="14" width="7.28515625" style="73" bestFit="1" customWidth="1"/>
    <col min="15" max="15" width="5.7109375" style="171" bestFit="1" customWidth="1"/>
    <col min="16" max="16" width="8.28515625" style="73" bestFit="1" customWidth="1"/>
    <col min="17" max="17" width="7.140625" style="73" bestFit="1" customWidth="1"/>
    <col min="18" max="25" width="5.42578125" style="63" customWidth="1"/>
    <col min="26" max="26" width="5.42578125" style="64" customWidth="1"/>
    <col min="27" max="27" width="5.42578125" style="65" customWidth="1"/>
    <col min="28" max="16384" width="5.42578125" style="63"/>
  </cols>
  <sheetData>
    <row r="1" spans="1:42" ht="28.9" customHeight="1" thickBot="1" x14ac:dyDescent="0.25">
      <c r="A1" s="78" t="s">
        <v>332</v>
      </c>
      <c r="B1" s="166"/>
      <c r="C1" s="166"/>
      <c r="D1" s="168"/>
      <c r="E1" s="168"/>
      <c r="F1" s="168"/>
      <c r="G1" s="168"/>
      <c r="H1" s="174"/>
      <c r="I1" s="168"/>
      <c r="J1" s="174"/>
      <c r="K1" s="168"/>
      <c r="L1" s="174"/>
      <c r="M1" s="168"/>
      <c r="N1" s="174"/>
      <c r="O1" s="168"/>
      <c r="P1" s="174"/>
      <c r="Q1" s="175"/>
    </row>
    <row r="2" spans="1:42" s="66" customFormat="1" ht="203.25" customHeight="1" thickBot="1" x14ac:dyDescent="0.25">
      <c r="A2" s="12" t="s">
        <v>63</v>
      </c>
      <c r="B2" s="145" t="s">
        <v>67</v>
      </c>
      <c r="C2" s="146" t="s">
        <v>70</v>
      </c>
      <c r="D2" s="169" t="s">
        <v>74</v>
      </c>
      <c r="E2" s="170" t="s">
        <v>333</v>
      </c>
      <c r="F2" s="169" t="s">
        <v>334</v>
      </c>
      <c r="G2" s="161" t="s">
        <v>272</v>
      </c>
      <c r="H2" s="12" t="s">
        <v>273</v>
      </c>
      <c r="I2" s="161" t="s">
        <v>274</v>
      </c>
      <c r="J2" s="12" t="s">
        <v>275</v>
      </c>
      <c r="K2" s="161" t="s">
        <v>276</v>
      </c>
      <c r="L2" s="12" t="s">
        <v>277</v>
      </c>
      <c r="M2" s="161" t="s">
        <v>278</v>
      </c>
      <c r="N2" s="12" t="s">
        <v>279</v>
      </c>
      <c r="O2" s="170" t="s">
        <v>335</v>
      </c>
      <c r="P2" s="207" t="s">
        <v>336</v>
      </c>
      <c r="Q2" s="207" t="s">
        <v>337</v>
      </c>
      <c r="R2" s="246"/>
      <c r="S2" s="246"/>
      <c r="T2" s="246"/>
      <c r="U2" s="246"/>
      <c r="V2" s="246"/>
      <c r="W2" s="246"/>
      <c r="X2" s="246"/>
      <c r="Y2" s="67"/>
      <c r="Z2" s="68"/>
      <c r="AA2" s="247"/>
      <c r="AB2" s="246"/>
      <c r="AC2" s="246"/>
      <c r="AD2" s="246"/>
      <c r="AE2" s="246"/>
      <c r="AF2" s="246"/>
      <c r="AG2" s="246"/>
      <c r="AH2" s="246"/>
      <c r="AI2" s="246"/>
      <c r="AJ2" s="246"/>
      <c r="AK2" s="246"/>
      <c r="AL2" s="246"/>
      <c r="AM2" s="246"/>
      <c r="AN2" s="246"/>
      <c r="AO2" s="246"/>
      <c r="AP2" s="246"/>
    </row>
    <row r="3" spans="1:42" ht="15" customHeight="1" x14ac:dyDescent="0.2">
      <c r="A3" s="340">
        <v>1</v>
      </c>
      <c r="B3" s="341">
        <f>'UCC CHN 25-26'!B3</f>
        <v>45982</v>
      </c>
      <c r="C3" s="341">
        <f>'UCC CHN 25-26'!C3</f>
        <v>45983</v>
      </c>
      <c r="D3" s="342">
        <f>'UCC CHN 25-26'!D3</f>
        <v>1</v>
      </c>
      <c r="E3" s="342">
        <f>'UCC CHN 25-26'!F3</f>
        <v>73</v>
      </c>
      <c r="F3" s="342">
        <f>'UCC CHN 25-26'!G3</f>
        <v>73</v>
      </c>
      <c r="G3" s="343">
        <v>4</v>
      </c>
      <c r="H3" s="344">
        <f>G3/F3</f>
        <v>5.4794520547945202E-2</v>
      </c>
      <c r="I3" s="343">
        <v>0</v>
      </c>
      <c r="J3" s="344">
        <f>I3/F3</f>
        <v>0</v>
      </c>
      <c r="K3" s="343">
        <v>0</v>
      </c>
      <c r="L3" s="344">
        <f>K3/F3</f>
        <v>0</v>
      </c>
      <c r="M3" s="343">
        <v>0</v>
      </c>
      <c r="N3" s="344">
        <f>M3/F3</f>
        <v>0</v>
      </c>
      <c r="O3" s="345">
        <f>SUM(G3,I3,K3,M3)</f>
        <v>4</v>
      </c>
      <c r="P3" s="344">
        <f>(O3+1)/(F3+1)</f>
        <v>6.7567567567567571E-2</v>
      </c>
      <c r="Q3" s="346">
        <f>'UCC CHN 25-26'!X3</f>
        <v>0.17567567567567569</v>
      </c>
      <c r="Y3" s="69"/>
      <c r="AA3" s="70"/>
      <c r="AP3" s="64"/>
    </row>
    <row r="4" spans="1:42" ht="15" customHeight="1" x14ac:dyDescent="0.2">
      <c r="A4" s="347">
        <v>2</v>
      </c>
      <c r="B4" s="348">
        <f>'UCC CHN 25-26'!B4</f>
        <v>45989</v>
      </c>
      <c r="C4" s="348">
        <f>'UCC CHN 25-26'!C4</f>
        <v>45990</v>
      </c>
      <c r="D4" s="349">
        <f>'UCC CHN 25-26'!D4</f>
        <v>1</v>
      </c>
      <c r="E4" s="349">
        <f>'UCC CHN 25-26'!F4</f>
        <v>240</v>
      </c>
      <c r="F4" s="349">
        <f>'UCC CHN 25-26'!G4</f>
        <v>238</v>
      </c>
      <c r="G4" s="350">
        <v>1</v>
      </c>
      <c r="H4" s="351">
        <f t="shared" ref="H4:H6" si="0">G4/F4</f>
        <v>4.2016806722689074E-3</v>
      </c>
      <c r="I4" s="350">
        <v>3</v>
      </c>
      <c r="J4" s="351">
        <f t="shared" ref="J4:J6" si="1">I4/F4</f>
        <v>1.2605042016806723E-2</v>
      </c>
      <c r="K4" s="350">
        <v>0</v>
      </c>
      <c r="L4" s="351">
        <f>K4/F4</f>
        <v>0</v>
      </c>
      <c r="M4" s="350">
        <v>0</v>
      </c>
      <c r="N4" s="351">
        <f t="shared" ref="N4:N6" si="2">M4/F4</f>
        <v>0</v>
      </c>
      <c r="O4" s="352">
        <f t="shared" ref="O4:O6" si="3">SUM(G4,I4,K4,M4)</f>
        <v>4</v>
      </c>
      <c r="P4" s="351">
        <f t="shared" ref="P4:P6" si="4">(O4+1)/(F4+1)</f>
        <v>2.0920502092050208E-2</v>
      </c>
      <c r="Q4" s="353">
        <f>'UCC CHN 25-26'!X4</f>
        <v>0.26359832635983266</v>
      </c>
      <c r="Y4" s="69"/>
      <c r="AA4" s="70"/>
      <c r="AP4" s="64"/>
    </row>
    <row r="5" spans="1:42" ht="15" customHeight="1" x14ac:dyDescent="0.2">
      <c r="A5" s="347">
        <v>3</v>
      </c>
      <c r="B5" s="348">
        <f>'UCC CHN 25-26'!B5</f>
        <v>45993</v>
      </c>
      <c r="C5" s="348">
        <f>'UCC CHN 25-26'!C5</f>
        <v>45994</v>
      </c>
      <c r="D5" s="349">
        <f>'UCC CHN 25-26'!D5</f>
        <v>1</v>
      </c>
      <c r="E5" s="349">
        <f>'UCC CHN 25-26'!F5</f>
        <v>335</v>
      </c>
      <c r="F5" s="349">
        <f>'UCC CHN 25-26'!G5</f>
        <v>335</v>
      </c>
      <c r="G5" s="350">
        <v>0</v>
      </c>
      <c r="H5" s="351">
        <f t="shared" si="0"/>
        <v>0</v>
      </c>
      <c r="I5" s="350">
        <v>3</v>
      </c>
      <c r="J5" s="351">
        <f t="shared" si="1"/>
        <v>8.9552238805970154E-3</v>
      </c>
      <c r="K5" s="350">
        <v>1</v>
      </c>
      <c r="L5" s="351">
        <f>K5/F5</f>
        <v>2.9850746268656717E-3</v>
      </c>
      <c r="M5" s="350">
        <v>0</v>
      </c>
      <c r="N5" s="351">
        <f t="shared" si="2"/>
        <v>0</v>
      </c>
      <c r="O5" s="352">
        <f t="shared" si="3"/>
        <v>4</v>
      </c>
      <c r="P5" s="351">
        <f t="shared" si="4"/>
        <v>1.488095238095238E-2</v>
      </c>
      <c r="Q5" s="353">
        <f>'UCC CHN 25-26'!X5</f>
        <v>0.24107142857142858</v>
      </c>
      <c r="Y5" s="69"/>
      <c r="AA5" s="70"/>
      <c r="AP5" s="64"/>
    </row>
    <row r="6" spans="1:42" ht="15" customHeight="1" x14ac:dyDescent="0.2">
      <c r="A6" s="347">
        <v>4</v>
      </c>
      <c r="B6" s="354">
        <f>'UCC CHN 25-26'!B6</f>
        <v>45996</v>
      </c>
      <c r="C6" s="354">
        <f>'UCC CHN 25-26'!C6</f>
        <v>45997</v>
      </c>
      <c r="D6" s="355">
        <f>'UCC CHN 25-26'!D6</f>
        <v>1</v>
      </c>
      <c r="E6" s="355">
        <f>'UCC CHN 25-26'!F6</f>
        <v>501</v>
      </c>
      <c r="F6" s="355">
        <f>'UCC CHN 25-26'!G6</f>
        <v>497</v>
      </c>
      <c r="G6" s="350">
        <v>12</v>
      </c>
      <c r="H6" s="351">
        <f t="shared" si="0"/>
        <v>2.4144869215291749E-2</v>
      </c>
      <c r="I6" s="350">
        <v>3</v>
      </c>
      <c r="J6" s="351">
        <f t="shared" si="1"/>
        <v>6.0362173038229373E-3</v>
      </c>
      <c r="K6" s="350">
        <v>3</v>
      </c>
      <c r="L6" s="351">
        <f t="shared" ref="L6:L8" si="5">K6/F6</f>
        <v>6.0362173038229373E-3</v>
      </c>
      <c r="M6" s="350">
        <v>0</v>
      </c>
      <c r="N6" s="351">
        <f t="shared" si="2"/>
        <v>0</v>
      </c>
      <c r="O6" s="352">
        <f t="shared" si="3"/>
        <v>18</v>
      </c>
      <c r="P6" s="351">
        <f t="shared" si="4"/>
        <v>3.8152610441767071E-2</v>
      </c>
      <c r="Q6" s="353">
        <f>'UCC CHN 25-26'!X6</f>
        <v>0.34337349397590361</v>
      </c>
      <c r="Y6" s="69"/>
      <c r="AA6" s="70"/>
      <c r="AP6" s="64"/>
    </row>
    <row r="7" spans="1:42" s="177" customFormat="1" ht="15" customHeight="1" x14ac:dyDescent="0.2">
      <c r="A7" s="347">
        <v>5</v>
      </c>
      <c r="B7" s="348">
        <f>'UCC CHN 25-26'!B7</f>
        <v>46000</v>
      </c>
      <c r="C7" s="348">
        <f>'UCC CHN 25-26'!C7</f>
        <v>46001</v>
      </c>
      <c r="D7" s="349">
        <f>'UCC CHN 25-26'!D7</f>
        <v>1</v>
      </c>
      <c r="E7" s="349">
        <f>'UCC CHN 25-26'!F7</f>
        <v>448</v>
      </c>
      <c r="F7" s="349">
        <f>'UCC CHN 25-26'!G7</f>
        <v>447</v>
      </c>
      <c r="G7" s="350">
        <v>11</v>
      </c>
      <c r="H7" s="351">
        <f t="shared" ref="H7:H22" si="6">G7/F7</f>
        <v>2.4608501118568233E-2</v>
      </c>
      <c r="I7" s="350">
        <v>8</v>
      </c>
      <c r="J7" s="351">
        <f t="shared" ref="J7:J22" si="7">I7/F7</f>
        <v>1.7897091722595078E-2</v>
      </c>
      <c r="K7" s="350">
        <v>2</v>
      </c>
      <c r="L7" s="351">
        <f t="shared" si="5"/>
        <v>4.4742729306487695E-3</v>
      </c>
      <c r="M7" s="350">
        <v>0</v>
      </c>
      <c r="N7" s="351">
        <f t="shared" ref="N7:N22" si="8">M7/F7</f>
        <v>0</v>
      </c>
      <c r="O7" s="352">
        <f t="shared" ref="O7:O22" si="9">SUM(G7,I7,K7,M7)</f>
        <v>21</v>
      </c>
      <c r="P7" s="351">
        <f t="shared" ref="P7:P22" si="10">(O7+1)/(F7+1)</f>
        <v>4.9107142857142856E-2</v>
      </c>
      <c r="Q7" s="353">
        <f>'UCC CHN 25-26'!X7</f>
        <v>0.35044642857142855</v>
      </c>
      <c r="Y7" s="178"/>
      <c r="Z7" s="179"/>
      <c r="AA7" s="176"/>
      <c r="AP7" s="179"/>
    </row>
    <row r="8" spans="1:42" ht="15" customHeight="1" x14ac:dyDescent="0.2">
      <c r="A8" s="347">
        <v>6</v>
      </c>
      <c r="B8" s="348">
        <v>46003</v>
      </c>
      <c r="C8" s="348">
        <v>46004</v>
      </c>
      <c r="D8" s="349">
        <f>'UCC CHN 25-26'!D8</f>
        <v>1</v>
      </c>
      <c r="E8" s="349">
        <f>'UCC CHN 25-26'!F8</f>
        <v>438</v>
      </c>
      <c r="F8" s="349">
        <f>'UCC CHN 25-26'!G8</f>
        <v>437</v>
      </c>
      <c r="G8" s="350">
        <v>11</v>
      </c>
      <c r="H8" s="351">
        <f t="shared" si="6"/>
        <v>2.5171624713958809E-2</v>
      </c>
      <c r="I8" s="350">
        <v>6</v>
      </c>
      <c r="J8" s="351">
        <f t="shared" si="7"/>
        <v>1.3729977116704805E-2</v>
      </c>
      <c r="K8" s="350">
        <v>1</v>
      </c>
      <c r="L8" s="351">
        <f t="shared" si="5"/>
        <v>2.2883295194508009E-3</v>
      </c>
      <c r="M8" s="350">
        <v>0</v>
      </c>
      <c r="N8" s="351">
        <f t="shared" si="8"/>
        <v>0</v>
      </c>
      <c r="O8" s="352">
        <f t="shared" si="9"/>
        <v>18</v>
      </c>
      <c r="P8" s="351">
        <f t="shared" si="10"/>
        <v>4.3378995433789952E-2</v>
      </c>
      <c r="Q8" s="353">
        <f>'UCC CHN 25-26'!X8</f>
        <v>0.28082191780821919</v>
      </c>
      <c r="Y8" s="69"/>
      <c r="AA8" s="70"/>
      <c r="AP8" s="64"/>
    </row>
    <row r="9" spans="1:42" ht="15" customHeight="1" x14ac:dyDescent="0.2">
      <c r="A9" s="347">
        <v>7</v>
      </c>
      <c r="B9" s="354">
        <f>'UCC CHN 25-26'!B9</f>
        <v>46038</v>
      </c>
      <c r="C9" s="354">
        <f>'UCC CHN 25-26'!C9</f>
        <v>46039</v>
      </c>
      <c r="D9" s="355">
        <f>'UCC CHN 25-26'!D9</f>
        <v>1</v>
      </c>
      <c r="E9" s="355">
        <f>'UCC CHN 25-26'!F9</f>
        <v>504</v>
      </c>
      <c r="F9" s="355">
        <f>'UCC CHN 25-26'!G9</f>
        <v>503</v>
      </c>
      <c r="G9" s="350">
        <v>5</v>
      </c>
      <c r="H9" s="351">
        <f t="shared" si="6"/>
        <v>9.9403578528827041E-3</v>
      </c>
      <c r="I9" s="350">
        <v>0</v>
      </c>
      <c r="J9" s="351">
        <f t="shared" si="7"/>
        <v>0</v>
      </c>
      <c r="K9" s="350">
        <v>0</v>
      </c>
      <c r="L9" s="351">
        <f>K9/F9</f>
        <v>0</v>
      </c>
      <c r="M9" s="350">
        <v>0</v>
      </c>
      <c r="N9" s="351">
        <f t="shared" si="8"/>
        <v>0</v>
      </c>
      <c r="O9" s="352">
        <f t="shared" si="9"/>
        <v>5</v>
      </c>
      <c r="P9" s="351">
        <f t="shared" si="10"/>
        <v>1.1904761904761904E-2</v>
      </c>
      <c r="Q9" s="353">
        <f>'UCC CHN 25-26'!X9</f>
        <v>0.1130952380952381</v>
      </c>
      <c r="Y9" s="69"/>
      <c r="AA9" s="70"/>
      <c r="AP9" s="64"/>
    </row>
    <row r="10" spans="1:42" ht="15" customHeight="1" x14ac:dyDescent="0.2">
      <c r="A10" s="347">
        <v>8</v>
      </c>
      <c r="B10" s="348">
        <f>'UCC CHN 25-26'!B10</f>
        <v>46042</v>
      </c>
      <c r="C10" s="348">
        <f>'UCC CHN 25-26'!C10</f>
        <v>46043</v>
      </c>
      <c r="D10" s="349">
        <f>'UCC CHN 25-26'!D10</f>
        <v>1</v>
      </c>
      <c r="E10" s="349">
        <f>'UCC CHN 25-26'!F10</f>
        <v>541</v>
      </c>
      <c r="F10" s="349">
        <f>'UCC CHN 25-26'!G10</f>
        <v>535</v>
      </c>
      <c r="G10" s="350">
        <v>3</v>
      </c>
      <c r="H10" s="351">
        <f t="shared" si="6"/>
        <v>5.6074766355140183E-3</v>
      </c>
      <c r="I10" s="350">
        <v>0</v>
      </c>
      <c r="J10" s="351">
        <f t="shared" si="7"/>
        <v>0</v>
      </c>
      <c r="K10" s="350">
        <v>0</v>
      </c>
      <c r="L10" s="351">
        <f t="shared" ref="L10:L22" si="11">K10/F10</f>
        <v>0</v>
      </c>
      <c r="M10" s="350">
        <v>0</v>
      </c>
      <c r="N10" s="351">
        <f t="shared" si="8"/>
        <v>0</v>
      </c>
      <c r="O10" s="352">
        <f t="shared" si="9"/>
        <v>3</v>
      </c>
      <c r="P10" s="351">
        <f t="shared" si="10"/>
        <v>7.462686567164179E-3</v>
      </c>
      <c r="Q10" s="353">
        <f>'UCC CHN 25-26'!X10</f>
        <v>0.17723880597014927</v>
      </c>
      <c r="Y10" s="69"/>
      <c r="AA10" s="70"/>
      <c r="AP10" s="64"/>
    </row>
    <row r="11" spans="1:42" ht="15" customHeight="1" x14ac:dyDescent="0.2">
      <c r="A11" s="347">
        <v>9</v>
      </c>
      <c r="B11" s="348">
        <f>'UCC CHN 25-26'!B11</f>
        <v>46045</v>
      </c>
      <c r="C11" s="348">
        <f>'UCC CHN 25-26'!C11</f>
        <v>46046</v>
      </c>
      <c r="D11" s="349">
        <f>'UCC CHN 25-26'!D11</f>
        <v>1</v>
      </c>
      <c r="E11" s="349">
        <f>'UCC CHN 25-26'!F11</f>
        <v>510</v>
      </c>
      <c r="F11" s="349">
        <f>'UCC CHN 25-26'!G11</f>
        <v>508</v>
      </c>
      <c r="G11" s="350">
        <v>0</v>
      </c>
      <c r="H11" s="351">
        <f t="shared" si="6"/>
        <v>0</v>
      </c>
      <c r="I11" s="350">
        <v>0</v>
      </c>
      <c r="J11" s="351">
        <f t="shared" si="7"/>
        <v>0</v>
      </c>
      <c r="K11" s="350">
        <v>0</v>
      </c>
      <c r="L11" s="351">
        <f t="shared" si="11"/>
        <v>0</v>
      </c>
      <c r="M11" s="350">
        <v>0</v>
      </c>
      <c r="N11" s="351">
        <f t="shared" si="8"/>
        <v>0</v>
      </c>
      <c r="O11" s="352">
        <f t="shared" si="9"/>
        <v>0</v>
      </c>
      <c r="P11" s="351">
        <f t="shared" si="10"/>
        <v>1.9646365422396855E-3</v>
      </c>
      <c r="Q11" s="353">
        <f>'UCC CHN 25-26'!X11</f>
        <v>0.18664047151277013</v>
      </c>
      <c r="Y11" s="69"/>
      <c r="AA11" s="70"/>
      <c r="AP11" s="64"/>
    </row>
    <row r="12" spans="1:42" ht="15" customHeight="1" x14ac:dyDescent="0.2">
      <c r="A12" s="347">
        <v>10</v>
      </c>
      <c r="B12" s="354">
        <f>'UCC CHN 25-26'!B12</f>
        <v>46052</v>
      </c>
      <c r="C12" s="354">
        <f>'UCC CHN 25-26'!C12</f>
        <v>46053</v>
      </c>
      <c r="D12" s="355">
        <f>'UCC CHN 25-26'!D12</f>
        <v>1</v>
      </c>
      <c r="E12" s="355">
        <f>'UCC CHN 25-26'!F12</f>
        <v>477</v>
      </c>
      <c r="F12" s="355">
        <f>'UCC CHN 25-26'!G12</f>
        <v>476</v>
      </c>
      <c r="G12" s="350">
        <v>0</v>
      </c>
      <c r="H12" s="351">
        <f t="shared" si="6"/>
        <v>0</v>
      </c>
      <c r="I12" s="350">
        <v>0</v>
      </c>
      <c r="J12" s="351">
        <f t="shared" si="7"/>
        <v>0</v>
      </c>
      <c r="K12" s="350">
        <v>0</v>
      </c>
      <c r="L12" s="351">
        <f t="shared" si="11"/>
        <v>0</v>
      </c>
      <c r="M12" s="350">
        <v>0</v>
      </c>
      <c r="N12" s="351">
        <f t="shared" si="8"/>
        <v>0</v>
      </c>
      <c r="O12" s="352">
        <f t="shared" si="9"/>
        <v>0</v>
      </c>
      <c r="P12" s="351">
        <f t="shared" si="10"/>
        <v>2.0964360587002098E-3</v>
      </c>
      <c r="Q12" s="353">
        <f>'UCC CHN 25-26'!X12</f>
        <v>0.2180293501048218</v>
      </c>
      <c r="Y12" s="69"/>
      <c r="AA12" s="70"/>
      <c r="AP12" s="64"/>
    </row>
    <row r="13" spans="1:42" ht="15" customHeight="1" x14ac:dyDescent="0.2">
      <c r="A13" s="347">
        <v>11</v>
      </c>
      <c r="B13" s="348">
        <f>'UCC CHN 25-26'!B13</f>
        <v>46056</v>
      </c>
      <c r="C13" s="348">
        <f>'UCC CHN 25-26'!C13</f>
        <v>46057</v>
      </c>
      <c r="D13" s="349">
        <f>'UCC CHN 25-26'!D13</f>
        <v>1</v>
      </c>
      <c r="E13" s="349">
        <f>'UCC CHN 25-26'!F13</f>
        <v>499</v>
      </c>
      <c r="F13" s="349">
        <f>'UCC CHN 25-26'!G13</f>
        <v>497</v>
      </c>
      <c r="G13" s="350">
        <v>4</v>
      </c>
      <c r="H13" s="351">
        <f t="shared" si="6"/>
        <v>8.0482897384305842E-3</v>
      </c>
      <c r="I13" s="350">
        <v>3</v>
      </c>
      <c r="J13" s="351">
        <f t="shared" si="7"/>
        <v>6.0362173038229373E-3</v>
      </c>
      <c r="K13" s="350">
        <v>0</v>
      </c>
      <c r="L13" s="351">
        <f t="shared" si="11"/>
        <v>0</v>
      </c>
      <c r="M13" s="350">
        <v>0</v>
      </c>
      <c r="N13" s="351">
        <f t="shared" si="8"/>
        <v>0</v>
      </c>
      <c r="O13" s="352">
        <f t="shared" si="9"/>
        <v>7</v>
      </c>
      <c r="P13" s="351">
        <f t="shared" si="10"/>
        <v>1.6064257028112448E-2</v>
      </c>
      <c r="Q13" s="353">
        <f>'UCC CHN 25-26'!X13</f>
        <v>0.21887550200803213</v>
      </c>
      <c r="Y13" s="69"/>
      <c r="AA13" s="70"/>
      <c r="AP13" s="64"/>
    </row>
    <row r="14" spans="1:42" ht="15" customHeight="1" x14ac:dyDescent="0.2">
      <c r="A14" s="347">
        <v>12</v>
      </c>
      <c r="B14" s="348">
        <f>'UCC CHN 25-26'!B14</f>
        <v>46059</v>
      </c>
      <c r="C14" s="348">
        <f>'UCC CHN 25-26'!C14</f>
        <v>46060</v>
      </c>
      <c r="D14" s="349">
        <f>'UCC CHN 25-26'!D14</f>
        <v>1</v>
      </c>
      <c r="E14" s="349">
        <f>'UCC CHN 25-26'!F14</f>
        <v>496</v>
      </c>
      <c r="F14" s="349">
        <f>'UCC CHN 25-26'!G14</f>
        <v>496</v>
      </c>
      <c r="G14" s="350">
        <v>0</v>
      </c>
      <c r="H14" s="351">
        <f>G14/F14</f>
        <v>0</v>
      </c>
      <c r="I14" s="350">
        <v>0</v>
      </c>
      <c r="J14" s="351">
        <f t="shared" si="7"/>
        <v>0</v>
      </c>
      <c r="K14" s="350">
        <v>0</v>
      </c>
      <c r="L14" s="351">
        <f t="shared" si="11"/>
        <v>0</v>
      </c>
      <c r="M14" s="350">
        <v>0</v>
      </c>
      <c r="N14" s="351">
        <f t="shared" si="8"/>
        <v>0</v>
      </c>
      <c r="O14" s="352">
        <f t="shared" si="9"/>
        <v>0</v>
      </c>
      <c r="P14" s="351">
        <f t="shared" si="10"/>
        <v>2.012072434607646E-3</v>
      </c>
      <c r="Q14" s="353">
        <f>'UCC CHN 25-26'!X14</f>
        <v>0.14688128772635814</v>
      </c>
      <c r="Y14" s="69"/>
      <c r="AA14" s="70"/>
      <c r="AP14" s="64"/>
    </row>
    <row r="15" spans="1:42" ht="15" customHeight="1" x14ac:dyDescent="0.2">
      <c r="A15" s="347">
        <v>13</v>
      </c>
      <c r="B15" s="354">
        <f>'UCC CHN 25-26'!B15</f>
        <v>0</v>
      </c>
      <c r="C15" s="354">
        <f>'UCC CHN 25-26'!C15</f>
        <v>0</v>
      </c>
      <c r="D15" s="355">
        <f>'UCC CHN 25-26'!D15</f>
        <v>0</v>
      </c>
      <c r="E15" s="355">
        <f>'UCC CHN 25-26'!F15</f>
        <v>0</v>
      </c>
      <c r="F15" s="355">
        <f>'UCC CHN 25-26'!G15</f>
        <v>0</v>
      </c>
      <c r="G15" s="350"/>
      <c r="H15" s="351" t="e">
        <f t="shared" si="6"/>
        <v>#DIV/0!</v>
      </c>
      <c r="I15" s="350"/>
      <c r="J15" s="351" t="e">
        <f t="shared" si="7"/>
        <v>#DIV/0!</v>
      </c>
      <c r="K15" s="350"/>
      <c r="L15" s="351" t="e">
        <f t="shared" si="11"/>
        <v>#DIV/0!</v>
      </c>
      <c r="M15" s="350"/>
      <c r="N15" s="351" t="e">
        <f t="shared" si="8"/>
        <v>#DIV/0!</v>
      </c>
      <c r="O15" s="352">
        <f t="shared" si="9"/>
        <v>0</v>
      </c>
      <c r="P15" s="351">
        <f t="shared" si="10"/>
        <v>1</v>
      </c>
      <c r="Q15" s="353">
        <f>'UCC CHN 25-26'!X15</f>
        <v>1</v>
      </c>
      <c r="R15" s="71"/>
      <c r="S15" s="71"/>
      <c r="T15" s="71"/>
      <c r="U15" s="71"/>
      <c r="V15" s="71"/>
      <c r="W15" s="71"/>
      <c r="X15" s="71"/>
      <c r="Y15" s="69"/>
      <c r="AA15" s="70"/>
      <c r="AP15" s="64"/>
    </row>
    <row r="16" spans="1:42" ht="15" customHeight="1" x14ac:dyDescent="0.2">
      <c r="A16" s="347">
        <v>14</v>
      </c>
      <c r="B16" s="348">
        <f>'UCC CHN 25-26'!B16</f>
        <v>0</v>
      </c>
      <c r="C16" s="348">
        <f>'UCC CHN 25-26'!C16</f>
        <v>0</v>
      </c>
      <c r="D16" s="349">
        <f>'UCC CHN 25-26'!D16</f>
        <v>0</v>
      </c>
      <c r="E16" s="349">
        <f>'UCC CHN 25-26'!F16</f>
        <v>0</v>
      </c>
      <c r="F16" s="349">
        <f>'UCC CHN 25-26'!G16</f>
        <v>0</v>
      </c>
      <c r="G16" s="350"/>
      <c r="H16" s="351" t="e">
        <f t="shared" si="6"/>
        <v>#DIV/0!</v>
      </c>
      <c r="I16" s="350"/>
      <c r="J16" s="351" t="e">
        <f t="shared" si="7"/>
        <v>#DIV/0!</v>
      </c>
      <c r="K16" s="350"/>
      <c r="L16" s="351" t="e">
        <f t="shared" si="11"/>
        <v>#DIV/0!</v>
      </c>
      <c r="M16" s="350"/>
      <c r="N16" s="351" t="e">
        <f t="shared" si="8"/>
        <v>#DIV/0!</v>
      </c>
      <c r="O16" s="352">
        <f t="shared" si="9"/>
        <v>0</v>
      </c>
      <c r="P16" s="351">
        <f t="shared" si="10"/>
        <v>1</v>
      </c>
      <c r="Q16" s="353">
        <f>'UCC CHN 25-26'!X16</f>
        <v>1</v>
      </c>
      <c r="Y16" s="69"/>
      <c r="AA16" s="70"/>
      <c r="AP16" s="64"/>
    </row>
    <row r="17" spans="1:42" ht="15" customHeight="1" x14ac:dyDescent="0.2">
      <c r="A17" s="347">
        <v>15</v>
      </c>
      <c r="B17" s="348">
        <f>'UCC CHN 25-26'!B17</f>
        <v>0</v>
      </c>
      <c r="C17" s="348">
        <f>'UCC CHN 25-26'!C17</f>
        <v>0</v>
      </c>
      <c r="D17" s="349">
        <f>'UCC CHN 25-26'!D17</f>
        <v>0</v>
      </c>
      <c r="E17" s="349">
        <f>'UCC CHN 25-26'!F17</f>
        <v>0</v>
      </c>
      <c r="F17" s="349">
        <f>'UCC CHN 25-26'!G17</f>
        <v>0</v>
      </c>
      <c r="G17" s="350"/>
      <c r="H17" s="351" t="e">
        <f t="shared" si="6"/>
        <v>#DIV/0!</v>
      </c>
      <c r="I17" s="350"/>
      <c r="J17" s="351" t="e">
        <f t="shared" si="7"/>
        <v>#DIV/0!</v>
      </c>
      <c r="K17" s="350"/>
      <c r="L17" s="351" t="e">
        <f t="shared" si="11"/>
        <v>#DIV/0!</v>
      </c>
      <c r="M17" s="350"/>
      <c r="N17" s="351" t="e">
        <f t="shared" si="8"/>
        <v>#DIV/0!</v>
      </c>
      <c r="O17" s="352">
        <f t="shared" si="9"/>
        <v>0</v>
      </c>
      <c r="P17" s="351">
        <f t="shared" si="10"/>
        <v>1</v>
      </c>
      <c r="Q17" s="353">
        <f>'UCC CHN 25-26'!X17</f>
        <v>1</v>
      </c>
      <c r="Y17" s="69"/>
      <c r="AA17" s="70"/>
      <c r="AP17" s="64"/>
    </row>
    <row r="18" spans="1:42" ht="15" customHeight="1" x14ac:dyDescent="0.2">
      <c r="A18" s="347">
        <v>16</v>
      </c>
      <c r="B18" s="354">
        <f>'UCC CHN 25-26'!B18</f>
        <v>0</v>
      </c>
      <c r="C18" s="354">
        <f>'UCC CHN 25-26'!C18</f>
        <v>0</v>
      </c>
      <c r="D18" s="355">
        <f>'UCC CHN 25-26'!D18</f>
        <v>0</v>
      </c>
      <c r="E18" s="355">
        <f>'UCC CHN 25-26'!F18</f>
        <v>0</v>
      </c>
      <c r="F18" s="355">
        <f>'UCC CHN 25-26'!G18</f>
        <v>0</v>
      </c>
      <c r="G18" s="350"/>
      <c r="H18" s="351" t="e">
        <f t="shared" si="6"/>
        <v>#DIV/0!</v>
      </c>
      <c r="I18" s="350"/>
      <c r="J18" s="351" t="e">
        <f t="shared" si="7"/>
        <v>#DIV/0!</v>
      </c>
      <c r="K18" s="350"/>
      <c r="L18" s="351" t="e">
        <f t="shared" si="11"/>
        <v>#DIV/0!</v>
      </c>
      <c r="M18" s="350"/>
      <c r="N18" s="351" t="e">
        <f t="shared" si="8"/>
        <v>#DIV/0!</v>
      </c>
      <c r="O18" s="352">
        <f t="shared" si="9"/>
        <v>0</v>
      </c>
      <c r="P18" s="351">
        <f t="shared" si="10"/>
        <v>1</v>
      </c>
      <c r="Q18" s="353">
        <f>'UCC CHN 25-26'!X18</f>
        <v>1</v>
      </c>
      <c r="Y18" s="69"/>
      <c r="AA18" s="70"/>
      <c r="AP18" s="64"/>
    </row>
    <row r="19" spans="1:42" ht="15" customHeight="1" x14ac:dyDescent="0.2">
      <c r="A19" s="347">
        <v>17</v>
      </c>
      <c r="B19" s="348">
        <f>'UCC CHN 25-26'!B19</f>
        <v>0</v>
      </c>
      <c r="C19" s="348">
        <f>'UCC CHN 25-26'!C19</f>
        <v>0</v>
      </c>
      <c r="D19" s="349">
        <f>'UCC CHN 25-26'!D19</f>
        <v>0</v>
      </c>
      <c r="E19" s="349">
        <f>'UCC CHN 25-26'!F19</f>
        <v>0</v>
      </c>
      <c r="F19" s="349">
        <f>'UCC CHN 25-26'!G19</f>
        <v>0</v>
      </c>
      <c r="G19" s="350"/>
      <c r="H19" s="351" t="e">
        <f t="shared" si="6"/>
        <v>#DIV/0!</v>
      </c>
      <c r="I19" s="350"/>
      <c r="J19" s="351" t="e">
        <f t="shared" si="7"/>
        <v>#DIV/0!</v>
      </c>
      <c r="K19" s="350"/>
      <c r="L19" s="351" t="e">
        <f t="shared" si="11"/>
        <v>#DIV/0!</v>
      </c>
      <c r="M19" s="350"/>
      <c r="N19" s="351" t="e">
        <f t="shared" si="8"/>
        <v>#DIV/0!</v>
      </c>
      <c r="O19" s="352">
        <f t="shared" si="9"/>
        <v>0</v>
      </c>
      <c r="P19" s="351">
        <f t="shared" si="10"/>
        <v>1</v>
      </c>
      <c r="Q19" s="353">
        <f>'UCC CHN 25-26'!X19</f>
        <v>1</v>
      </c>
      <c r="Y19" s="69"/>
      <c r="AA19" s="70"/>
      <c r="AP19" s="64"/>
    </row>
    <row r="20" spans="1:42" ht="15" customHeight="1" x14ac:dyDescent="0.2">
      <c r="A20" s="347">
        <v>18</v>
      </c>
      <c r="B20" s="348">
        <f>'UCC CHN 25-26'!B20</f>
        <v>0</v>
      </c>
      <c r="C20" s="348">
        <f>'UCC CHN 25-26'!C20</f>
        <v>0</v>
      </c>
      <c r="D20" s="349">
        <f>'UCC CHN 25-26'!D20</f>
        <v>0</v>
      </c>
      <c r="E20" s="349">
        <f>'UCC CHN 25-26'!F20</f>
        <v>0</v>
      </c>
      <c r="F20" s="349">
        <f>'UCC CHN 25-26'!G20</f>
        <v>0</v>
      </c>
      <c r="G20" s="350"/>
      <c r="H20" s="351" t="e">
        <f t="shared" si="6"/>
        <v>#DIV/0!</v>
      </c>
      <c r="I20" s="350"/>
      <c r="J20" s="351" t="e">
        <f t="shared" si="7"/>
        <v>#DIV/0!</v>
      </c>
      <c r="K20" s="350"/>
      <c r="L20" s="351" t="e">
        <f t="shared" si="11"/>
        <v>#DIV/0!</v>
      </c>
      <c r="M20" s="350"/>
      <c r="N20" s="351" t="e">
        <f t="shared" si="8"/>
        <v>#DIV/0!</v>
      </c>
      <c r="O20" s="352">
        <f t="shared" si="9"/>
        <v>0</v>
      </c>
      <c r="P20" s="351">
        <f t="shared" si="10"/>
        <v>1</v>
      </c>
      <c r="Q20" s="353">
        <f>'UCC CHN 25-26'!X20</f>
        <v>1</v>
      </c>
      <c r="Y20" s="69"/>
      <c r="AA20" s="70"/>
      <c r="AP20" s="64"/>
    </row>
    <row r="21" spans="1:42" ht="15" customHeight="1" x14ac:dyDescent="0.2">
      <c r="A21" s="347">
        <v>19</v>
      </c>
      <c r="B21" s="354">
        <f>'UCC CHN 25-26'!B21</f>
        <v>0</v>
      </c>
      <c r="C21" s="354">
        <f>'UCC CHN 25-26'!C21</f>
        <v>0</v>
      </c>
      <c r="D21" s="355">
        <f>'UCC CHN 25-26'!D21</f>
        <v>0</v>
      </c>
      <c r="E21" s="355">
        <f>'UCC CHN 25-26'!F21</f>
        <v>0</v>
      </c>
      <c r="F21" s="355">
        <f>'UCC CHN 25-26'!G21</f>
        <v>0</v>
      </c>
      <c r="G21" s="350"/>
      <c r="H21" s="351" t="e">
        <f t="shared" si="6"/>
        <v>#DIV/0!</v>
      </c>
      <c r="I21" s="350"/>
      <c r="J21" s="351" t="e">
        <f t="shared" si="7"/>
        <v>#DIV/0!</v>
      </c>
      <c r="K21" s="350"/>
      <c r="L21" s="351" t="e">
        <f t="shared" si="11"/>
        <v>#DIV/0!</v>
      </c>
      <c r="M21" s="350"/>
      <c r="N21" s="351" t="e">
        <f t="shared" si="8"/>
        <v>#DIV/0!</v>
      </c>
      <c r="O21" s="352">
        <f t="shared" si="9"/>
        <v>0</v>
      </c>
      <c r="P21" s="351">
        <f t="shared" si="10"/>
        <v>1</v>
      </c>
      <c r="Q21" s="353">
        <f>'UCC CHN 25-26'!X21</f>
        <v>1</v>
      </c>
      <c r="Y21" s="69"/>
      <c r="AA21" s="70"/>
      <c r="AP21" s="64"/>
    </row>
    <row r="22" spans="1:42" ht="15" customHeight="1" thickBot="1" x14ac:dyDescent="0.25">
      <c r="A22" s="356">
        <v>20</v>
      </c>
      <c r="B22" s="357">
        <f>'UCC CHN 25-26'!B22</f>
        <v>0</v>
      </c>
      <c r="C22" s="357">
        <f>'UCC CHN 25-26'!C22</f>
        <v>0</v>
      </c>
      <c r="D22" s="358">
        <f>'UCC CHN 25-26'!D22</f>
        <v>0</v>
      </c>
      <c r="E22" s="358">
        <f>'UCC CHN 25-26'!F22</f>
        <v>0</v>
      </c>
      <c r="F22" s="358">
        <f>'UCC CHN 25-26'!G22</f>
        <v>0</v>
      </c>
      <c r="G22" s="359"/>
      <c r="H22" s="360" t="e">
        <f t="shared" si="6"/>
        <v>#DIV/0!</v>
      </c>
      <c r="I22" s="359"/>
      <c r="J22" s="360" t="e">
        <f t="shared" si="7"/>
        <v>#DIV/0!</v>
      </c>
      <c r="K22" s="359"/>
      <c r="L22" s="351" t="e">
        <f t="shared" si="11"/>
        <v>#DIV/0!</v>
      </c>
      <c r="M22" s="359"/>
      <c r="N22" s="360" t="e">
        <f t="shared" si="8"/>
        <v>#DIV/0!</v>
      </c>
      <c r="O22" s="361">
        <f t="shared" si="9"/>
        <v>0</v>
      </c>
      <c r="P22" s="360">
        <f t="shared" si="10"/>
        <v>1</v>
      </c>
      <c r="Q22" s="362">
        <f>'UCC CHN 25-26'!X22</f>
        <v>1</v>
      </c>
      <c r="T22" s="79" t="s">
        <v>338</v>
      </c>
      <c r="Y22" s="69"/>
      <c r="AA22" s="70"/>
      <c r="AP22" s="64"/>
    </row>
    <row r="23" spans="1:42" ht="15" customHeight="1" x14ac:dyDescent="0.2">
      <c r="F23" s="172"/>
      <c r="T23" s="79" t="s">
        <v>339</v>
      </c>
      <c r="Y23" s="69"/>
      <c r="AA23" s="70"/>
      <c r="AP23" s="64"/>
    </row>
    <row r="24" spans="1:42" ht="15" customHeight="1" x14ac:dyDescent="0.2">
      <c r="F24" s="172"/>
      <c r="Y24" s="69"/>
      <c r="AA24" s="70"/>
      <c r="AP24" s="64"/>
    </row>
    <row r="25" spans="1:42" ht="15" customHeight="1" x14ac:dyDescent="0.2">
      <c r="F25" s="172"/>
      <c r="Y25" s="69"/>
      <c r="AA25" s="70"/>
      <c r="AP25" s="64"/>
    </row>
    <row r="26" spans="1:42" ht="15" customHeight="1" x14ac:dyDescent="0.2">
      <c r="F26" s="172"/>
      <c r="Y26" s="69"/>
      <c r="AA26" s="70"/>
      <c r="AP26" s="64"/>
    </row>
    <row r="27" spans="1:42" ht="15" customHeight="1" x14ac:dyDescent="0.2">
      <c r="F27" s="172"/>
      <c r="Y27" s="69"/>
      <c r="AA27" s="70"/>
      <c r="AP27" s="64"/>
    </row>
    <row r="28" spans="1:42" ht="15" customHeight="1" x14ac:dyDescent="0.2">
      <c r="F28" s="172"/>
      <c r="Y28" s="69"/>
      <c r="AA28" s="70"/>
      <c r="AP28" s="64"/>
    </row>
    <row r="29" spans="1:42" ht="15" customHeight="1" x14ac:dyDescent="0.2">
      <c r="F29" s="172"/>
      <c r="Y29" s="69"/>
      <c r="AA29" s="70"/>
      <c r="AP29" s="64"/>
    </row>
    <row r="30" spans="1:42" ht="15" customHeight="1" x14ac:dyDescent="0.2">
      <c r="F30" s="172"/>
      <c r="Y30" s="69"/>
      <c r="AA30" s="70"/>
      <c r="AP30" s="64"/>
    </row>
    <row r="31" spans="1:42" ht="15" customHeight="1" x14ac:dyDescent="0.2">
      <c r="F31" s="172"/>
      <c r="R31" s="74"/>
      <c r="T31" s="248"/>
      <c r="Y31" s="69"/>
      <c r="AA31" s="70"/>
      <c r="AP31" s="64"/>
    </row>
    <row r="32" spans="1:42" ht="15" customHeight="1" x14ac:dyDescent="0.2">
      <c r="F32" s="172"/>
      <c r="R32" s="249"/>
      <c r="S32" s="250"/>
      <c r="T32" s="248"/>
      <c r="U32" s="251"/>
      <c r="Y32" s="69"/>
      <c r="AA32" s="70"/>
      <c r="AP32" s="64"/>
    </row>
    <row r="33" spans="5:42" ht="15" customHeight="1" x14ac:dyDescent="0.2">
      <c r="F33" s="172"/>
      <c r="R33" s="249"/>
      <c r="S33" s="250"/>
      <c r="T33" s="248"/>
      <c r="U33" s="251"/>
      <c r="Y33" s="69"/>
      <c r="AA33" s="70"/>
      <c r="AP33" s="64"/>
    </row>
    <row r="34" spans="5:42" ht="15" customHeight="1" x14ac:dyDescent="0.2">
      <c r="F34" s="172"/>
      <c r="R34" s="249"/>
      <c r="S34" s="252"/>
      <c r="T34" s="248"/>
      <c r="U34" s="253"/>
    </row>
    <row r="35" spans="5:42" ht="15" customHeight="1" x14ac:dyDescent="0.2">
      <c r="F35" s="172"/>
      <c r="R35" s="249"/>
      <c r="S35" s="252"/>
      <c r="T35" s="248"/>
      <c r="U35" s="253"/>
    </row>
    <row r="36" spans="5:42" ht="18" customHeight="1" x14ac:dyDescent="0.2">
      <c r="R36" s="249"/>
      <c r="S36" s="250"/>
      <c r="T36" s="248"/>
      <c r="U36" s="251"/>
    </row>
    <row r="41" spans="5:42" ht="18" customHeight="1" x14ac:dyDescent="0.2">
      <c r="E41" s="173"/>
      <c r="F41" s="173"/>
    </row>
    <row r="42" spans="5:42" ht="18" customHeight="1" x14ac:dyDescent="0.2">
      <c r="E42" s="173"/>
      <c r="F42" s="173"/>
    </row>
    <row r="43" spans="5:42" ht="18" customHeight="1" x14ac:dyDescent="0.2">
      <c r="E43" s="173"/>
      <c r="F43" s="173"/>
    </row>
    <row r="44" spans="5:42" ht="18" customHeight="1" x14ac:dyDescent="0.2">
      <c r="E44" s="173"/>
      <c r="F44" s="173"/>
    </row>
    <row r="45" spans="5:42" ht="18" customHeight="1" x14ac:dyDescent="0.2">
      <c r="E45" s="173"/>
      <c r="F45" s="173"/>
    </row>
  </sheetData>
  <protectedRanges>
    <protectedRange sqref="B3:G22" name="Range1_2"/>
    <protectedRange sqref="K3:K22 M3:M22 I3:I22" name="Range1_3"/>
  </protectedRanges>
  <phoneticPr fontId="7" type="noConversion"/>
  <pageMargins left="0.75" right="0.75" top="1" bottom="1" header="0.5" footer="0.5"/>
  <pageSetup orientation="portrait" horizontalDpi="1200" verticalDpi="1200" r:id="rId1"/>
  <headerFooter alignWithMargins="0"/>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FF"/>
  </sheetPr>
  <dimension ref="A1:AF137"/>
  <sheetViews>
    <sheetView zoomScale="53" workbookViewId="0">
      <selection activeCell="J23" sqref="J23"/>
    </sheetView>
  </sheetViews>
  <sheetFormatPr defaultColWidth="9.140625" defaultRowHeight="15.75" x14ac:dyDescent="0.25"/>
  <cols>
    <col min="1" max="1" width="9.140625" style="89"/>
    <col min="2" max="2" width="24.28515625" style="89" bestFit="1" customWidth="1"/>
    <col min="3" max="3" width="12" style="89" bestFit="1" customWidth="1"/>
    <col min="4" max="5" width="11" style="89" bestFit="1" customWidth="1"/>
    <col min="6" max="6" width="16.28515625" style="89" bestFit="1" customWidth="1"/>
    <col min="7" max="7" width="17.28515625" style="89" bestFit="1" customWidth="1"/>
    <col min="8" max="8" width="20.5703125" style="89" bestFit="1" customWidth="1"/>
    <col min="9" max="9" width="16.28515625" style="89" bestFit="1" customWidth="1"/>
    <col min="10" max="10" width="10.5703125" style="89" bestFit="1" customWidth="1"/>
    <col min="11" max="11" width="10.85546875" style="89" bestFit="1" customWidth="1"/>
    <col min="12" max="12" width="10.28515625" style="89" bestFit="1" customWidth="1"/>
    <col min="13" max="13" width="11" style="89" bestFit="1" customWidth="1"/>
    <col min="14" max="14" width="12.5703125" style="89" bestFit="1" customWidth="1"/>
    <col min="15" max="15" width="11" style="89" bestFit="1" customWidth="1"/>
    <col min="16" max="16" width="12.7109375" style="89" bestFit="1" customWidth="1"/>
    <col min="17" max="17" width="11" style="89" bestFit="1" customWidth="1"/>
    <col min="18" max="18" width="12.5703125" style="89" bestFit="1" customWidth="1"/>
    <col min="19" max="19" width="9" style="89" bestFit="1" customWidth="1"/>
    <col min="20" max="20" width="14.7109375" style="89" bestFit="1" customWidth="1"/>
    <col min="21" max="21" width="16" style="89" bestFit="1" customWidth="1"/>
    <col min="22" max="22" width="15" style="90" bestFit="1" customWidth="1"/>
    <col min="23" max="23" width="9" style="89" bestFit="1" customWidth="1"/>
    <col min="24" max="24" width="14.7109375" style="91" bestFit="1" customWidth="1"/>
    <col min="25" max="25" width="16" style="89" bestFit="1" customWidth="1"/>
    <col min="26" max="26" width="15" style="89" bestFit="1" customWidth="1"/>
    <col min="27" max="27" width="2.85546875" style="89" customWidth="1"/>
    <col min="28" max="28" width="9" style="92" bestFit="1" customWidth="1"/>
    <col min="29" max="29" width="10.140625" style="89" bestFit="1" customWidth="1"/>
    <col min="30" max="30" width="11" style="89" bestFit="1" customWidth="1"/>
    <col min="31" max="31" width="7.42578125" style="91" bestFit="1" customWidth="1"/>
    <col min="32" max="32" width="13.5703125" style="91" bestFit="1" customWidth="1"/>
    <col min="33" max="16384" width="9.140625" style="89"/>
  </cols>
  <sheetData>
    <row r="1" spans="1:32" x14ac:dyDescent="0.25">
      <c r="A1" s="87" t="s">
        <v>340</v>
      </c>
      <c r="B1" s="88"/>
      <c r="C1" s="88"/>
      <c r="D1" s="88"/>
      <c r="W1" s="89" t="s">
        <v>341</v>
      </c>
      <c r="X1" s="91" t="s">
        <v>342</v>
      </c>
      <c r="Y1" s="89" t="s">
        <v>84</v>
      </c>
      <c r="Z1" s="90" t="s">
        <v>343</v>
      </c>
      <c r="AA1" s="90"/>
      <c r="AB1" s="92" t="s">
        <v>341</v>
      </c>
      <c r="AC1" s="89" t="s">
        <v>296</v>
      </c>
      <c r="AD1" s="89" t="s">
        <v>295</v>
      </c>
      <c r="AE1" s="91" t="s">
        <v>293</v>
      </c>
      <c r="AF1" s="91" t="s">
        <v>344</v>
      </c>
    </row>
    <row r="2" spans="1:32" x14ac:dyDescent="0.25">
      <c r="W2" s="132">
        <v>43111</v>
      </c>
      <c r="X2" s="131">
        <v>4.3383947939262472E-2</v>
      </c>
      <c r="Y2" s="127"/>
      <c r="Z2" s="124"/>
      <c r="AA2" s="124"/>
      <c r="AB2" s="132">
        <v>43112</v>
      </c>
      <c r="AC2" s="127"/>
      <c r="AD2" s="127"/>
      <c r="AE2" s="131">
        <v>3.6630036630036632E-2</v>
      </c>
      <c r="AF2" s="131">
        <v>3.6630036630036632E-2</v>
      </c>
    </row>
    <row r="3" spans="1:32" ht="16.5" thickBot="1" x14ac:dyDescent="0.3">
      <c r="W3" s="132">
        <v>43112</v>
      </c>
      <c r="X3" s="131">
        <v>4.3383947939262472E-2</v>
      </c>
      <c r="Y3" s="127">
        <v>272</v>
      </c>
      <c r="Z3" s="124"/>
      <c r="AA3" s="124"/>
      <c r="AB3" s="132">
        <v>43116</v>
      </c>
      <c r="AC3" s="127"/>
      <c r="AD3" s="127"/>
      <c r="AE3" s="131">
        <v>4.9019607843137254E-2</v>
      </c>
      <c r="AF3" s="131">
        <v>4.9019607843137254E-2</v>
      </c>
    </row>
    <row r="4" spans="1:32" ht="32.25" thickBot="1" x14ac:dyDescent="0.3">
      <c r="B4" s="213" t="s">
        <v>63</v>
      </c>
      <c r="C4" s="214" t="s">
        <v>70</v>
      </c>
      <c r="D4" s="215" t="s">
        <v>78</v>
      </c>
      <c r="E4" s="213" t="s">
        <v>345</v>
      </c>
      <c r="F4" s="216" t="s">
        <v>101</v>
      </c>
      <c r="G4" s="215" t="s">
        <v>84</v>
      </c>
      <c r="H4" s="215" t="s">
        <v>346</v>
      </c>
      <c r="I4" s="213" t="s">
        <v>141</v>
      </c>
      <c r="J4" s="213" t="s">
        <v>347</v>
      </c>
      <c r="W4" s="132">
        <v>43113</v>
      </c>
      <c r="X4" s="131">
        <v>4.3383947939262472E-2</v>
      </c>
      <c r="Y4" s="127"/>
      <c r="Z4" s="124"/>
      <c r="AA4" s="124"/>
      <c r="AB4" s="132">
        <v>43122</v>
      </c>
      <c r="AC4" s="127"/>
      <c r="AD4" s="127"/>
      <c r="AE4" s="131">
        <v>4.3564356435643561E-2</v>
      </c>
      <c r="AF4" s="131">
        <v>4.3564356435643561E-2</v>
      </c>
    </row>
    <row r="5" spans="1:32" x14ac:dyDescent="0.25">
      <c r="B5" s="126">
        <v>1</v>
      </c>
      <c r="C5" s="128">
        <v>43111</v>
      </c>
      <c r="D5" s="128">
        <v>43112</v>
      </c>
      <c r="E5" s="126">
        <v>272</v>
      </c>
      <c r="F5" s="126">
        <v>0</v>
      </c>
      <c r="G5" s="129">
        <f t="shared" ref="G5:G11" si="0">F5/E5</f>
        <v>0</v>
      </c>
      <c r="H5" s="126">
        <v>9</v>
      </c>
      <c r="I5" s="130">
        <v>3.6630036630036632E-2</v>
      </c>
      <c r="W5" s="132">
        <v>43114</v>
      </c>
      <c r="X5" s="131">
        <v>4.3383947939262472E-2</v>
      </c>
      <c r="Y5" s="127"/>
      <c r="Z5" s="124"/>
      <c r="AA5" s="124"/>
      <c r="AB5" s="132">
        <v>43132</v>
      </c>
      <c r="AC5" s="127"/>
      <c r="AD5" s="127"/>
      <c r="AE5" s="131">
        <v>6.2626262626262627E-2</v>
      </c>
      <c r="AF5" s="131">
        <v>6.2626262626262627E-2</v>
      </c>
    </row>
    <row r="6" spans="1:32" x14ac:dyDescent="0.25">
      <c r="B6" s="126">
        <v>2</v>
      </c>
      <c r="C6" s="128">
        <v>43115</v>
      </c>
      <c r="D6" s="128">
        <v>43116</v>
      </c>
      <c r="E6" s="126">
        <v>509</v>
      </c>
      <c r="F6" s="126">
        <v>1</v>
      </c>
      <c r="G6" s="129">
        <f t="shared" si="0"/>
        <v>1.9646365422396855E-3</v>
      </c>
      <c r="H6" s="126">
        <v>24</v>
      </c>
      <c r="I6" s="130">
        <v>4.9019607843137254E-2</v>
      </c>
      <c r="W6" s="132">
        <v>43115</v>
      </c>
      <c r="X6" s="131">
        <v>4.3383947939262472E-2</v>
      </c>
      <c r="Y6" s="127"/>
      <c r="Z6" s="124"/>
      <c r="AA6" s="124"/>
      <c r="AB6" s="132">
        <v>43138</v>
      </c>
      <c r="AC6" s="127"/>
      <c r="AD6" s="127"/>
      <c r="AE6" s="131">
        <v>2.4144869215291749E-2</v>
      </c>
      <c r="AF6" s="131">
        <v>2.4144869215291749E-2</v>
      </c>
    </row>
    <row r="7" spans="1:32" x14ac:dyDescent="0.25">
      <c r="B7" s="126">
        <v>3</v>
      </c>
      <c r="C7" s="128">
        <v>43122</v>
      </c>
      <c r="D7" s="128">
        <v>43122</v>
      </c>
      <c r="E7" s="126">
        <v>504</v>
      </c>
      <c r="F7" s="126">
        <v>1</v>
      </c>
      <c r="G7" s="129">
        <f t="shared" si="0"/>
        <v>1.984126984126984E-3</v>
      </c>
      <c r="H7" s="126">
        <v>21</v>
      </c>
      <c r="I7" s="130">
        <v>4.3564356435643561E-2</v>
      </c>
      <c r="W7" s="132">
        <v>43116</v>
      </c>
      <c r="X7" s="131">
        <v>4.3383947939262472E-2</v>
      </c>
      <c r="Y7" s="127">
        <v>509</v>
      </c>
      <c r="Z7" s="124"/>
      <c r="AA7" s="124"/>
      <c r="AB7" s="132">
        <v>43145</v>
      </c>
      <c r="AC7" s="127"/>
      <c r="AD7" s="127"/>
      <c r="AE7" s="131">
        <v>5.4878048780487805E-2</v>
      </c>
      <c r="AF7" s="131">
        <v>5.4878048780487805E-2</v>
      </c>
    </row>
    <row r="8" spans="1:32" x14ac:dyDescent="0.25">
      <c r="B8" s="126">
        <v>4</v>
      </c>
      <c r="C8" s="128">
        <v>43131</v>
      </c>
      <c r="D8" s="128">
        <v>43132</v>
      </c>
      <c r="E8" s="126">
        <v>494</v>
      </c>
      <c r="F8" s="126">
        <v>1</v>
      </c>
      <c r="G8" s="129">
        <f t="shared" si="0"/>
        <v>2.0242914979757085E-3</v>
      </c>
      <c r="H8" s="126">
        <v>30</v>
      </c>
      <c r="I8" s="130">
        <v>6.2626262626262627E-2</v>
      </c>
      <c r="W8" s="132">
        <v>43117</v>
      </c>
      <c r="X8" s="131">
        <v>4.3383947939262472E-2</v>
      </c>
      <c r="Y8" s="127"/>
      <c r="Z8" s="124"/>
      <c r="AA8" s="124"/>
      <c r="AB8" s="132">
        <v>43176</v>
      </c>
      <c r="AC8" s="127"/>
      <c r="AD8" s="127"/>
      <c r="AE8" s="131">
        <v>4.0948275862068964E-2</v>
      </c>
      <c r="AF8" s="131">
        <v>4.0948275862068964E-2</v>
      </c>
    </row>
    <row r="9" spans="1:32" x14ac:dyDescent="0.25">
      <c r="B9" s="126">
        <v>5</v>
      </c>
      <c r="C9" s="128">
        <v>43137</v>
      </c>
      <c r="D9" s="128">
        <v>43138</v>
      </c>
      <c r="E9" s="126">
        <v>496</v>
      </c>
      <c r="F9" s="126">
        <v>2</v>
      </c>
      <c r="G9" s="129">
        <f t="shared" si="0"/>
        <v>4.0322580645161289E-3</v>
      </c>
      <c r="H9" s="126">
        <v>11</v>
      </c>
      <c r="I9" s="130">
        <v>2.4144869215291749E-2</v>
      </c>
      <c r="W9" s="92">
        <v>43118</v>
      </c>
      <c r="X9" s="91">
        <v>4.3383947939262472E-2</v>
      </c>
      <c r="Z9" s="90"/>
      <c r="AA9" s="90"/>
    </row>
    <row r="10" spans="1:32" x14ac:dyDescent="0.25">
      <c r="B10" s="93">
        <v>6</v>
      </c>
      <c r="C10" s="94">
        <v>43144</v>
      </c>
      <c r="D10" s="94">
        <v>43145</v>
      </c>
      <c r="E10" s="93">
        <v>491</v>
      </c>
      <c r="F10" s="93">
        <v>2</v>
      </c>
      <c r="G10" s="96">
        <f t="shared" si="0"/>
        <v>4.0733197556008143E-3</v>
      </c>
      <c r="H10" s="93">
        <v>26</v>
      </c>
      <c r="I10" s="95">
        <v>5.4878048780487805E-2</v>
      </c>
      <c r="W10" s="92">
        <v>43119</v>
      </c>
      <c r="X10" s="91">
        <v>4.3383947939262472E-2</v>
      </c>
      <c r="Z10" s="90"/>
      <c r="AA10" s="90"/>
    </row>
    <row r="11" spans="1:32" x14ac:dyDescent="0.25">
      <c r="B11" s="93">
        <v>7</v>
      </c>
      <c r="C11" s="94">
        <v>43175</v>
      </c>
      <c r="D11" s="94">
        <v>43176</v>
      </c>
      <c r="E11" s="93">
        <v>463</v>
      </c>
      <c r="F11" s="93">
        <v>11</v>
      </c>
      <c r="G11" s="96">
        <f t="shared" si="0"/>
        <v>2.3758099352051837E-2</v>
      </c>
      <c r="H11" s="93">
        <v>18</v>
      </c>
      <c r="I11" s="95">
        <v>4.0948275862068964E-2</v>
      </c>
      <c r="W11" s="92">
        <v>43120</v>
      </c>
      <c r="X11" s="91">
        <v>4.3383947939262472E-2</v>
      </c>
      <c r="Z11" s="90"/>
      <c r="AA11" s="90"/>
    </row>
    <row r="12" spans="1:32" ht="16.5" thickBot="1" x14ac:dyDescent="0.3">
      <c r="B12" s="97"/>
      <c r="C12" s="122"/>
      <c r="D12" s="122" t="s">
        <v>348</v>
      </c>
      <c r="E12" s="99">
        <f>SUM(E5:E11)</f>
        <v>3229</v>
      </c>
      <c r="F12" s="99">
        <f>SUM(F5:F11)</f>
        <v>18</v>
      </c>
      <c r="G12" s="100">
        <f>F12/E12</f>
        <v>5.5744812635490863E-3</v>
      </c>
      <c r="H12" s="99">
        <f>SUM(H5:H11)</f>
        <v>139</v>
      </c>
      <c r="I12" s="123"/>
      <c r="W12" s="92">
        <v>43121</v>
      </c>
      <c r="X12" s="91">
        <v>4.3383947939262472E-2</v>
      </c>
      <c r="Z12" s="90"/>
      <c r="AA12" s="90"/>
    </row>
    <row r="13" spans="1:32" x14ac:dyDescent="0.25">
      <c r="C13" s="106"/>
      <c r="D13" s="106"/>
      <c r="W13" s="92">
        <v>43122</v>
      </c>
      <c r="X13" s="91">
        <v>4.3383947939262472E-2</v>
      </c>
      <c r="Y13" s="89">
        <v>504</v>
      </c>
      <c r="Z13" s="90"/>
      <c r="AA13" s="90"/>
    </row>
    <row r="14" spans="1:32" x14ac:dyDescent="0.25">
      <c r="C14" s="106"/>
      <c r="D14" s="106"/>
      <c r="W14" s="92">
        <v>43123</v>
      </c>
      <c r="X14" s="91">
        <v>4.3383947939262472E-2</v>
      </c>
      <c r="Z14" s="90"/>
      <c r="AA14" s="90"/>
    </row>
    <row r="15" spans="1:32" x14ac:dyDescent="0.25">
      <c r="W15" s="92">
        <v>43124</v>
      </c>
      <c r="X15" s="91">
        <v>4.3383947939262472E-2</v>
      </c>
      <c r="Z15" s="90"/>
      <c r="AA15" s="90"/>
    </row>
    <row r="16" spans="1:32" x14ac:dyDescent="0.25">
      <c r="W16" s="92">
        <v>43125</v>
      </c>
      <c r="X16" s="91">
        <v>4.3383947939262472E-2</v>
      </c>
      <c r="Z16" s="90"/>
      <c r="AA16" s="90"/>
    </row>
    <row r="17" spans="2:27" ht="16.5" thickBot="1" x14ac:dyDescent="0.3">
      <c r="W17" s="92">
        <v>43126</v>
      </c>
      <c r="X17" s="91">
        <v>4.3383947939262472E-2</v>
      </c>
      <c r="Z17" s="90"/>
      <c r="AA17" s="90"/>
    </row>
    <row r="18" spans="2:27" ht="16.5" thickBot="1" x14ac:dyDescent="0.3">
      <c r="B18" s="213" t="s">
        <v>349</v>
      </c>
      <c r="C18" s="217" t="s">
        <v>350</v>
      </c>
      <c r="D18" s="213" t="s">
        <v>351</v>
      </c>
      <c r="E18" s="213" t="s">
        <v>352</v>
      </c>
      <c r="F18" s="213" t="s">
        <v>141</v>
      </c>
      <c r="G18" s="212" t="s">
        <v>347</v>
      </c>
      <c r="H18" s="223" t="s">
        <v>353</v>
      </c>
      <c r="W18" s="92">
        <v>43127</v>
      </c>
      <c r="X18" s="91">
        <v>4.3383947939262472E-2</v>
      </c>
      <c r="Z18" s="90"/>
      <c r="AA18" s="90"/>
    </row>
    <row r="19" spans="2:27" x14ac:dyDescent="0.25">
      <c r="B19" s="224" t="s">
        <v>354</v>
      </c>
      <c r="C19" s="225">
        <v>1</v>
      </c>
      <c r="D19" s="224">
        <v>461</v>
      </c>
      <c r="E19" s="224">
        <v>20</v>
      </c>
      <c r="F19" s="231">
        <v>4.5454545454545456E-2</v>
      </c>
      <c r="G19" s="226" t="s">
        <v>355</v>
      </c>
      <c r="H19" s="232" t="s">
        <v>356</v>
      </c>
      <c r="W19" s="92">
        <v>43128</v>
      </c>
      <c r="X19" s="91">
        <v>4.3383947939262472E-2</v>
      </c>
      <c r="Z19" s="90"/>
      <c r="AA19" s="90"/>
    </row>
    <row r="20" spans="2:27" x14ac:dyDescent="0.25">
      <c r="B20" s="93" t="s">
        <v>357</v>
      </c>
      <c r="C20" s="227">
        <v>2</v>
      </c>
      <c r="D20" s="93">
        <v>272</v>
      </c>
      <c r="E20" s="93">
        <v>9</v>
      </c>
      <c r="F20" s="95">
        <v>3.6600000000000001E-2</v>
      </c>
      <c r="G20" s="228" t="s">
        <v>355</v>
      </c>
      <c r="H20" s="232" t="s">
        <v>356</v>
      </c>
      <c r="W20" s="92">
        <v>43129</v>
      </c>
      <c r="X20" s="91">
        <v>4.3383947939262472E-2</v>
      </c>
      <c r="Z20" s="90"/>
      <c r="AA20" s="90"/>
    </row>
    <row r="21" spans="2:27" x14ac:dyDescent="0.25">
      <c r="B21" s="105" t="s">
        <v>358</v>
      </c>
      <c r="C21" s="101">
        <v>3</v>
      </c>
      <c r="D21" s="89">
        <v>509</v>
      </c>
      <c r="E21" s="89">
        <v>24</v>
      </c>
      <c r="F21" s="102">
        <v>4.9000000000000002E-2</v>
      </c>
      <c r="G21" s="228" t="s">
        <v>355</v>
      </c>
      <c r="H21" s="232" t="s">
        <v>356</v>
      </c>
      <c r="W21" s="92">
        <v>43130</v>
      </c>
      <c r="X21" s="91">
        <v>4.3383947939262472E-2</v>
      </c>
      <c r="Z21" s="90"/>
      <c r="AA21" s="90"/>
    </row>
    <row r="22" spans="2:27" x14ac:dyDescent="0.25">
      <c r="B22" s="121" t="s">
        <v>359</v>
      </c>
      <c r="C22" s="229">
        <v>4</v>
      </c>
      <c r="D22" s="121">
        <v>504</v>
      </c>
      <c r="E22" s="121">
        <v>21</v>
      </c>
      <c r="F22" s="220">
        <v>4.36E-2</v>
      </c>
      <c r="G22" s="228" t="s">
        <v>355</v>
      </c>
      <c r="H22" s="232" t="s">
        <v>356</v>
      </c>
      <c r="W22" s="92">
        <v>43131</v>
      </c>
      <c r="X22" s="91">
        <v>4.3383947939262472E-2</v>
      </c>
      <c r="Z22" s="90"/>
      <c r="AA22" s="90"/>
    </row>
    <row r="23" spans="2:27" x14ac:dyDescent="0.25">
      <c r="B23" s="121" t="s">
        <v>360</v>
      </c>
      <c r="C23" s="101">
        <v>5</v>
      </c>
      <c r="D23" s="89">
        <v>494</v>
      </c>
      <c r="E23" s="89">
        <v>30</v>
      </c>
      <c r="F23" s="102">
        <v>6.2600000000000003E-2</v>
      </c>
      <c r="G23" s="228" t="s">
        <v>355</v>
      </c>
      <c r="H23" s="232" t="s">
        <v>356</v>
      </c>
      <c r="W23" s="92">
        <v>43132</v>
      </c>
      <c r="X23" s="91">
        <v>4.3383947939262472E-2</v>
      </c>
      <c r="Y23" s="89">
        <v>494</v>
      </c>
      <c r="Z23" s="90"/>
      <c r="AA23" s="90"/>
    </row>
    <row r="24" spans="2:27" x14ac:dyDescent="0.25">
      <c r="B24" s="121" t="s">
        <v>361</v>
      </c>
      <c r="C24" s="101">
        <v>6</v>
      </c>
      <c r="D24" s="90">
        <v>496</v>
      </c>
      <c r="E24" s="89">
        <v>11</v>
      </c>
      <c r="F24" s="102">
        <v>2.41E-2</v>
      </c>
      <c r="G24" s="104" t="s">
        <v>355</v>
      </c>
      <c r="H24" s="232" t="s">
        <v>356</v>
      </c>
      <c r="W24" s="92">
        <v>43133</v>
      </c>
      <c r="X24" s="91">
        <v>4.3383947939262472E-2</v>
      </c>
      <c r="Z24" s="90"/>
      <c r="AA24" s="90"/>
    </row>
    <row r="25" spans="2:27" x14ac:dyDescent="0.25">
      <c r="B25" s="89" t="s">
        <v>362</v>
      </c>
      <c r="C25" s="101">
        <v>7</v>
      </c>
      <c r="D25" s="89">
        <v>491</v>
      </c>
      <c r="E25" s="89">
        <v>26</v>
      </c>
      <c r="F25" s="102">
        <v>5.4899999999999997E-2</v>
      </c>
      <c r="G25" s="104" t="s">
        <v>355</v>
      </c>
      <c r="H25" s="232" t="s">
        <v>356</v>
      </c>
      <c r="W25" s="92">
        <v>43134</v>
      </c>
      <c r="X25" s="91">
        <v>4.3383947939262472E-2</v>
      </c>
      <c r="Z25" s="90"/>
      <c r="AA25" s="90"/>
    </row>
    <row r="26" spans="2:27" x14ac:dyDescent="0.25">
      <c r="B26" s="118" t="s">
        <v>363</v>
      </c>
      <c r="C26" s="119" t="s">
        <v>364</v>
      </c>
      <c r="D26" s="118">
        <v>461</v>
      </c>
      <c r="E26" s="118">
        <v>20</v>
      </c>
      <c r="F26" s="120">
        <v>4.5454545454545456E-2</v>
      </c>
      <c r="G26" s="104" t="s">
        <v>355</v>
      </c>
      <c r="H26" s="232" t="s">
        <v>356</v>
      </c>
      <c r="W26" s="92">
        <v>43135</v>
      </c>
      <c r="X26" s="91">
        <v>4.3383947939262472E-2</v>
      </c>
      <c r="Z26" s="90"/>
      <c r="AA26" s="90"/>
    </row>
    <row r="27" spans="2:27" x14ac:dyDescent="0.25">
      <c r="B27" s="89" t="s">
        <v>365</v>
      </c>
      <c r="C27" s="101" t="s">
        <v>366</v>
      </c>
      <c r="D27" s="89">
        <v>463</v>
      </c>
      <c r="E27" s="89">
        <v>18</v>
      </c>
      <c r="F27" s="102">
        <v>4.0899999999999999E-2</v>
      </c>
      <c r="G27" s="104" t="s">
        <v>355</v>
      </c>
      <c r="H27" s="232" t="s">
        <v>356</v>
      </c>
      <c r="W27" s="92">
        <v>43136</v>
      </c>
      <c r="X27" s="91">
        <v>4.3383947939262472E-2</v>
      </c>
      <c r="Z27" s="90"/>
      <c r="AA27" s="90"/>
    </row>
    <row r="28" spans="2:27" x14ac:dyDescent="0.25">
      <c r="B28" s="118" t="s">
        <v>367</v>
      </c>
      <c r="C28" s="119" t="s">
        <v>368</v>
      </c>
      <c r="D28" s="118">
        <v>461</v>
      </c>
      <c r="E28" s="118">
        <v>20</v>
      </c>
      <c r="F28" s="120">
        <v>4.5454545454545456E-2</v>
      </c>
      <c r="G28" s="104" t="s">
        <v>355</v>
      </c>
      <c r="H28" s="232" t="s">
        <v>369</v>
      </c>
      <c r="W28" s="92">
        <v>43137</v>
      </c>
      <c r="X28" s="91">
        <v>4.3383947939262472E-2</v>
      </c>
      <c r="Z28" s="90"/>
      <c r="AA28" s="90"/>
    </row>
    <row r="29" spans="2:27" x14ac:dyDescent="0.25">
      <c r="C29" s="101"/>
      <c r="F29" s="102"/>
      <c r="G29" s="104"/>
      <c r="H29" s="232"/>
      <c r="K29" s="104" t="s">
        <v>370</v>
      </c>
      <c r="W29" s="92">
        <v>43138</v>
      </c>
      <c r="X29" s="91">
        <v>4.3383947939262472E-2</v>
      </c>
      <c r="Y29" s="89">
        <v>496</v>
      </c>
      <c r="Z29" s="90"/>
      <c r="AA29" s="90"/>
    </row>
    <row r="30" spans="2:27" x14ac:dyDescent="0.25">
      <c r="C30" s="101"/>
      <c r="F30" s="102"/>
      <c r="G30" s="104"/>
      <c r="H30" s="232"/>
      <c r="W30" s="92">
        <v>43139</v>
      </c>
      <c r="X30" s="91">
        <v>4.3383947939262472E-2</v>
      </c>
      <c r="Z30" s="90"/>
      <c r="AA30" s="90"/>
    </row>
    <row r="31" spans="2:27" x14ac:dyDescent="0.25">
      <c r="C31" s="101"/>
      <c r="F31" s="102"/>
      <c r="G31" s="104"/>
      <c r="H31" s="232"/>
      <c r="W31" s="92">
        <v>43140</v>
      </c>
      <c r="X31" s="91">
        <v>4.3383947939262472E-2</v>
      </c>
      <c r="Z31" s="90"/>
      <c r="AA31" s="90"/>
    </row>
    <row r="32" spans="2:27" x14ac:dyDescent="0.25">
      <c r="C32" s="101"/>
      <c r="F32" s="102"/>
      <c r="G32" s="104"/>
      <c r="H32" s="232"/>
      <c r="W32" s="92">
        <v>43141</v>
      </c>
      <c r="X32" s="91">
        <v>4.3383947939262472E-2</v>
      </c>
      <c r="Z32" s="90"/>
      <c r="AA32" s="90"/>
    </row>
    <row r="33" spans="2:27" x14ac:dyDescent="0.25">
      <c r="C33" s="101"/>
      <c r="F33" s="102"/>
      <c r="G33" s="104"/>
      <c r="H33" s="232"/>
      <c r="W33" s="92">
        <v>43142</v>
      </c>
      <c r="X33" s="91">
        <v>4.3383947939262472E-2</v>
      </c>
      <c r="Z33" s="90"/>
      <c r="AA33" s="90"/>
    </row>
    <row r="34" spans="2:27" x14ac:dyDescent="0.25">
      <c r="C34" s="101"/>
      <c r="F34" s="102"/>
      <c r="G34" s="104"/>
      <c r="H34" s="232"/>
      <c r="W34" s="92">
        <v>43143</v>
      </c>
      <c r="X34" s="91">
        <v>4.3383947939262472E-2</v>
      </c>
      <c r="Z34" s="90"/>
      <c r="AA34" s="90"/>
    </row>
    <row r="35" spans="2:27" ht="16.5" thickBot="1" x14ac:dyDescent="0.3">
      <c r="B35" s="98"/>
      <c r="C35" s="230"/>
      <c r="D35" s="98"/>
      <c r="E35" s="98"/>
      <c r="F35" s="123"/>
      <c r="G35" s="97"/>
      <c r="H35" s="233"/>
      <c r="W35" s="92">
        <v>43144</v>
      </c>
      <c r="X35" s="91">
        <v>4.3383947939262472E-2</v>
      </c>
      <c r="Z35" s="90"/>
      <c r="AA35" s="90"/>
    </row>
    <row r="36" spans="2:27" x14ac:dyDescent="0.25">
      <c r="C36" s="101"/>
      <c r="H36" s="105"/>
      <c r="W36" s="92">
        <v>43145</v>
      </c>
      <c r="X36" s="91">
        <v>4.3383947939262472E-2</v>
      </c>
      <c r="Y36" s="89">
        <v>491</v>
      </c>
      <c r="Z36" s="90"/>
      <c r="AA36" s="90"/>
    </row>
    <row r="37" spans="2:27" x14ac:dyDescent="0.25">
      <c r="C37" s="101"/>
      <c r="G37" s="105"/>
      <c r="H37" s="105"/>
      <c r="W37" s="92">
        <v>43146</v>
      </c>
      <c r="X37" s="91">
        <v>4.3383947939262472E-2</v>
      </c>
      <c r="Z37" s="90"/>
      <c r="AA37" s="90"/>
    </row>
    <row r="38" spans="2:27" x14ac:dyDescent="0.25">
      <c r="C38" s="101"/>
      <c r="G38" s="105"/>
      <c r="H38" s="105"/>
      <c r="W38" s="92">
        <v>43147</v>
      </c>
      <c r="X38" s="91">
        <v>4.3383947939262472E-2</v>
      </c>
      <c r="Z38" s="90"/>
      <c r="AA38" s="90"/>
    </row>
    <row r="39" spans="2:27" x14ac:dyDescent="0.25">
      <c r="C39" s="101"/>
      <c r="G39" s="105"/>
      <c r="H39" s="105"/>
      <c r="W39" s="92">
        <v>43148</v>
      </c>
      <c r="X39" s="91">
        <v>4.3383947939262472E-2</v>
      </c>
      <c r="Z39" s="90"/>
      <c r="AA39" s="90"/>
    </row>
    <row r="40" spans="2:27" x14ac:dyDescent="0.25">
      <c r="C40" s="101"/>
      <c r="G40" s="105"/>
      <c r="H40" s="105"/>
      <c r="W40" s="92">
        <v>43149</v>
      </c>
      <c r="X40" s="91">
        <v>4.3383947939262472E-2</v>
      </c>
      <c r="Z40" s="90"/>
      <c r="AA40" s="90"/>
    </row>
    <row r="41" spans="2:27" x14ac:dyDescent="0.25">
      <c r="C41" s="101"/>
      <c r="G41" s="105"/>
      <c r="H41" s="105"/>
      <c r="I41" s="91"/>
      <c r="W41" s="92">
        <v>43150</v>
      </c>
      <c r="X41" s="91">
        <v>4.3383947939262472E-2</v>
      </c>
      <c r="Z41" s="90"/>
      <c r="AA41" s="90"/>
    </row>
    <row r="42" spans="2:27" x14ac:dyDescent="0.25">
      <c r="C42" s="101"/>
      <c r="G42" s="105"/>
      <c r="H42" s="105"/>
      <c r="I42" s="91"/>
      <c r="W42" s="92">
        <v>43151</v>
      </c>
      <c r="X42" s="91">
        <v>4.3383947939262472E-2</v>
      </c>
      <c r="Z42" s="90"/>
      <c r="AA42" s="90"/>
    </row>
    <row r="43" spans="2:27" x14ac:dyDescent="0.25">
      <c r="C43" s="101"/>
      <c r="G43" s="105"/>
      <c r="H43" s="105"/>
      <c r="I43" s="91"/>
      <c r="W43" s="92">
        <v>43152</v>
      </c>
      <c r="X43" s="91">
        <v>4.3383947939262472E-2</v>
      </c>
    </row>
    <row r="44" spans="2:27" x14ac:dyDescent="0.25">
      <c r="C44" s="101"/>
      <c r="G44" s="105"/>
      <c r="H44" s="105"/>
      <c r="I44" s="91"/>
      <c r="W44" s="92">
        <v>43153</v>
      </c>
      <c r="X44" s="91">
        <v>4.3383947939262472E-2</v>
      </c>
    </row>
    <row r="45" spans="2:27" x14ac:dyDescent="0.25">
      <c r="C45" s="101"/>
      <c r="G45" s="105"/>
      <c r="H45" s="105"/>
      <c r="I45" s="91"/>
      <c r="W45" s="92">
        <v>43154</v>
      </c>
      <c r="X45" s="91">
        <v>4.3383947939262472E-2</v>
      </c>
    </row>
    <row r="46" spans="2:27" x14ac:dyDescent="0.25">
      <c r="C46" s="101"/>
      <c r="G46" s="105"/>
      <c r="H46" s="105"/>
      <c r="I46" s="91"/>
      <c r="W46" s="92">
        <v>43155</v>
      </c>
      <c r="X46" s="91">
        <v>4.3383947939262472E-2</v>
      </c>
    </row>
    <row r="47" spans="2:27" x14ac:dyDescent="0.25">
      <c r="G47" s="105"/>
      <c r="H47" s="105"/>
      <c r="I47" s="91"/>
      <c r="W47" s="92">
        <v>43156</v>
      </c>
      <c r="X47" s="91">
        <v>4.3383947939262472E-2</v>
      </c>
    </row>
    <row r="48" spans="2:27" x14ac:dyDescent="0.25">
      <c r="G48" s="105"/>
      <c r="H48" s="105"/>
      <c r="I48" s="91"/>
      <c r="W48" s="92">
        <v>43157</v>
      </c>
      <c r="X48" s="91">
        <v>4.3383947939262472E-2</v>
      </c>
    </row>
    <row r="49" spans="7:24" x14ac:dyDescent="0.25">
      <c r="G49" s="105"/>
      <c r="H49" s="105"/>
      <c r="I49" s="91"/>
      <c r="W49" s="92">
        <v>43158</v>
      </c>
      <c r="X49" s="91">
        <v>4.3383947939262472E-2</v>
      </c>
    </row>
    <row r="50" spans="7:24" x14ac:dyDescent="0.25">
      <c r="G50" s="105"/>
      <c r="H50" s="105"/>
      <c r="I50" s="91"/>
      <c r="W50" s="92">
        <v>43159</v>
      </c>
      <c r="X50" s="91">
        <v>4.3383947939262472E-2</v>
      </c>
    </row>
    <row r="51" spans="7:24" x14ac:dyDescent="0.25">
      <c r="G51" s="105"/>
      <c r="H51" s="105"/>
      <c r="I51" s="91"/>
      <c r="W51" s="92">
        <v>43160</v>
      </c>
      <c r="X51" s="91">
        <v>4.3383947939262472E-2</v>
      </c>
    </row>
    <row r="52" spans="7:24" x14ac:dyDescent="0.25">
      <c r="G52" s="105"/>
      <c r="H52" s="105"/>
      <c r="I52" s="91"/>
      <c r="W52" s="92">
        <v>43161</v>
      </c>
      <c r="X52" s="91">
        <v>4.3383947939262472E-2</v>
      </c>
    </row>
    <row r="53" spans="7:24" x14ac:dyDescent="0.25">
      <c r="G53" s="105"/>
      <c r="H53" s="105"/>
      <c r="I53" s="91"/>
      <c r="W53" s="92">
        <v>43162</v>
      </c>
      <c r="X53" s="91">
        <v>4.3383947939262472E-2</v>
      </c>
    </row>
    <row r="54" spans="7:24" x14ac:dyDescent="0.25">
      <c r="G54" s="105"/>
      <c r="H54" s="105"/>
      <c r="I54" s="91"/>
      <c r="W54" s="92">
        <v>43163</v>
      </c>
      <c r="X54" s="91">
        <v>4.3383947939262472E-2</v>
      </c>
    </row>
    <row r="55" spans="7:24" x14ac:dyDescent="0.25">
      <c r="G55" s="105"/>
      <c r="H55" s="105"/>
      <c r="I55" s="91"/>
      <c r="W55" s="92">
        <v>43164</v>
      </c>
      <c r="X55" s="91">
        <v>4.3383947939262472E-2</v>
      </c>
    </row>
    <row r="56" spans="7:24" x14ac:dyDescent="0.25">
      <c r="G56" s="105"/>
      <c r="H56" s="105"/>
      <c r="I56" s="91"/>
      <c r="W56" s="92">
        <v>43165</v>
      </c>
      <c r="X56" s="91">
        <v>4.3383947939262472E-2</v>
      </c>
    </row>
    <row r="57" spans="7:24" x14ac:dyDescent="0.25">
      <c r="G57" s="105"/>
      <c r="H57" s="105"/>
      <c r="I57" s="91"/>
      <c r="W57" s="92">
        <v>43166</v>
      </c>
      <c r="X57" s="91">
        <v>4.3383947939262472E-2</v>
      </c>
    </row>
    <row r="58" spans="7:24" x14ac:dyDescent="0.25">
      <c r="G58" s="105"/>
      <c r="H58" s="105"/>
      <c r="I58" s="91"/>
      <c r="W58" s="92">
        <v>43167</v>
      </c>
      <c r="X58" s="91">
        <v>4.3383947939262472E-2</v>
      </c>
    </row>
    <row r="59" spans="7:24" x14ac:dyDescent="0.25">
      <c r="G59" s="105"/>
      <c r="H59" s="105"/>
      <c r="I59" s="91"/>
      <c r="W59" s="92">
        <v>43168</v>
      </c>
      <c r="X59" s="91">
        <v>4.3383947939262472E-2</v>
      </c>
    </row>
    <row r="60" spans="7:24" x14ac:dyDescent="0.25">
      <c r="G60" s="105"/>
      <c r="H60" s="105"/>
      <c r="I60" s="91"/>
      <c r="W60" s="92">
        <v>43169</v>
      </c>
      <c r="X60" s="91">
        <v>4.3383947939262472E-2</v>
      </c>
    </row>
    <row r="61" spans="7:24" x14ac:dyDescent="0.25">
      <c r="G61" s="105"/>
      <c r="H61" s="105"/>
      <c r="I61" s="91"/>
      <c r="W61" s="92">
        <v>43170</v>
      </c>
      <c r="X61" s="91">
        <v>4.3383947939262472E-2</v>
      </c>
    </row>
    <row r="62" spans="7:24" x14ac:dyDescent="0.25">
      <c r="G62" s="105"/>
      <c r="H62" s="105"/>
      <c r="I62" s="91"/>
      <c r="W62" s="92">
        <v>43171</v>
      </c>
      <c r="X62" s="91">
        <v>4.3383947939262472E-2</v>
      </c>
    </row>
    <row r="63" spans="7:24" x14ac:dyDescent="0.25">
      <c r="G63" s="105"/>
      <c r="H63" s="105"/>
      <c r="I63" s="91"/>
      <c r="W63" s="92">
        <v>43172</v>
      </c>
      <c r="X63" s="91">
        <v>4.3383947939262472E-2</v>
      </c>
    </row>
    <row r="64" spans="7:24" x14ac:dyDescent="0.25">
      <c r="G64" s="105"/>
      <c r="H64" s="105"/>
      <c r="I64" s="91"/>
      <c r="W64" s="92">
        <v>43173</v>
      </c>
      <c r="X64" s="91">
        <v>4.3383947939262472E-2</v>
      </c>
    </row>
    <row r="65" spans="7:25" x14ac:dyDescent="0.25">
      <c r="G65" s="105"/>
      <c r="H65" s="105"/>
      <c r="I65" s="91"/>
      <c r="W65" s="92">
        <v>43174</v>
      </c>
      <c r="X65" s="91">
        <v>4.3383947939262472E-2</v>
      </c>
    </row>
    <row r="66" spans="7:25" x14ac:dyDescent="0.25">
      <c r="G66" s="105"/>
      <c r="H66" s="105"/>
      <c r="I66" s="91"/>
      <c r="W66" s="92">
        <v>43175</v>
      </c>
      <c r="X66" s="91">
        <v>4.3383947939262472E-2</v>
      </c>
    </row>
    <row r="67" spans="7:25" x14ac:dyDescent="0.25">
      <c r="G67" s="105"/>
      <c r="H67" s="105"/>
      <c r="I67" s="91"/>
      <c r="W67" s="92">
        <v>43176</v>
      </c>
      <c r="X67" s="91">
        <v>4.3383947939262472E-2</v>
      </c>
      <c r="Y67" s="93">
        <v>463</v>
      </c>
    </row>
    <row r="68" spans="7:25" x14ac:dyDescent="0.25">
      <c r="G68" s="105"/>
      <c r="H68" s="105"/>
      <c r="I68" s="91"/>
      <c r="W68" s="92">
        <v>43177</v>
      </c>
      <c r="X68" s="91">
        <v>4.3383947939262472E-2</v>
      </c>
    </row>
    <row r="69" spans="7:25" x14ac:dyDescent="0.25">
      <c r="G69" s="105"/>
      <c r="H69" s="105"/>
      <c r="I69" s="91"/>
      <c r="W69" s="92">
        <v>43178</v>
      </c>
      <c r="X69" s="91">
        <v>4.3383947939262472E-2</v>
      </c>
    </row>
    <row r="70" spans="7:25" x14ac:dyDescent="0.25">
      <c r="G70" s="105"/>
      <c r="H70" s="105"/>
      <c r="I70" s="91"/>
      <c r="W70" s="92">
        <v>43179</v>
      </c>
      <c r="X70" s="91">
        <v>4.3383947939262472E-2</v>
      </c>
    </row>
    <row r="71" spans="7:25" x14ac:dyDescent="0.25">
      <c r="G71" s="105"/>
      <c r="H71" s="105"/>
      <c r="I71" s="91"/>
      <c r="W71" s="92">
        <v>43180</v>
      </c>
      <c r="X71" s="91">
        <v>4.3383947939262472E-2</v>
      </c>
    </row>
    <row r="72" spans="7:25" x14ac:dyDescent="0.25">
      <c r="G72" s="105"/>
      <c r="H72" s="105"/>
      <c r="I72" s="91"/>
      <c r="W72" s="92">
        <v>43181</v>
      </c>
      <c r="X72" s="91">
        <v>4.3383947939262472E-2</v>
      </c>
    </row>
    <row r="73" spans="7:25" x14ac:dyDescent="0.25">
      <c r="G73" s="105"/>
      <c r="H73" s="105"/>
      <c r="I73" s="91"/>
      <c r="W73" s="92">
        <v>43182</v>
      </c>
      <c r="X73" s="91">
        <v>4.3383947939262472E-2</v>
      </c>
    </row>
    <row r="74" spans="7:25" x14ac:dyDescent="0.25">
      <c r="G74" s="105"/>
      <c r="H74" s="105"/>
      <c r="I74" s="91"/>
    </row>
    <row r="75" spans="7:25" x14ac:dyDescent="0.25">
      <c r="G75" s="105"/>
      <c r="H75" s="105"/>
      <c r="I75" s="91"/>
    </row>
    <row r="76" spans="7:25" x14ac:dyDescent="0.25">
      <c r="G76" s="105"/>
      <c r="H76" s="105"/>
      <c r="I76" s="91"/>
    </row>
    <row r="77" spans="7:25" x14ac:dyDescent="0.25">
      <c r="G77" s="105"/>
      <c r="H77" s="105"/>
      <c r="I77" s="91"/>
    </row>
    <row r="78" spans="7:25" x14ac:dyDescent="0.25">
      <c r="G78" s="105"/>
      <c r="H78" s="105"/>
      <c r="I78" s="91"/>
    </row>
    <row r="79" spans="7:25" x14ac:dyDescent="0.25">
      <c r="G79" s="105"/>
      <c r="H79" s="105"/>
      <c r="I79" s="91"/>
    </row>
    <row r="80" spans="7:25" x14ac:dyDescent="0.25">
      <c r="G80" s="105"/>
      <c r="H80" s="105"/>
      <c r="I80" s="91"/>
    </row>
    <row r="81" spans="7:9" x14ac:dyDescent="0.25">
      <c r="G81" s="105"/>
      <c r="H81" s="105"/>
      <c r="I81" s="91"/>
    </row>
    <row r="82" spans="7:9" x14ac:dyDescent="0.25">
      <c r="G82" s="105"/>
      <c r="H82" s="105"/>
      <c r="I82" s="91"/>
    </row>
    <row r="83" spans="7:9" x14ac:dyDescent="0.25">
      <c r="G83" s="105"/>
      <c r="H83" s="105"/>
      <c r="I83" s="91"/>
    </row>
    <row r="84" spans="7:9" x14ac:dyDescent="0.25">
      <c r="G84" s="105"/>
      <c r="H84" s="105"/>
      <c r="I84" s="91"/>
    </row>
    <row r="85" spans="7:9" x14ac:dyDescent="0.25">
      <c r="G85" s="105"/>
      <c r="H85" s="105"/>
      <c r="I85" s="91"/>
    </row>
    <row r="86" spans="7:9" x14ac:dyDescent="0.25">
      <c r="G86" s="105"/>
      <c r="H86" s="105"/>
      <c r="I86" s="91"/>
    </row>
    <row r="87" spans="7:9" x14ac:dyDescent="0.25">
      <c r="G87" s="105"/>
      <c r="H87" s="105"/>
      <c r="I87" s="91"/>
    </row>
    <row r="88" spans="7:9" x14ac:dyDescent="0.25">
      <c r="G88" s="105"/>
      <c r="H88" s="105"/>
      <c r="I88" s="91"/>
    </row>
    <row r="89" spans="7:9" x14ac:dyDescent="0.25">
      <c r="G89" s="105"/>
      <c r="H89" s="105"/>
      <c r="I89" s="91"/>
    </row>
    <row r="90" spans="7:9" x14ac:dyDescent="0.25">
      <c r="G90" s="105"/>
      <c r="H90" s="105"/>
      <c r="I90" s="91"/>
    </row>
    <row r="91" spans="7:9" x14ac:dyDescent="0.25">
      <c r="G91" s="105"/>
      <c r="H91" s="105"/>
      <c r="I91" s="91"/>
    </row>
    <row r="92" spans="7:9" x14ac:dyDescent="0.25">
      <c r="G92" s="105"/>
      <c r="H92" s="105"/>
      <c r="I92" s="91"/>
    </row>
    <row r="93" spans="7:9" x14ac:dyDescent="0.25">
      <c r="G93" s="105"/>
      <c r="H93" s="105"/>
      <c r="I93" s="91"/>
    </row>
    <row r="94" spans="7:9" x14ac:dyDescent="0.25">
      <c r="G94" s="105"/>
      <c r="H94" s="105"/>
      <c r="I94" s="91"/>
    </row>
    <row r="95" spans="7:9" x14ac:dyDescent="0.25">
      <c r="G95" s="105"/>
      <c r="H95" s="105"/>
      <c r="I95" s="91"/>
    </row>
    <row r="96" spans="7:9" x14ac:dyDescent="0.25">
      <c r="G96" s="105"/>
      <c r="H96" s="105"/>
      <c r="I96" s="91"/>
    </row>
    <row r="97" spans="7:9" x14ac:dyDescent="0.25">
      <c r="G97" s="105"/>
      <c r="H97" s="105"/>
      <c r="I97" s="91"/>
    </row>
    <row r="98" spans="7:9" x14ac:dyDescent="0.25">
      <c r="G98" s="105"/>
      <c r="H98" s="105"/>
      <c r="I98" s="91"/>
    </row>
    <row r="99" spans="7:9" x14ac:dyDescent="0.25">
      <c r="G99" s="105"/>
      <c r="H99" s="105"/>
      <c r="I99" s="91"/>
    </row>
    <row r="100" spans="7:9" x14ac:dyDescent="0.25">
      <c r="G100" s="105"/>
      <c r="H100" s="105"/>
      <c r="I100" s="91"/>
    </row>
    <row r="101" spans="7:9" x14ac:dyDescent="0.25">
      <c r="G101" s="105"/>
      <c r="H101" s="105"/>
      <c r="I101" s="91"/>
    </row>
    <row r="102" spans="7:9" x14ac:dyDescent="0.25">
      <c r="G102" s="105"/>
      <c r="H102" s="105"/>
      <c r="I102" s="91"/>
    </row>
    <row r="103" spans="7:9" x14ac:dyDescent="0.25">
      <c r="G103" s="105"/>
      <c r="H103" s="105"/>
      <c r="I103" s="91"/>
    </row>
    <row r="104" spans="7:9" x14ac:dyDescent="0.25">
      <c r="G104" s="105"/>
      <c r="H104" s="105"/>
      <c r="I104" s="91"/>
    </row>
    <row r="105" spans="7:9" x14ac:dyDescent="0.25">
      <c r="G105" s="105"/>
      <c r="H105" s="105"/>
      <c r="I105" s="91"/>
    </row>
    <row r="106" spans="7:9" x14ac:dyDescent="0.25">
      <c r="G106" s="105"/>
      <c r="H106" s="105"/>
    </row>
    <row r="107" spans="7:9" x14ac:dyDescent="0.25">
      <c r="G107" s="105"/>
      <c r="H107" s="105"/>
    </row>
    <row r="122" spans="19:20" x14ac:dyDescent="0.25">
      <c r="S122" s="106"/>
      <c r="T122" s="91"/>
    </row>
    <row r="123" spans="19:20" x14ac:dyDescent="0.25">
      <c r="S123" s="106"/>
      <c r="T123" s="91"/>
    </row>
    <row r="124" spans="19:20" x14ac:dyDescent="0.25">
      <c r="S124" s="106"/>
      <c r="T124" s="91"/>
    </row>
    <row r="125" spans="19:20" x14ac:dyDescent="0.25">
      <c r="S125" s="106"/>
      <c r="T125" s="91"/>
    </row>
    <row r="126" spans="19:20" x14ac:dyDescent="0.25">
      <c r="S126" s="106"/>
      <c r="T126" s="91"/>
    </row>
    <row r="127" spans="19:20" x14ac:dyDescent="0.25">
      <c r="S127" s="106"/>
      <c r="T127" s="91"/>
    </row>
    <row r="128" spans="19:20" x14ac:dyDescent="0.25">
      <c r="S128" s="106"/>
      <c r="T128" s="91"/>
    </row>
    <row r="129" spans="19:20" x14ac:dyDescent="0.25">
      <c r="S129" s="106"/>
      <c r="T129" s="91"/>
    </row>
    <row r="130" spans="19:20" x14ac:dyDescent="0.25">
      <c r="S130" s="106"/>
      <c r="T130" s="91"/>
    </row>
    <row r="131" spans="19:20" x14ac:dyDescent="0.25">
      <c r="S131" s="106"/>
      <c r="T131" s="91"/>
    </row>
    <row r="132" spans="19:20" x14ac:dyDescent="0.25">
      <c r="S132" s="106"/>
      <c r="T132" s="91"/>
    </row>
    <row r="133" spans="19:20" x14ac:dyDescent="0.25">
      <c r="S133" s="106"/>
      <c r="T133" s="91"/>
    </row>
    <row r="134" spans="19:20" x14ac:dyDescent="0.25">
      <c r="S134" s="106"/>
      <c r="T134" s="91"/>
    </row>
    <row r="135" spans="19:20" x14ac:dyDescent="0.25">
      <c r="S135" s="106"/>
      <c r="T135" s="91"/>
    </row>
    <row r="136" spans="19:20" x14ac:dyDescent="0.25">
      <c r="S136" s="106"/>
      <c r="T136" s="91"/>
    </row>
    <row r="137" spans="19:20" x14ac:dyDescent="0.25">
      <c r="S137" s="106"/>
      <c r="T137" s="91"/>
    </row>
  </sheetData>
  <pageMargins left="0.7" right="0.7" top="0.75" bottom="0.75" header="0.3" footer="0.3"/>
  <pageSetup orientation="portrait" horizontalDpi="1200" verticalDpi="120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AF137"/>
  <sheetViews>
    <sheetView zoomScale="49" workbookViewId="0">
      <selection activeCell="I15" sqref="I15"/>
    </sheetView>
  </sheetViews>
  <sheetFormatPr defaultColWidth="9.140625" defaultRowHeight="15.75" x14ac:dyDescent="0.25"/>
  <cols>
    <col min="1" max="1" width="9.140625" style="89"/>
    <col min="2" max="2" width="23.28515625" style="89" bestFit="1" customWidth="1"/>
    <col min="3" max="3" width="11.140625" style="89" bestFit="1" customWidth="1"/>
    <col min="4" max="4" width="12.140625" style="89" bestFit="1" customWidth="1"/>
    <col min="5" max="5" width="10.85546875" style="89" bestFit="1" customWidth="1"/>
    <col min="6" max="6" width="16.42578125" style="89" bestFit="1" customWidth="1"/>
    <col min="7" max="7" width="20.7109375" style="89" bestFit="1" customWidth="1"/>
    <col min="8" max="8" width="20.5703125" style="89" bestFit="1" customWidth="1"/>
    <col min="9" max="9" width="16.42578125" style="89" bestFit="1" customWidth="1"/>
    <col min="10" max="10" width="12.5703125" style="89" bestFit="1" customWidth="1"/>
    <col min="11" max="11" width="10.85546875" style="89" bestFit="1" customWidth="1"/>
    <col min="12" max="12" width="10.28515625" style="89" bestFit="1" customWidth="1"/>
    <col min="13" max="13" width="11" style="89" bestFit="1" customWidth="1"/>
    <col min="14" max="14" width="12.5703125" style="89" bestFit="1" customWidth="1"/>
    <col min="15" max="15" width="11" style="89" bestFit="1" customWidth="1"/>
    <col min="16" max="16" width="12.7109375" style="89" bestFit="1" customWidth="1"/>
    <col min="17" max="17" width="11" style="89" bestFit="1" customWidth="1"/>
    <col min="18" max="18" width="12.5703125" style="89" bestFit="1" customWidth="1"/>
    <col min="19" max="19" width="9" style="89" bestFit="1" customWidth="1"/>
    <col min="20" max="20" width="14.7109375" style="89" bestFit="1" customWidth="1"/>
    <col min="21" max="21" width="16" style="89" bestFit="1" customWidth="1"/>
    <col min="22" max="22" width="15" style="90" bestFit="1" customWidth="1"/>
    <col min="23" max="23" width="9" style="89" bestFit="1" customWidth="1"/>
    <col min="24" max="24" width="14.7109375" style="89" bestFit="1" customWidth="1"/>
    <col min="25" max="25" width="16" style="89" bestFit="1" customWidth="1"/>
    <col min="26" max="26" width="15" style="89" bestFit="1" customWidth="1"/>
    <col min="27" max="27" width="2.85546875" style="89" customWidth="1"/>
    <col min="28" max="28" width="9" style="89" bestFit="1" customWidth="1"/>
    <col min="29" max="29" width="10.85546875" style="89" bestFit="1" customWidth="1"/>
    <col min="30" max="30" width="10.28515625" style="89" bestFit="1" customWidth="1"/>
    <col min="31" max="31" width="7.42578125" style="91" bestFit="1" customWidth="1"/>
    <col min="32" max="32" width="13.5703125" style="89" bestFit="1" customWidth="1"/>
    <col min="33" max="16384" width="9.140625" style="89"/>
  </cols>
  <sheetData>
    <row r="1" spans="1:32" x14ac:dyDescent="0.25">
      <c r="A1" s="87" t="s">
        <v>371</v>
      </c>
      <c r="B1" s="88"/>
      <c r="C1" s="88"/>
      <c r="D1" s="88"/>
      <c r="W1" s="89" t="s">
        <v>341</v>
      </c>
      <c r="X1" s="89" t="s">
        <v>342</v>
      </c>
      <c r="Y1" s="89" t="s">
        <v>84</v>
      </c>
      <c r="Z1" s="90" t="s">
        <v>343</v>
      </c>
      <c r="AA1" s="90"/>
      <c r="AB1" s="90" t="s">
        <v>341</v>
      </c>
      <c r="AC1" s="89" t="s">
        <v>296</v>
      </c>
      <c r="AD1" s="89" t="s">
        <v>295</v>
      </c>
      <c r="AE1" s="91" t="s">
        <v>293</v>
      </c>
      <c r="AF1" s="89" t="s">
        <v>344</v>
      </c>
    </row>
    <row r="2" spans="1:32" x14ac:dyDescent="0.25">
      <c r="W2" s="132">
        <v>43076</v>
      </c>
      <c r="X2" s="131">
        <v>0.1</v>
      </c>
      <c r="Y2" s="127">
        <v>130</v>
      </c>
      <c r="Z2" s="124">
        <v>212</v>
      </c>
      <c r="AA2" s="124"/>
      <c r="AB2" s="132">
        <v>43076</v>
      </c>
      <c r="AC2" s="127"/>
      <c r="AD2" s="127"/>
      <c r="AE2" s="131">
        <v>0.12977099236641221</v>
      </c>
      <c r="AF2" s="131">
        <v>0.12977099236641221</v>
      </c>
    </row>
    <row r="3" spans="1:32" ht="16.5" thickBot="1" x14ac:dyDescent="0.3">
      <c r="W3" s="132">
        <v>43077</v>
      </c>
      <c r="X3" s="131">
        <v>0.1</v>
      </c>
      <c r="Y3" s="127"/>
      <c r="Z3" s="124">
        <v>213</v>
      </c>
      <c r="AA3" s="124"/>
      <c r="AB3" s="132">
        <v>43081</v>
      </c>
      <c r="AC3" s="127"/>
      <c r="AD3" s="127"/>
      <c r="AE3" s="131">
        <v>8.3333333333333329E-2</v>
      </c>
      <c r="AF3" s="131">
        <v>8.3333333333333329E-2</v>
      </c>
    </row>
    <row r="4" spans="1:32" ht="32.25" thickBot="1" x14ac:dyDescent="0.3">
      <c r="B4" s="213" t="s">
        <v>63</v>
      </c>
      <c r="C4" s="214" t="s">
        <v>70</v>
      </c>
      <c r="D4" s="215" t="s">
        <v>78</v>
      </c>
      <c r="E4" s="213" t="s">
        <v>345</v>
      </c>
      <c r="F4" s="216" t="s">
        <v>101</v>
      </c>
      <c r="G4" s="215" t="s">
        <v>84</v>
      </c>
      <c r="H4" s="215" t="s">
        <v>346</v>
      </c>
      <c r="I4" s="213" t="s">
        <v>141</v>
      </c>
      <c r="J4" s="213" t="s">
        <v>347</v>
      </c>
      <c r="W4" s="132">
        <v>43078</v>
      </c>
      <c r="X4" s="131">
        <v>0.1</v>
      </c>
      <c r="Y4" s="127"/>
      <c r="Z4" s="124">
        <v>212</v>
      </c>
      <c r="AA4" s="124"/>
      <c r="AB4" s="132">
        <v>43084</v>
      </c>
      <c r="AC4" s="127"/>
      <c r="AD4" s="127"/>
      <c r="AE4" s="131">
        <v>9.5588235294117641E-2</v>
      </c>
      <c r="AF4" s="131">
        <v>9.5588235294117641E-2</v>
      </c>
    </row>
    <row r="5" spans="1:32" x14ac:dyDescent="0.25">
      <c r="B5" s="93">
        <v>1</v>
      </c>
      <c r="C5" s="128">
        <v>43075</v>
      </c>
      <c r="D5" s="128">
        <v>43076</v>
      </c>
      <c r="E5" s="133">
        <v>130</v>
      </c>
      <c r="F5" s="133">
        <v>0</v>
      </c>
      <c r="G5" s="134">
        <f>F5/E5</f>
        <v>0</v>
      </c>
      <c r="H5" s="133">
        <v>16</v>
      </c>
      <c r="I5" s="130">
        <v>0.12977099236641221</v>
      </c>
      <c r="W5" s="132">
        <v>43079</v>
      </c>
      <c r="X5" s="131">
        <v>0.1</v>
      </c>
      <c r="Y5" s="127"/>
      <c r="Z5" s="124">
        <v>212</v>
      </c>
      <c r="AA5" s="124"/>
      <c r="AB5" s="132">
        <v>43088</v>
      </c>
      <c r="AC5" s="127"/>
      <c r="AD5" s="127"/>
      <c r="AE5" s="131">
        <v>0.1092436974789916</v>
      </c>
      <c r="AF5" s="131">
        <v>0.1092436974789916</v>
      </c>
    </row>
    <row r="6" spans="1:32" x14ac:dyDescent="0.25">
      <c r="B6" s="93">
        <v>2</v>
      </c>
      <c r="C6" s="128">
        <v>43080</v>
      </c>
      <c r="D6" s="128">
        <v>43081</v>
      </c>
      <c r="E6" s="133">
        <v>179</v>
      </c>
      <c r="F6" s="133">
        <v>0</v>
      </c>
      <c r="G6" s="134">
        <f>F6/E6</f>
        <v>0</v>
      </c>
      <c r="H6" s="133">
        <v>14</v>
      </c>
      <c r="I6" s="130">
        <v>8.3333333333333329E-2</v>
      </c>
      <c r="W6" s="92">
        <v>43080</v>
      </c>
      <c r="X6" s="91">
        <v>0.1</v>
      </c>
      <c r="Z6" s="90">
        <v>212</v>
      </c>
      <c r="AA6" s="90"/>
      <c r="AB6" s="92"/>
    </row>
    <row r="7" spans="1:32" x14ac:dyDescent="0.25">
      <c r="B7" s="93">
        <v>3</v>
      </c>
      <c r="C7" s="128">
        <v>43083</v>
      </c>
      <c r="D7" s="128">
        <v>43084</v>
      </c>
      <c r="E7" s="133">
        <v>135</v>
      </c>
      <c r="F7" s="133">
        <v>2</v>
      </c>
      <c r="G7" s="134">
        <f>F7/E7</f>
        <v>1.4814814814814815E-2</v>
      </c>
      <c r="H7" s="133">
        <v>12</v>
      </c>
      <c r="I7" s="130">
        <v>9.5588235294117641E-2</v>
      </c>
      <c r="W7" s="92">
        <v>43081</v>
      </c>
      <c r="X7" s="91">
        <v>0.1</v>
      </c>
      <c r="Y7" s="89">
        <v>179</v>
      </c>
      <c r="Z7" s="90">
        <v>212</v>
      </c>
      <c r="AA7" s="90"/>
      <c r="AB7" s="90"/>
    </row>
    <row r="8" spans="1:32" x14ac:dyDescent="0.25">
      <c r="B8" s="89">
        <v>4</v>
      </c>
      <c r="C8" s="135">
        <v>43087</v>
      </c>
      <c r="D8" s="135">
        <v>43088</v>
      </c>
      <c r="E8" s="124">
        <v>237</v>
      </c>
      <c r="F8" s="127">
        <v>0</v>
      </c>
      <c r="G8" s="129">
        <f>F8/E8</f>
        <v>0</v>
      </c>
      <c r="H8" s="127">
        <v>25</v>
      </c>
      <c r="I8" s="130">
        <v>0.1092436974789916</v>
      </c>
      <c r="W8" s="92">
        <v>43082</v>
      </c>
      <c r="X8" s="91">
        <v>0.1</v>
      </c>
      <c r="Z8" s="90">
        <v>212</v>
      </c>
      <c r="AA8" s="90"/>
      <c r="AB8" s="90"/>
    </row>
    <row r="9" spans="1:32" ht="16.5" thickBot="1" x14ac:dyDescent="0.3">
      <c r="B9" s="97"/>
      <c r="C9" s="98"/>
      <c r="D9" s="98" t="s">
        <v>348</v>
      </c>
      <c r="E9" s="99">
        <f>SUM(E5:E8)</f>
        <v>681</v>
      </c>
      <c r="F9" s="99">
        <f t="shared" ref="F9:H9" si="0">SUM(F5:F8)</f>
        <v>2</v>
      </c>
      <c r="G9" s="100">
        <f>F9/E9</f>
        <v>2.936857562408223E-3</v>
      </c>
      <c r="H9" s="99">
        <f t="shared" si="0"/>
        <v>67</v>
      </c>
      <c r="I9" s="98"/>
      <c r="W9" s="92">
        <v>43083</v>
      </c>
      <c r="X9" s="91">
        <v>0.1</v>
      </c>
      <c r="Z9" s="90">
        <v>212</v>
      </c>
      <c r="AA9" s="90"/>
      <c r="AB9" s="90"/>
    </row>
    <row r="10" spans="1:32" x14ac:dyDescent="0.25">
      <c r="W10" s="92">
        <v>43084</v>
      </c>
      <c r="X10" s="91">
        <v>0.1</v>
      </c>
      <c r="Y10" s="89">
        <v>135</v>
      </c>
      <c r="Z10" s="90">
        <v>213</v>
      </c>
      <c r="AA10" s="90"/>
      <c r="AB10" s="90"/>
    </row>
    <row r="11" spans="1:32" x14ac:dyDescent="0.25">
      <c r="W11" s="92">
        <v>43085</v>
      </c>
      <c r="X11" s="91">
        <v>0.1</v>
      </c>
      <c r="Z11" s="90">
        <v>213</v>
      </c>
      <c r="AA11" s="90"/>
      <c r="AB11" s="90"/>
    </row>
    <row r="12" spans="1:32" x14ac:dyDescent="0.25">
      <c r="W12" s="92">
        <v>43086</v>
      </c>
      <c r="X12" s="91">
        <v>0.1</v>
      </c>
      <c r="Z12" s="90">
        <v>212</v>
      </c>
      <c r="AA12" s="90"/>
      <c r="AB12" s="90"/>
    </row>
    <row r="13" spans="1:32" x14ac:dyDescent="0.25">
      <c r="W13" s="92">
        <v>43087</v>
      </c>
      <c r="X13" s="91">
        <v>0.1</v>
      </c>
      <c r="Z13" s="90">
        <v>213</v>
      </c>
      <c r="AA13" s="90"/>
      <c r="AB13" s="90"/>
    </row>
    <row r="14" spans="1:32" ht="16.5" thickBot="1" x14ac:dyDescent="0.3">
      <c r="W14" s="92">
        <v>43088</v>
      </c>
      <c r="X14" s="91">
        <v>0.1</v>
      </c>
      <c r="Y14" s="89">
        <v>237</v>
      </c>
      <c r="Z14" s="90">
        <v>212</v>
      </c>
      <c r="AA14" s="90"/>
      <c r="AB14" s="90"/>
    </row>
    <row r="15" spans="1:32" ht="16.5" thickBot="1" x14ac:dyDescent="0.3">
      <c r="B15" s="213" t="s">
        <v>349</v>
      </c>
      <c r="C15" s="217" t="s">
        <v>350</v>
      </c>
      <c r="D15" s="213" t="s">
        <v>351</v>
      </c>
      <c r="E15" s="213" t="s">
        <v>352</v>
      </c>
      <c r="F15" s="213" t="s">
        <v>141</v>
      </c>
      <c r="G15" s="212" t="s">
        <v>347</v>
      </c>
      <c r="H15" s="218" t="s">
        <v>353</v>
      </c>
      <c r="W15" s="92">
        <v>43089</v>
      </c>
      <c r="X15" s="91">
        <v>0.1</v>
      </c>
      <c r="Z15" s="90">
        <v>213</v>
      </c>
      <c r="AA15" s="90"/>
      <c r="AB15" s="90"/>
    </row>
    <row r="16" spans="1:32" x14ac:dyDescent="0.25">
      <c r="B16" s="114" t="s">
        <v>372</v>
      </c>
      <c r="C16" s="115" t="s">
        <v>373</v>
      </c>
      <c r="D16" s="116">
        <v>170</v>
      </c>
      <c r="E16" s="116">
        <v>17</v>
      </c>
      <c r="F16" s="117">
        <v>0.10526315789473684</v>
      </c>
      <c r="G16" s="219"/>
      <c r="H16" s="104" t="s">
        <v>369</v>
      </c>
      <c r="W16" s="92">
        <v>43090</v>
      </c>
      <c r="X16" s="91">
        <v>0.1</v>
      </c>
      <c r="Z16" s="90">
        <v>213</v>
      </c>
      <c r="AA16" s="90"/>
      <c r="AB16" s="90"/>
    </row>
    <row r="17" spans="2:28" x14ac:dyDescent="0.25">
      <c r="B17" s="121"/>
      <c r="C17" s="121"/>
      <c r="D17" s="121"/>
      <c r="E17" s="121"/>
      <c r="F17" s="220"/>
      <c r="G17" s="104"/>
      <c r="H17" s="104"/>
      <c r="W17" s="92">
        <v>43091</v>
      </c>
      <c r="X17" s="91">
        <v>0.1</v>
      </c>
      <c r="Z17" s="90">
        <v>213</v>
      </c>
      <c r="AA17" s="90"/>
      <c r="AB17" s="90"/>
    </row>
    <row r="18" spans="2:28" x14ac:dyDescent="0.25">
      <c r="B18" s="121"/>
      <c r="C18" s="121"/>
      <c r="D18" s="121"/>
      <c r="E18" s="121"/>
      <c r="F18" s="220"/>
      <c r="G18" s="104"/>
      <c r="H18" s="104"/>
      <c r="W18" s="92">
        <v>43092</v>
      </c>
      <c r="X18" s="91">
        <v>0.1</v>
      </c>
      <c r="Z18" s="90">
        <v>213</v>
      </c>
      <c r="AA18" s="90"/>
      <c r="AB18" s="90"/>
    </row>
    <row r="19" spans="2:28" x14ac:dyDescent="0.25">
      <c r="B19" s="121"/>
      <c r="G19" s="104"/>
      <c r="H19" s="104"/>
      <c r="W19" s="92">
        <v>43093</v>
      </c>
      <c r="X19" s="91">
        <v>0.1</v>
      </c>
      <c r="Z19" s="90">
        <v>213</v>
      </c>
      <c r="AA19" s="90"/>
      <c r="AB19" s="90"/>
    </row>
    <row r="20" spans="2:28" x14ac:dyDescent="0.25">
      <c r="B20" s="121"/>
      <c r="C20" s="121"/>
      <c r="D20" s="121"/>
      <c r="E20" s="121"/>
      <c r="F20" s="220"/>
      <c r="G20" s="104"/>
      <c r="H20" s="104"/>
      <c r="W20" s="92">
        <v>43094</v>
      </c>
      <c r="X20" s="91">
        <v>0.1</v>
      </c>
      <c r="Z20" s="90">
        <v>213</v>
      </c>
      <c r="AA20" s="90"/>
      <c r="AB20" s="90"/>
    </row>
    <row r="21" spans="2:28" x14ac:dyDescent="0.25">
      <c r="B21" s="121"/>
      <c r="F21" s="220"/>
      <c r="G21" s="104"/>
      <c r="H21" s="104"/>
      <c r="W21" s="92">
        <v>43095</v>
      </c>
      <c r="X21" s="91">
        <v>0.1</v>
      </c>
      <c r="Z21" s="90">
        <v>212</v>
      </c>
      <c r="AA21" s="90"/>
      <c r="AB21" s="90"/>
    </row>
    <row r="22" spans="2:28" ht="16.5" thickBot="1" x14ac:dyDescent="0.3">
      <c r="B22" s="221"/>
      <c r="C22" s="98"/>
      <c r="D22" s="98"/>
      <c r="E22" s="98"/>
      <c r="F22" s="222"/>
      <c r="G22" s="97"/>
      <c r="H22" s="97"/>
      <c r="W22" s="92"/>
      <c r="X22" s="91"/>
      <c r="Z22" s="90"/>
      <c r="AA22" s="90"/>
      <c r="AB22" s="90"/>
    </row>
    <row r="23" spans="2:28" x14ac:dyDescent="0.25">
      <c r="B23" s="103" t="s">
        <v>374</v>
      </c>
      <c r="W23" s="92"/>
      <c r="X23" s="91"/>
      <c r="Z23" s="90"/>
      <c r="AA23" s="90"/>
      <c r="AB23" s="90"/>
    </row>
    <row r="24" spans="2:28" x14ac:dyDescent="0.25">
      <c r="B24" s="104"/>
      <c r="W24" s="92"/>
      <c r="X24" s="91"/>
      <c r="Z24" s="90"/>
      <c r="AA24" s="90"/>
      <c r="AB24" s="90"/>
    </row>
    <row r="25" spans="2:28" x14ac:dyDescent="0.25">
      <c r="W25" s="92"/>
      <c r="X25" s="91"/>
      <c r="Z25" s="90"/>
      <c r="AA25" s="90"/>
      <c r="AB25" s="90"/>
    </row>
    <row r="26" spans="2:28" x14ac:dyDescent="0.25">
      <c r="W26" s="92"/>
      <c r="X26" s="91"/>
      <c r="Z26" s="90"/>
      <c r="AA26" s="90"/>
      <c r="AB26" s="90"/>
    </row>
    <row r="27" spans="2:28" x14ac:dyDescent="0.25">
      <c r="G27" s="105"/>
      <c r="W27" s="92"/>
      <c r="X27" s="91"/>
      <c r="Z27" s="90"/>
      <c r="AA27" s="90"/>
      <c r="AB27" s="90"/>
    </row>
    <row r="28" spans="2:28" x14ac:dyDescent="0.25">
      <c r="G28" s="105"/>
      <c r="W28" s="92"/>
      <c r="X28" s="91"/>
      <c r="Z28" s="90"/>
      <c r="AA28" s="90"/>
      <c r="AB28" s="90"/>
    </row>
    <row r="29" spans="2:28" x14ac:dyDescent="0.25">
      <c r="G29" s="105"/>
      <c r="K29" s="104" t="s">
        <v>375</v>
      </c>
      <c r="W29" s="92"/>
      <c r="X29" s="91"/>
      <c r="Z29" s="90"/>
      <c r="AA29" s="90"/>
      <c r="AB29" s="90"/>
    </row>
    <row r="30" spans="2:28" x14ac:dyDescent="0.25">
      <c r="G30" s="105"/>
      <c r="W30" s="92"/>
      <c r="X30" s="91"/>
      <c r="Z30" s="90"/>
      <c r="AA30" s="90"/>
      <c r="AB30" s="90"/>
    </row>
    <row r="31" spans="2:28" x14ac:dyDescent="0.25">
      <c r="G31" s="105"/>
      <c r="W31" s="92"/>
      <c r="X31" s="91"/>
      <c r="Z31" s="90"/>
      <c r="AA31" s="90"/>
      <c r="AB31" s="90"/>
    </row>
    <row r="32" spans="2:28" x14ac:dyDescent="0.25">
      <c r="G32" s="105"/>
      <c r="H32" s="105"/>
      <c r="W32" s="92"/>
      <c r="X32" s="91"/>
      <c r="Z32" s="90"/>
      <c r="AA32" s="90"/>
      <c r="AB32" s="90"/>
    </row>
    <row r="33" spans="7:28" x14ac:dyDescent="0.25">
      <c r="G33" s="105"/>
      <c r="H33" s="105"/>
      <c r="W33" s="92"/>
      <c r="X33" s="91"/>
      <c r="Z33" s="90"/>
      <c r="AA33" s="90"/>
      <c r="AB33" s="90"/>
    </row>
    <row r="34" spans="7:28" x14ac:dyDescent="0.25">
      <c r="G34" s="105"/>
      <c r="H34" s="105"/>
      <c r="W34" s="92"/>
      <c r="X34" s="91"/>
      <c r="Z34" s="90"/>
      <c r="AA34" s="90"/>
      <c r="AB34" s="90"/>
    </row>
    <row r="35" spans="7:28" x14ac:dyDescent="0.25">
      <c r="G35" s="105"/>
      <c r="H35" s="105"/>
      <c r="W35" s="92"/>
      <c r="X35" s="91"/>
      <c r="Z35" s="90"/>
      <c r="AA35" s="90"/>
      <c r="AB35" s="90"/>
    </row>
    <row r="36" spans="7:28" x14ac:dyDescent="0.25">
      <c r="G36" s="105"/>
      <c r="H36" s="105"/>
      <c r="W36" s="92"/>
      <c r="X36" s="91"/>
      <c r="Z36" s="90"/>
      <c r="AA36" s="90"/>
      <c r="AB36" s="90"/>
    </row>
    <row r="37" spans="7:28" x14ac:dyDescent="0.25">
      <c r="G37" s="105"/>
      <c r="H37" s="105"/>
      <c r="W37" s="92"/>
      <c r="X37" s="91"/>
      <c r="Z37" s="90"/>
      <c r="AA37" s="90"/>
      <c r="AB37" s="90"/>
    </row>
    <row r="38" spans="7:28" x14ac:dyDescent="0.25">
      <c r="G38" s="105"/>
      <c r="H38" s="105"/>
      <c r="I38" s="91"/>
      <c r="W38" s="92"/>
      <c r="X38" s="91"/>
      <c r="Z38" s="90"/>
      <c r="AA38" s="90"/>
      <c r="AB38" s="90"/>
    </row>
    <row r="39" spans="7:28" x14ac:dyDescent="0.25">
      <c r="G39" s="105"/>
      <c r="H39" s="105"/>
      <c r="I39" s="91"/>
      <c r="W39" s="92"/>
      <c r="X39" s="91"/>
      <c r="Z39" s="90"/>
      <c r="AA39" s="90"/>
      <c r="AB39" s="90"/>
    </row>
    <row r="40" spans="7:28" x14ac:dyDescent="0.25">
      <c r="G40" s="105"/>
      <c r="H40" s="105"/>
      <c r="I40" s="91"/>
      <c r="W40" s="92"/>
      <c r="X40" s="91"/>
      <c r="Z40" s="90"/>
      <c r="AA40" s="90"/>
      <c r="AB40" s="90"/>
    </row>
    <row r="41" spans="7:28" x14ac:dyDescent="0.25">
      <c r="G41" s="105"/>
      <c r="H41" s="105"/>
      <c r="I41" s="91"/>
      <c r="W41" s="92"/>
      <c r="X41" s="91"/>
      <c r="Z41" s="90"/>
      <c r="AA41" s="90"/>
      <c r="AB41" s="90"/>
    </row>
    <row r="42" spans="7:28" x14ac:dyDescent="0.25">
      <c r="G42" s="105"/>
      <c r="H42" s="105"/>
      <c r="I42" s="91"/>
      <c r="W42" s="92"/>
      <c r="X42" s="91"/>
      <c r="Z42" s="90"/>
      <c r="AA42" s="90"/>
      <c r="AB42" s="90"/>
    </row>
    <row r="43" spans="7:28" x14ac:dyDescent="0.25">
      <c r="G43" s="105"/>
      <c r="H43" s="105"/>
      <c r="I43" s="91"/>
      <c r="X43" s="92"/>
    </row>
    <row r="44" spans="7:28" x14ac:dyDescent="0.25">
      <c r="G44" s="105"/>
      <c r="H44" s="105"/>
      <c r="I44" s="91"/>
      <c r="X44" s="92"/>
    </row>
    <row r="45" spans="7:28" x14ac:dyDescent="0.25">
      <c r="G45" s="105"/>
      <c r="H45" s="105"/>
      <c r="I45" s="91"/>
      <c r="X45" s="92"/>
    </row>
    <row r="46" spans="7:28" x14ac:dyDescent="0.25">
      <c r="G46" s="105"/>
      <c r="H46" s="105"/>
      <c r="I46" s="91"/>
      <c r="X46" s="92"/>
    </row>
    <row r="47" spans="7:28" x14ac:dyDescent="0.25">
      <c r="G47" s="105"/>
      <c r="H47" s="105"/>
      <c r="I47" s="91"/>
    </row>
    <row r="48" spans="7:28" x14ac:dyDescent="0.25">
      <c r="G48" s="105"/>
      <c r="H48" s="105"/>
      <c r="I48" s="91"/>
    </row>
    <row r="49" spans="7:9" x14ac:dyDescent="0.25">
      <c r="G49" s="105"/>
      <c r="H49" s="105"/>
      <c r="I49" s="91"/>
    </row>
    <row r="50" spans="7:9" x14ac:dyDescent="0.25">
      <c r="G50" s="105"/>
      <c r="H50" s="105"/>
      <c r="I50" s="91"/>
    </row>
    <row r="51" spans="7:9" x14ac:dyDescent="0.25">
      <c r="G51" s="105"/>
      <c r="H51" s="105"/>
      <c r="I51" s="91"/>
    </row>
    <row r="52" spans="7:9" x14ac:dyDescent="0.25">
      <c r="G52" s="105"/>
      <c r="H52" s="105"/>
      <c r="I52" s="91"/>
    </row>
    <row r="53" spans="7:9" x14ac:dyDescent="0.25">
      <c r="G53" s="105"/>
      <c r="H53" s="105"/>
      <c r="I53" s="91"/>
    </row>
    <row r="54" spans="7:9" x14ac:dyDescent="0.25">
      <c r="G54" s="105"/>
      <c r="H54" s="105"/>
      <c r="I54" s="91"/>
    </row>
    <row r="55" spans="7:9" x14ac:dyDescent="0.25">
      <c r="G55" s="105"/>
      <c r="H55" s="105"/>
      <c r="I55" s="91"/>
    </row>
    <row r="56" spans="7:9" x14ac:dyDescent="0.25">
      <c r="G56" s="105"/>
      <c r="H56" s="105"/>
      <c r="I56" s="91"/>
    </row>
    <row r="57" spans="7:9" x14ac:dyDescent="0.25">
      <c r="G57" s="105"/>
      <c r="H57" s="105"/>
      <c r="I57" s="91"/>
    </row>
    <row r="58" spans="7:9" x14ac:dyDescent="0.25">
      <c r="G58" s="105"/>
      <c r="H58" s="105"/>
      <c r="I58" s="91"/>
    </row>
    <row r="59" spans="7:9" x14ac:dyDescent="0.25">
      <c r="G59" s="105"/>
      <c r="H59" s="105"/>
      <c r="I59" s="91"/>
    </row>
    <row r="60" spans="7:9" x14ac:dyDescent="0.25">
      <c r="G60" s="105"/>
      <c r="H60" s="105"/>
      <c r="I60" s="91"/>
    </row>
    <row r="61" spans="7:9" x14ac:dyDescent="0.25">
      <c r="G61" s="105"/>
      <c r="H61" s="105"/>
      <c r="I61" s="91"/>
    </row>
    <row r="62" spans="7:9" x14ac:dyDescent="0.25">
      <c r="G62" s="105"/>
      <c r="H62" s="105"/>
      <c r="I62" s="91"/>
    </row>
    <row r="63" spans="7:9" x14ac:dyDescent="0.25">
      <c r="G63" s="105"/>
      <c r="H63" s="105"/>
      <c r="I63" s="91"/>
    </row>
    <row r="64" spans="7:9" x14ac:dyDescent="0.25">
      <c r="G64" s="105"/>
      <c r="H64" s="105"/>
      <c r="I64" s="91"/>
    </row>
    <row r="65" spans="7:9" x14ac:dyDescent="0.25">
      <c r="G65" s="105"/>
      <c r="H65" s="105"/>
      <c r="I65" s="91"/>
    </row>
    <row r="66" spans="7:9" x14ac:dyDescent="0.25">
      <c r="G66" s="105"/>
      <c r="H66" s="105"/>
      <c r="I66" s="91"/>
    </row>
    <row r="67" spans="7:9" x14ac:dyDescent="0.25">
      <c r="G67" s="105"/>
      <c r="H67" s="105"/>
      <c r="I67" s="91"/>
    </row>
    <row r="68" spans="7:9" x14ac:dyDescent="0.25">
      <c r="G68" s="105"/>
      <c r="H68" s="105"/>
      <c r="I68" s="91"/>
    </row>
    <row r="69" spans="7:9" x14ac:dyDescent="0.25">
      <c r="G69" s="105"/>
      <c r="H69" s="105"/>
      <c r="I69" s="91"/>
    </row>
    <row r="70" spans="7:9" x14ac:dyDescent="0.25">
      <c r="G70" s="105"/>
      <c r="H70" s="105"/>
      <c r="I70" s="91"/>
    </row>
    <row r="71" spans="7:9" x14ac:dyDescent="0.25">
      <c r="G71" s="105"/>
      <c r="H71" s="105"/>
      <c r="I71" s="91"/>
    </row>
    <row r="72" spans="7:9" x14ac:dyDescent="0.25">
      <c r="G72" s="105"/>
      <c r="H72" s="105"/>
      <c r="I72" s="91"/>
    </row>
    <row r="73" spans="7:9" x14ac:dyDescent="0.25">
      <c r="G73" s="105"/>
      <c r="H73" s="105"/>
      <c r="I73" s="91"/>
    </row>
    <row r="74" spans="7:9" x14ac:dyDescent="0.25">
      <c r="G74" s="105"/>
      <c r="H74" s="105"/>
      <c r="I74" s="91"/>
    </row>
    <row r="75" spans="7:9" x14ac:dyDescent="0.25">
      <c r="G75" s="105"/>
      <c r="H75" s="105"/>
      <c r="I75" s="91"/>
    </row>
    <row r="76" spans="7:9" x14ac:dyDescent="0.25">
      <c r="G76" s="105"/>
      <c r="H76" s="105"/>
      <c r="I76" s="91"/>
    </row>
    <row r="77" spans="7:9" x14ac:dyDescent="0.25">
      <c r="G77" s="105"/>
      <c r="H77" s="105"/>
      <c r="I77" s="91"/>
    </row>
    <row r="78" spans="7:9" x14ac:dyDescent="0.25">
      <c r="G78" s="105"/>
      <c r="H78" s="105"/>
      <c r="I78" s="91"/>
    </row>
    <row r="79" spans="7:9" x14ac:dyDescent="0.25">
      <c r="G79" s="105"/>
      <c r="H79" s="105"/>
      <c r="I79" s="91"/>
    </row>
    <row r="80" spans="7:9" x14ac:dyDescent="0.25">
      <c r="G80" s="105"/>
      <c r="H80" s="105"/>
      <c r="I80" s="91"/>
    </row>
    <row r="81" spans="7:9" x14ac:dyDescent="0.25">
      <c r="G81" s="105"/>
      <c r="H81" s="105"/>
      <c r="I81" s="91"/>
    </row>
    <row r="82" spans="7:9" x14ac:dyDescent="0.25">
      <c r="G82" s="105"/>
      <c r="H82" s="105"/>
      <c r="I82" s="91"/>
    </row>
    <row r="83" spans="7:9" x14ac:dyDescent="0.25">
      <c r="G83" s="105"/>
      <c r="H83" s="105"/>
      <c r="I83" s="91"/>
    </row>
    <row r="84" spans="7:9" x14ac:dyDescent="0.25">
      <c r="G84" s="105"/>
      <c r="H84" s="105"/>
      <c r="I84" s="91"/>
    </row>
    <row r="85" spans="7:9" x14ac:dyDescent="0.25">
      <c r="G85" s="105"/>
      <c r="H85" s="105"/>
      <c r="I85" s="91"/>
    </row>
    <row r="86" spans="7:9" x14ac:dyDescent="0.25">
      <c r="G86" s="105"/>
      <c r="H86" s="105"/>
      <c r="I86" s="91"/>
    </row>
    <row r="87" spans="7:9" x14ac:dyDescent="0.25">
      <c r="G87" s="105"/>
      <c r="H87" s="105"/>
      <c r="I87" s="91"/>
    </row>
    <row r="88" spans="7:9" x14ac:dyDescent="0.25">
      <c r="G88" s="105"/>
      <c r="H88" s="105"/>
      <c r="I88" s="91"/>
    </row>
    <row r="89" spans="7:9" x14ac:dyDescent="0.25">
      <c r="G89" s="105"/>
      <c r="H89" s="105"/>
      <c r="I89" s="91"/>
    </row>
    <row r="90" spans="7:9" x14ac:dyDescent="0.25">
      <c r="G90" s="105"/>
      <c r="H90" s="105"/>
      <c r="I90" s="91"/>
    </row>
    <row r="91" spans="7:9" x14ac:dyDescent="0.25">
      <c r="G91" s="105"/>
      <c r="H91" s="105"/>
      <c r="I91" s="91"/>
    </row>
    <row r="92" spans="7:9" x14ac:dyDescent="0.25">
      <c r="G92" s="105"/>
      <c r="H92" s="105"/>
      <c r="I92" s="91"/>
    </row>
    <row r="93" spans="7:9" x14ac:dyDescent="0.25">
      <c r="G93" s="105"/>
      <c r="H93" s="105"/>
      <c r="I93" s="91"/>
    </row>
    <row r="94" spans="7:9" x14ac:dyDescent="0.25">
      <c r="G94" s="105"/>
      <c r="H94" s="105"/>
      <c r="I94" s="91"/>
    </row>
    <row r="95" spans="7:9" x14ac:dyDescent="0.25">
      <c r="G95" s="105"/>
      <c r="H95" s="105"/>
      <c r="I95" s="91"/>
    </row>
    <row r="96" spans="7:9" x14ac:dyDescent="0.25">
      <c r="G96" s="105"/>
      <c r="H96" s="105"/>
      <c r="I96" s="91"/>
    </row>
    <row r="97" spans="7:9" x14ac:dyDescent="0.25">
      <c r="G97" s="105"/>
      <c r="H97" s="105"/>
      <c r="I97" s="91"/>
    </row>
    <row r="98" spans="7:9" x14ac:dyDescent="0.25">
      <c r="H98" s="105"/>
      <c r="I98" s="91"/>
    </row>
    <row r="99" spans="7:9" x14ac:dyDescent="0.25">
      <c r="H99" s="105"/>
      <c r="I99" s="91"/>
    </row>
    <row r="100" spans="7:9" x14ac:dyDescent="0.25">
      <c r="H100" s="105"/>
      <c r="I100" s="91"/>
    </row>
    <row r="101" spans="7:9" x14ac:dyDescent="0.25">
      <c r="H101" s="105"/>
      <c r="I101" s="91"/>
    </row>
    <row r="102" spans="7:9" x14ac:dyDescent="0.25">
      <c r="H102" s="105"/>
      <c r="I102" s="91"/>
    </row>
    <row r="103" spans="7:9" x14ac:dyDescent="0.25">
      <c r="H103" s="105"/>
    </row>
    <row r="104" spans="7:9" x14ac:dyDescent="0.25">
      <c r="H104" s="105"/>
    </row>
    <row r="122" spans="19:20" x14ac:dyDescent="0.25">
      <c r="S122" s="106"/>
      <c r="T122" s="91"/>
    </row>
    <row r="123" spans="19:20" x14ac:dyDescent="0.25">
      <c r="S123" s="106"/>
      <c r="T123" s="91"/>
    </row>
    <row r="124" spans="19:20" x14ac:dyDescent="0.25">
      <c r="S124" s="106"/>
      <c r="T124" s="91"/>
    </row>
    <row r="125" spans="19:20" x14ac:dyDescent="0.25">
      <c r="S125" s="106"/>
      <c r="T125" s="91"/>
    </row>
    <row r="126" spans="19:20" x14ac:dyDescent="0.25">
      <c r="S126" s="106"/>
      <c r="T126" s="91"/>
    </row>
    <row r="127" spans="19:20" x14ac:dyDescent="0.25">
      <c r="S127" s="106"/>
      <c r="T127" s="91"/>
    </row>
    <row r="128" spans="19:20" x14ac:dyDescent="0.25">
      <c r="S128" s="106"/>
      <c r="T128" s="91"/>
    </row>
    <row r="129" spans="19:20" x14ac:dyDescent="0.25">
      <c r="S129" s="106"/>
      <c r="T129" s="91"/>
    </row>
    <row r="130" spans="19:20" x14ac:dyDescent="0.25">
      <c r="S130" s="106"/>
      <c r="T130" s="91"/>
    </row>
    <row r="131" spans="19:20" x14ac:dyDescent="0.25">
      <c r="S131" s="106"/>
      <c r="T131" s="91"/>
    </row>
    <row r="132" spans="19:20" x14ac:dyDescent="0.25">
      <c r="S132" s="106"/>
      <c r="T132" s="91"/>
    </row>
    <row r="133" spans="19:20" x14ac:dyDescent="0.25">
      <c r="S133" s="106"/>
      <c r="T133" s="91"/>
    </row>
    <row r="134" spans="19:20" x14ac:dyDescent="0.25">
      <c r="S134" s="106"/>
      <c r="T134" s="91"/>
    </row>
    <row r="135" spans="19:20" x14ac:dyDescent="0.25">
      <c r="S135" s="106"/>
      <c r="T135" s="91"/>
    </row>
    <row r="136" spans="19:20" x14ac:dyDescent="0.25">
      <c r="S136" s="106"/>
      <c r="T136" s="91"/>
    </row>
    <row r="137" spans="19:20" x14ac:dyDescent="0.25">
      <c r="S137" s="106"/>
      <c r="T137" s="91"/>
    </row>
  </sheetData>
  <pageMargins left="0.7" right="0.7" top="0.75" bottom="0.75" header="0.3" footer="0.3"/>
  <pageSetup orientation="portrait" horizontalDpi="1200" verticalDpi="120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91CA4B23D946459A89445799E6F7DF" ma:contentTypeVersion="18" ma:contentTypeDescription="Create a new document." ma:contentTypeScope="" ma:versionID="853e6b990e61073bbdf98615927b94a4">
  <xsd:schema xmlns:xsd="http://www.w3.org/2001/XMLSchema" xmlns:xs="http://www.w3.org/2001/XMLSchema" xmlns:p="http://schemas.microsoft.com/office/2006/metadata/properties" xmlns:ns1="http://schemas.microsoft.com/sharepoint/v3" xmlns:ns2="bbe00575-f1e3-4324-ac25-69cff9ca28ce" xmlns:ns3="dd486ada-b033-43f8-9561-82d9abe8172f" xmlns:ns4="31062a0d-ede8-4112-b4bb-00a9c1bc8e16" targetNamespace="http://schemas.microsoft.com/office/2006/metadata/properties" ma:root="true" ma:fieldsID="fb70753538ad03ddbfe9aa53c52af9d5" ns1:_="" ns2:_="" ns3:_="" ns4:_="">
    <xsd:import namespace="http://schemas.microsoft.com/sharepoint/v3"/>
    <xsd:import namespace="bbe00575-f1e3-4324-ac25-69cff9ca28ce"/>
    <xsd:import namespace="dd486ada-b033-43f8-9561-82d9abe8172f"/>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e00575-f1e3-4324-ac25-69cff9ca28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486ada-b033-43f8-9561-82d9abe817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8b0895f8-c2f6-48b1-9565-6d9f2e006cfc}" ma:internalName="TaxCatchAll" ma:showField="CatchAllData" ma:web="dd486ada-b033-43f8-9561-82d9abe817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bbe00575-f1e3-4324-ac25-69cff9ca28ce">
      <Terms xmlns="http://schemas.microsoft.com/office/infopath/2007/PartnerControls"/>
    </lcf76f155ced4ddcb4097134ff3c332f>
    <TaxCatchAll xmlns="31062a0d-ede8-4112-b4bb-00a9c1bc8e16" xsi:nil="true"/>
  </documentManagement>
</p:properties>
</file>

<file path=customXml/itemProps1.xml><?xml version="1.0" encoding="utf-8"?>
<ds:datastoreItem xmlns:ds="http://schemas.openxmlformats.org/officeDocument/2006/customXml" ds:itemID="{F653542C-E383-409F-BE30-4CA33C2149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be00575-f1e3-4324-ac25-69cff9ca28ce"/>
    <ds:schemaRef ds:uri="dd486ada-b033-43f8-9561-82d9abe8172f"/>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1884B0-3577-4AE3-A5BB-48B679B87351}">
  <ds:schemaRefs>
    <ds:schemaRef ds:uri="http://schemas.microsoft.com/sharepoint/v3/contenttype/forms"/>
  </ds:schemaRefs>
</ds:datastoreItem>
</file>

<file path=customXml/itemProps3.xml><?xml version="1.0" encoding="utf-8"?>
<ds:datastoreItem xmlns:ds="http://schemas.openxmlformats.org/officeDocument/2006/customXml" ds:itemID="{596E19C6-87F5-4969-B5FD-43F657802846}">
  <ds:schemaRefs>
    <ds:schemaRef ds:uri="http://schemas.microsoft.com/office/2006/metadata/properties"/>
    <ds:schemaRef ds:uri="http://www.w3.org/XML/1998/namespace"/>
    <ds:schemaRef ds:uri="dd486ada-b033-43f8-9561-82d9abe8172f"/>
    <ds:schemaRef ds:uri="http://purl.org/dc/elements/1.1/"/>
    <ds:schemaRef ds:uri="http://schemas.microsoft.com/office/2006/documentManagement/types"/>
    <ds:schemaRef ds:uri="http://schemas.openxmlformats.org/package/2006/metadata/core-properties"/>
    <ds:schemaRef ds:uri="http://purl.org/dc/dcmitype/"/>
    <ds:schemaRef ds:uri="http://purl.org/dc/terms/"/>
    <ds:schemaRef ds:uri="http://schemas.microsoft.com/sharepoint/v3"/>
    <ds:schemaRef ds:uri="http://schemas.microsoft.com/office/infopath/2007/PartnerControls"/>
    <ds:schemaRef ds:uri="31062a0d-ede8-4112-b4bb-00a9c1bc8e16"/>
    <ds:schemaRef ds:uri="bbe00575-f1e3-4324-ac25-69cff9ca28ce"/>
  </ds:schemaRefs>
</ds:datastoreItem>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Metadata</vt:lpstr>
      <vt:lpstr>Issues</vt:lpstr>
      <vt:lpstr>UCC CHN 25-26</vt:lpstr>
      <vt:lpstr>LCC CHN 25-26</vt:lpstr>
      <vt:lpstr>LCC RBT 25-26</vt:lpstr>
      <vt:lpstr>LCC with UCC Fish</vt:lpstr>
      <vt:lpstr>LCC Tables &amp; Figures </vt:lpstr>
      <vt:lpstr>UCC Tables &amp; Figures </vt:lpstr>
    </vt:vector>
  </TitlesOfParts>
  <Manager/>
  <Company>US Fish and Wildlife Service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james_earley</dc:creator>
  <cp:keywords/>
  <dc:description/>
  <cp:lastModifiedBy>Wingerter, Natasha Y</cp:lastModifiedBy>
  <cp:revision/>
  <dcterms:created xsi:type="dcterms:W3CDTF">2005-10-28T18:57:37Z</dcterms:created>
  <dcterms:modified xsi:type="dcterms:W3CDTF">2026-08-03T13:54:11Z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0x010100ED91CA4B23D946459A89445799E6F7DF</vt:lpwstr>
  </property>
  <property fmtid="{D5CDD505-2E9C-101B-9397-08002B2CF9AE}" pid="3" name="MediaServiceImageTags">
    <vt:lpwstr/>
  </property>
</Properties>
</file>