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nigoPeng\Documents\Projects\JPE\Mill and Deer Creek\"/>
    </mc:Choice>
  </mc:AlternateContent>
  <xr:revisionPtr revIDLastSave="0" documentId="13_ncr:1_{8BBB2777-893E-4A4C-8D2C-D9A568072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07-2020 SR redds" sheetId="1" r:id="rId1"/>
    <sheet name="nearest temp-log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E17" i="1"/>
  <c r="G17" i="1"/>
  <c r="H7" i="1" s="1"/>
  <c r="I17" i="1"/>
  <c r="K17" i="1"/>
  <c r="L4" i="1" s="1"/>
  <c r="M17" i="1"/>
  <c r="N3" i="1" s="1"/>
  <c r="O17" i="1"/>
  <c r="P5" i="1" s="1"/>
  <c r="Q17" i="1"/>
  <c r="R5" i="1" s="1"/>
  <c r="S17" i="1"/>
  <c r="U17" i="1"/>
  <c r="AA17" i="1"/>
  <c r="AC17" i="1"/>
  <c r="AE17" i="1"/>
  <c r="AG17" i="1"/>
  <c r="AI17" i="1"/>
  <c r="AK17" i="1"/>
  <c r="AO17" i="1"/>
  <c r="AQ17" i="1"/>
  <c r="AS17" i="1"/>
  <c r="AU17" i="1"/>
  <c r="AW17" i="1"/>
  <c r="T4" i="1"/>
  <c r="J6" i="1"/>
  <c r="H11" i="1"/>
  <c r="F6" i="1"/>
  <c r="D4" i="1"/>
  <c r="V12" i="1"/>
  <c r="AD16" i="1"/>
  <c r="H4" i="1" l="1"/>
  <c r="H12" i="1"/>
  <c r="N15" i="1"/>
  <c r="J5" i="1"/>
  <c r="R13" i="1"/>
  <c r="D3" i="1"/>
  <c r="R9" i="1"/>
  <c r="L16" i="1"/>
  <c r="R4" i="1"/>
  <c r="L3" i="1"/>
  <c r="F10" i="1"/>
  <c r="H6" i="1"/>
  <c r="L15" i="1"/>
  <c r="N11" i="1"/>
  <c r="F14" i="1"/>
  <c r="F5" i="1"/>
  <c r="H3" i="1"/>
  <c r="L12" i="1"/>
  <c r="N6" i="1"/>
  <c r="T16" i="1"/>
  <c r="L11" i="1"/>
  <c r="T12" i="1"/>
  <c r="D12" i="1"/>
  <c r="H16" i="1"/>
  <c r="J14" i="1"/>
  <c r="L7" i="1"/>
  <c r="T7" i="1"/>
  <c r="D7" i="1"/>
  <c r="H15" i="1"/>
  <c r="J10" i="1"/>
  <c r="L6" i="1"/>
  <c r="R2" i="1"/>
  <c r="T3" i="1"/>
  <c r="D11" i="1"/>
  <c r="D6" i="1"/>
  <c r="F13" i="1"/>
  <c r="F9" i="1"/>
  <c r="F4" i="1"/>
  <c r="J13" i="1"/>
  <c r="J9" i="1"/>
  <c r="J4" i="1"/>
  <c r="N14" i="1"/>
  <c r="N10" i="1"/>
  <c r="N5" i="1"/>
  <c r="P2" i="1"/>
  <c r="P13" i="1"/>
  <c r="P9" i="1"/>
  <c r="P4" i="1"/>
  <c r="R16" i="1"/>
  <c r="R12" i="1"/>
  <c r="R7" i="1"/>
  <c r="R3" i="1"/>
  <c r="T15" i="1"/>
  <c r="T11" i="1"/>
  <c r="T6" i="1"/>
  <c r="D2" i="1"/>
  <c r="D10" i="1"/>
  <c r="D5" i="1"/>
  <c r="F16" i="1"/>
  <c r="F12" i="1"/>
  <c r="F7" i="1"/>
  <c r="F3" i="1"/>
  <c r="H14" i="1"/>
  <c r="H10" i="1"/>
  <c r="H5" i="1"/>
  <c r="J16" i="1"/>
  <c r="J12" i="1"/>
  <c r="J7" i="1"/>
  <c r="J3" i="1"/>
  <c r="L14" i="1"/>
  <c r="L10" i="1"/>
  <c r="L5" i="1"/>
  <c r="N2" i="1"/>
  <c r="N13" i="1"/>
  <c r="N9" i="1"/>
  <c r="N4" i="1"/>
  <c r="P16" i="1"/>
  <c r="P12" i="1"/>
  <c r="P7" i="1"/>
  <c r="P3" i="1"/>
  <c r="R15" i="1"/>
  <c r="R11" i="1"/>
  <c r="R6" i="1"/>
  <c r="T14" i="1"/>
  <c r="T10" i="1"/>
  <c r="T5" i="1"/>
  <c r="D13" i="1"/>
  <c r="D9" i="1"/>
  <c r="F15" i="1"/>
  <c r="F11" i="1"/>
  <c r="H13" i="1"/>
  <c r="H9" i="1"/>
  <c r="J15" i="1"/>
  <c r="J11" i="1"/>
  <c r="L13" i="1"/>
  <c r="L9" i="1"/>
  <c r="N16" i="1"/>
  <c r="N12" i="1"/>
  <c r="N7" i="1"/>
  <c r="P15" i="1"/>
  <c r="P11" i="1"/>
  <c r="P6" i="1"/>
  <c r="R14" i="1"/>
  <c r="R10" i="1"/>
  <c r="T2" i="1"/>
  <c r="T13" i="1"/>
  <c r="T9" i="1"/>
  <c r="P14" i="1"/>
  <c r="P10" i="1"/>
  <c r="V15" i="1"/>
  <c r="V5" i="1"/>
  <c r="V11" i="1"/>
  <c r="V2" i="1"/>
  <c r="V4" i="1"/>
  <c r="V14" i="1"/>
  <c r="V10" i="1"/>
  <c r="V7" i="1"/>
  <c r="V3" i="1"/>
  <c r="V13" i="1"/>
  <c r="V9" i="1"/>
  <c r="V6" i="1"/>
  <c r="V16" i="1"/>
  <c r="AL14" i="1" l="1"/>
  <c r="AJ12" i="1"/>
  <c r="AH15" i="1"/>
  <c r="AF15" i="1"/>
  <c r="AN15" i="1"/>
  <c r="AD15" i="1"/>
  <c r="AB15" i="1"/>
  <c r="Z15" i="1"/>
  <c r="X15" i="1"/>
  <c r="AN14" i="1"/>
  <c r="AD14" i="1"/>
  <c r="AB14" i="1"/>
  <c r="Z14" i="1"/>
  <c r="X14" i="1"/>
  <c r="AN13" i="1"/>
  <c r="AD13" i="1"/>
  <c r="AB13" i="1"/>
  <c r="Z13" i="1"/>
  <c r="X13" i="1"/>
  <c r="AN12" i="1"/>
  <c r="AD12" i="1"/>
  <c r="AB12" i="1"/>
  <c r="Z12" i="1"/>
  <c r="X12" i="1"/>
  <c r="AN11" i="1"/>
  <c r="AD11" i="1"/>
  <c r="AB11" i="1"/>
  <c r="Z11" i="1"/>
  <c r="X11" i="1"/>
  <c r="AN10" i="1"/>
  <c r="AD10" i="1"/>
  <c r="AB10" i="1"/>
  <c r="Z10" i="1"/>
  <c r="X10" i="1"/>
  <c r="AN9" i="1"/>
  <c r="AD9" i="1"/>
  <c r="AB9" i="1"/>
  <c r="Z9" i="1"/>
  <c r="X9" i="1"/>
  <c r="AN8" i="1"/>
  <c r="AD8" i="1"/>
  <c r="AB8" i="1"/>
  <c r="Z8" i="1"/>
  <c r="X8" i="1"/>
  <c r="AN7" i="1"/>
  <c r="AD7" i="1"/>
  <c r="AB7" i="1"/>
  <c r="Z7" i="1"/>
  <c r="X7" i="1"/>
  <c r="AN6" i="1"/>
  <c r="AD6" i="1"/>
  <c r="AB6" i="1"/>
  <c r="Z6" i="1"/>
  <c r="X6" i="1"/>
  <c r="AN5" i="1"/>
  <c r="AD5" i="1"/>
  <c r="AB5" i="1"/>
  <c r="Z5" i="1"/>
  <c r="X5" i="1"/>
  <c r="AN4" i="1"/>
  <c r="AD4" i="1"/>
  <c r="AB4" i="1"/>
  <c r="Z4" i="1"/>
  <c r="X4" i="1"/>
  <c r="AN3" i="1"/>
  <c r="AD3" i="1"/>
  <c r="X3" i="1"/>
  <c r="AN2" i="1"/>
  <c r="AD2" i="1"/>
  <c r="Z2" i="1"/>
  <c r="X2" i="1"/>
  <c r="AP15" i="1" l="1"/>
  <c r="AV16" i="1"/>
  <c r="AT16" i="1"/>
  <c r="AX16" i="1"/>
  <c r="AF9" i="1"/>
  <c r="AF2" i="1"/>
  <c r="AF3" i="1"/>
  <c r="AP12" i="1"/>
  <c r="AH3" i="1"/>
  <c r="AH10" i="1"/>
  <c r="AH7" i="1"/>
  <c r="AH9" i="1"/>
  <c r="AL15" i="1"/>
  <c r="AF8" i="1"/>
  <c r="AF14" i="1"/>
  <c r="AL4" i="1"/>
  <c r="AF7" i="1"/>
  <c r="AH8" i="1"/>
  <c r="AH14" i="1"/>
  <c r="AF12" i="1"/>
  <c r="AF13" i="1"/>
  <c r="AH6" i="1"/>
  <c r="AF11" i="1"/>
  <c r="AH12" i="1"/>
  <c r="AH13" i="1"/>
  <c r="AF6" i="1"/>
  <c r="AF5" i="1"/>
  <c r="AH4" i="1"/>
  <c r="AH5" i="1"/>
  <c r="AP7" i="1"/>
  <c r="AP8" i="1"/>
  <c r="AF10" i="1"/>
  <c r="AH11" i="1"/>
  <c r="AL5" i="1"/>
  <c r="AL7" i="1"/>
  <c r="AL12" i="1"/>
  <c r="AF4" i="1"/>
  <c r="AP4" i="1"/>
  <c r="AP6" i="1"/>
  <c r="AP10" i="1"/>
  <c r="AP11" i="1"/>
  <c r="AP14" i="1"/>
  <c r="AJ7" i="1"/>
  <c r="AJ15" i="1"/>
  <c r="AL8" i="1"/>
  <c r="AJ11" i="1"/>
  <c r="AL11" i="1"/>
  <c r="AX3" i="1"/>
  <c r="AX11" i="1"/>
  <c r="AV10" i="1"/>
  <c r="AT3" i="1"/>
  <c r="AT11" i="1"/>
  <c r="AT4" i="1"/>
  <c r="AX5" i="1"/>
  <c r="AX13" i="1"/>
  <c r="AV4" i="1"/>
  <c r="AV12" i="1"/>
  <c r="AT5" i="1"/>
  <c r="AT13" i="1"/>
  <c r="AR9" i="1"/>
  <c r="AV14" i="1"/>
  <c r="AT15" i="1"/>
  <c r="AX8" i="1"/>
  <c r="AV15" i="1"/>
  <c r="AT2" i="1"/>
  <c r="AX10" i="1"/>
  <c r="AV9" i="1"/>
  <c r="AR14" i="1"/>
  <c r="AX4" i="1"/>
  <c r="AX6" i="1"/>
  <c r="AX14" i="1"/>
  <c r="AV5" i="1"/>
  <c r="AV13" i="1"/>
  <c r="AT6" i="1"/>
  <c r="AT14" i="1"/>
  <c r="AR10" i="1"/>
  <c r="AX7" i="1"/>
  <c r="AV6" i="1"/>
  <c r="AT7" i="1"/>
  <c r="AR11" i="1"/>
  <c r="AV7" i="1"/>
  <c r="AT8" i="1"/>
  <c r="AR12" i="1"/>
  <c r="AT10" i="1"/>
  <c r="AR15" i="1"/>
  <c r="AV11" i="1"/>
  <c r="AX15" i="1"/>
  <c r="AR6" i="1"/>
  <c r="AV3" i="1"/>
  <c r="AR8" i="1"/>
  <c r="AX9" i="1"/>
  <c r="AV8" i="1"/>
  <c r="AT9" i="1"/>
  <c r="AR5" i="1"/>
  <c r="AR13" i="1"/>
  <c r="AR7" i="1"/>
  <c r="AX12" i="1"/>
  <c r="AT12" i="1"/>
  <c r="AP13" i="1"/>
  <c r="AR4" i="1"/>
  <c r="AJ5" i="1"/>
  <c r="AJ9" i="1"/>
  <c r="AJ13" i="1"/>
  <c r="AL9" i="1"/>
  <c r="AL13" i="1"/>
  <c r="AJ6" i="1"/>
  <c r="AJ10" i="1"/>
  <c r="AJ14" i="1"/>
  <c r="AP5" i="1"/>
  <c r="AL6" i="1"/>
  <c r="AP9" i="1"/>
  <c r="AL10" i="1"/>
  <c r="AJ3" i="1"/>
  <c r="AJ4" i="1"/>
  <c r="AJ8" i="1"/>
</calcChain>
</file>

<file path=xl/sharedStrings.xml><?xml version="1.0" encoding="utf-8"?>
<sst xmlns="http://schemas.openxmlformats.org/spreadsheetml/2006/main" count="168" uniqueCount="96">
  <si>
    <t>2007 redd count</t>
  </si>
  <si>
    <t>2007 % by reach</t>
  </si>
  <si>
    <t>2008 redd count</t>
  </si>
  <si>
    <t>2008 % by reach</t>
  </si>
  <si>
    <t>2009 redd count</t>
  </si>
  <si>
    <t>2009 % by reach</t>
  </si>
  <si>
    <t>2010 redd count</t>
  </si>
  <si>
    <t>2010 % by reach</t>
  </si>
  <si>
    <t>2011 redd count</t>
  </si>
  <si>
    <t>2011 % by reach</t>
  </si>
  <si>
    <t>2012 redd count</t>
  </si>
  <si>
    <t>2012 % by reach</t>
  </si>
  <si>
    <t>2013 redd count</t>
  </si>
  <si>
    <t>2013 % by reach</t>
  </si>
  <si>
    <t>2014 redd count</t>
  </si>
  <si>
    <t>2014 % by reach</t>
  </si>
  <si>
    <t>2015 redd count</t>
  </si>
  <si>
    <t>2015 % by reach</t>
  </si>
  <si>
    <t>2016 redd count</t>
  </si>
  <si>
    <t>2016 % by reach</t>
  </si>
  <si>
    <t>Section</t>
  </si>
  <si>
    <t>Above Hwy 36</t>
  </si>
  <si>
    <t>Hwy 36 to Little HIG</t>
  </si>
  <si>
    <t>Litte HIG to HIG</t>
  </si>
  <si>
    <t xml:space="preserve">HIG to Ishi Trail Head   </t>
  </si>
  <si>
    <t xml:space="preserve">Ishi Trail Head to Big Bend   </t>
  </si>
  <si>
    <t xml:space="preserve">Big Bend to Canyon Camp  </t>
  </si>
  <si>
    <t>Canyon Camp to Sooner</t>
  </si>
  <si>
    <t>Sooner to McCarty</t>
  </si>
  <si>
    <t>McCarty to Savercool</t>
  </si>
  <si>
    <t>Savercool to Black Rock</t>
  </si>
  <si>
    <t>Black Rock to below Ranch House</t>
  </si>
  <si>
    <t>Above Avery to Pape</t>
  </si>
  <si>
    <t xml:space="preserve"> </t>
  </si>
  <si>
    <t>2017 redd count</t>
  </si>
  <si>
    <t>2017 % by reach</t>
  </si>
  <si>
    <t>2018 redd count</t>
  </si>
  <si>
    <t>2018 % by reach</t>
  </si>
  <si>
    <t>2019 redd count</t>
  </si>
  <si>
    <t>2019 % by reach</t>
  </si>
  <si>
    <t>2020 redd count</t>
  </si>
  <si>
    <t>2020 % by reach</t>
  </si>
  <si>
    <t xml:space="preserve">Ranch House to above Avery   </t>
  </si>
  <si>
    <t xml:space="preserve">Pape to Buckhorn Gulch </t>
  </si>
  <si>
    <t>Nearest Temp Logger</t>
  </si>
  <si>
    <t>Lat</t>
  </si>
  <si>
    <t>Long</t>
  </si>
  <si>
    <t>Rancheria</t>
  </si>
  <si>
    <t>Black Rock</t>
  </si>
  <si>
    <t>Sooner</t>
  </si>
  <si>
    <t>Hole in Ground</t>
  </si>
  <si>
    <t>Little Hole in Ground</t>
  </si>
  <si>
    <t>Redd Survey Section</t>
  </si>
  <si>
    <t>Brokenshire</t>
  </si>
  <si>
    <t>2006 % by reach</t>
  </si>
  <si>
    <t>2006 redd count</t>
  </si>
  <si>
    <t>Buckhorn Gulch to Upper Dam (aerial survey)</t>
  </si>
  <si>
    <t>n/s</t>
  </si>
  <si>
    <t>*</t>
  </si>
  <si>
    <t xml:space="preserve">Below Ranch House to above Avery   </t>
  </si>
  <si>
    <t>Above Avery to Pape Place</t>
  </si>
  <si>
    <t xml:space="preserve">Pape Place to Buckhorn Gulch </t>
  </si>
  <si>
    <t>Savercool Place  to Black Rock</t>
  </si>
  <si>
    <t>McCarthy Place to Savercool Place</t>
  </si>
  <si>
    <t>Sooner Place to McCarthy Place</t>
  </si>
  <si>
    <t>Canyon Camp to Sooner Place</t>
  </si>
  <si>
    <t xml:space="preserve">Hole-in-Ground to Ishi Trail Head   </t>
  </si>
  <si>
    <t>Litte Hole-in-Ground to Hole-in-Ground</t>
  </si>
  <si>
    <t>Hwy 36 to Little Hole-in-Ground</t>
  </si>
  <si>
    <t>2005 redd count</t>
  </si>
  <si>
    <t>2005 % by reach</t>
  </si>
  <si>
    <t>2004 redd count</t>
  </si>
  <si>
    <t>2004 % by reach</t>
  </si>
  <si>
    <t>2003 redd count</t>
  </si>
  <si>
    <t>2003 % by reach</t>
  </si>
  <si>
    <t>2002 redd count</t>
  </si>
  <si>
    <t>2002 % by reach</t>
  </si>
  <si>
    <t>2001 redd count</t>
  </si>
  <si>
    <t>2001 % by reach</t>
  </si>
  <si>
    <t>2000 redd count</t>
  </si>
  <si>
    <t>2000 % by reach</t>
  </si>
  <si>
    <t>1999 redd count</t>
  </si>
  <si>
    <t>1999 % by reach</t>
  </si>
  <si>
    <t>1998 redd count</t>
  </si>
  <si>
    <t>1998 % by reach</t>
  </si>
  <si>
    <t>1997 redd count</t>
  </si>
  <si>
    <t>1997 % by reach</t>
  </si>
  <si>
    <t>5200'</t>
  </si>
  <si>
    <t>4800'</t>
  </si>
  <si>
    <t>4200'</t>
  </si>
  <si>
    <t>3800'</t>
  </si>
  <si>
    <t>2800'</t>
  </si>
  <si>
    <t>2100'</t>
  </si>
  <si>
    <t>1600'</t>
  </si>
  <si>
    <t>Total Redds Counted:</t>
  </si>
  <si>
    <t>Starting Elevevation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</si>
</sst>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name val="Aharoni"/>
      <charset val="177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0" borderId="0" xfId="1" applyFont="1" applyBorder="1"/>
    <xf numFmtId="0" fontId="0" fillId="0" borderId="0" xfId="0" applyAlignment="1">
      <alignment horizontal="center" vertical="center"/>
    </xf>
    <xf numFmtId="0" fontId="4" fillId="0" borderId="0" xfId="1" applyFont="1" applyFill="1" applyBorder="1"/>
    <xf numFmtId="0" fontId="5" fillId="0" borderId="2" xfId="1" applyFont="1" applyFill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7" fillId="0" borderId="0" xfId="1" applyFont="1" applyBorder="1"/>
    <xf numFmtId="0" fontId="7" fillId="0" borderId="0" xfId="1" applyFont="1" applyFill="1" applyBorder="1"/>
    <xf numFmtId="0" fontId="8" fillId="0" borderId="2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2" xfId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164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"/>
  <sheetViews>
    <sheetView tabSelected="1" workbookViewId="0">
      <selection activeCell="A25" sqref="A25"/>
    </sheetView>
  </sheetViews>
  <sheetFormatPr defaultRowHeight="15" x14ac:dyDescent="0.25"/>
  <cols>
    <col min="1" max="1" width="41" customWidth="1"/>
    <col min="2" max="2" width="19" customWidth="1"/>
    <col min="3" max="20" width="5.7109375" customWidth="1"/>
    <col min="21" max="21" width="6.85546875" customWidth="1"/>
    <col min="22" max="22" width="5.42578125" customWidth="1"/>
    <col min="23" max="24" width="5.7109375" customWidth="1"/>
    <col min="25" max="25" width="7.28515625" customWidth="1"/>
    <col min="26" max="37" width="5.7109375" customWidth="1"/>
    <col min="38" max="38" width="5.28515625" customWidth="1"/>
    <col min="39" max="39" width="7.140625" customWidth="1"/>
    <col min="40" max="40" width="6.28515625" customWidth="1"/>
    <col min="41" max="41" width="6.7109375" customWidth="1"/>
    <col min="42" max="42" width="6.140625" customWidth="1"/>
    <col min="43" max="43" width="6.7109375" customWidth="1"/>
    <col min="44" max="44" width="6.140625" customWidth="1"/>
    <col min="45" max="45" width="6.7109375" customWidth="1"/>
    <col min="46" max="46" width="6.140625" customWidth="1"/>
    <col min="47" max="47" width="6.7109375" customWidth="1"/>
    <col min="48" max="48" width="6.140625" customWidth="1"/>
    <col min="49" max="49" width="6.7109375" customWidth="1"/>
    <col min="50" max="50" width="6.140625" customWidth="1"/>
  </cols>
  <sheetData>
    <row r="1" spans="1:50" ht="15" customHeight="1" x14ac:dyDescent="0.25">
      <c r="A1" s="18" t="s">
        <v>20</v>
      </c>
      <c r="B1" s="19" t="s">
        <v>95</v>
      </c>
      <c r="C1" s="11" t="s">
        <v>85</v>
      </c>
      <c r="D1" s="20" t="s">
        <v>86</v>
      </c>
      <c r="E1" s="11" t="s">
        <v>83</v>
      </c>
      <c r="F1" s="20" t="s">
        <v>84</v>
      </c>
      <c r="G1" s="11" t="s">
        <v>81</v>
      </c>
      <c r="H1" s="20" t="s">
        <v>82</v>
      </c>
      <c r="I1" s="11" t="s">
        <v>79</v>
      </c>
      <c r="J1" s="20" t="s">
        <v>80</v>
      </c>
      <c r="K1" s="11" t="s">
        <v>77</v>
      </c>
      <c r="L1" s="20" t="s">
        <v>78</v>
      </c>
      <c r="M1" s="11" t="s">
        <v>75</v>
      </c>
      <c r="N1" s="20" t="s">
        <v>76</v>
      </c>
      <c r="O1" s="11" t="s">
        <v>73</v>
      </c>
      <c r="P1" s="20" t="s">
        <v>74</v>
      </c>
      <c r="Q1" s="11" t="s">
        <v>71</v>
      </c>
      <c r="R1" s="20" t="s">
        <v>72</v>
      </c>
      <c r="S1" s="11" t="s">
        <v>69</v>
      </c>
      <c r="T1" s="20" t="s">
        <v>70</v>
      </c>
      <c r="U1" s="11" t="s">
        <v>55</v>
      </c>
      <c r="V1" s="20" t="s">
        <v>54</v>
      </c>
      <c r="W1" s="11" t="s">
        <v>0</v>
      </c>
      <c r="X1" s="20" t="s">
        <v>1</v>
      </c>
      <c r="Y1" s="11" t="s">
        <v>2</v>
      </c>
      <c r="Z1" s="20" t="s">
        <v>3</v>
      </c>
      <c r="AA1" s="11" t="s">
        <v>4</v>
      </c>
      <c r="AB1" s="20" t="s">
        <v>5</v>
      </c>
      <c r="AC1" s="11" t="s">
        <v>6</v>
      </c>
      <c r="AD1" s="20" t="s">
        <v>7</v>
      </c>
      <c r="AE1" s="11" t="s">
        <v>8</v>
      </c>
      <c r="AF1" s="20" t="s">
        <v>9</v>
      </c>
      <c r="AG1" s="11" t="s">
        <v>10</v>
      </c>
      <c r="AH1" s="20" t="s">
        <v>11</v>
      </c>
      <c r="AI1" s="11" t="s">
        <v>12</v>
      </c>
      <c r="AJ1" s="20" t="s">
        <v>13</v>
      </c>
      <c r="AK1" s="11" t="s">
        <v>14</v>
      </c>
      <c r="AL1" s="20" t="s">
        <v>15</v>
      </c>
      <c r="AM1" s="11" t="s">
        <v>16</v>
      </c>
      <c r="AN1" s="20" t="s">
        <v>17</v>
      </c>
      <c r="AO1" s="11" t="s">
        <v>18</v>
      </c>
      <c r="AP1" s="20" t="s">
        <v>19</v>
      </c>
      <c r="AQ1" s="11" t="s">
        <v>34</v>
      </c>
      <c r="AR1" s="20" t="s">
        <v>35</v>
      </c>
      <c r="AS1" s="11" t="s">
        <v>36</v>
      </c>
      <c r="AT1" s="20" t="s">
        <v>37</v>
      </c>
      <c r="AU1" s="11" t="s">
        <v>38</v>
      </c>
      <c r="AV1" s="20" t="s">
        <v>39</v>
      </c>
      <c r="AW1" s="11" t="s">
        <v>40</v>
      </c>
      <c r="AX1" s="20" t="s">
        <v>41</v>
      </c>
    </row>
    <row r="2" spans="1:50" x14ac:dyDescent="0.25">
      <c r="A2" s="12" t="s">
        <v>21</v>
      </c>
      <c r="B2" s="12" t="s">
        <v>87</v>
      </c>
      <c r="C2" s="2">
        <v>0</v>
      </c>
      <c r="D2" s="21">
        <f t="shared" ref="D2:D7" si="0">(C2/$C$17)*100</f>
        <v>0</v>
      </c>
      <c r="E2" s="2" t="s">
        <v>57</v>
      </c>
      <c r="F2" s="21" t="s">
        <v>58</v>
      </c>
      <c r="G2" s="2" t="s">
        <v>57</v>
      </c>
      <c r="H2" s="21" t="s">
        <v>58</v>
      </c>
      <c r="I2" s="2" t="s">
        <v>57</v>
      </c>
      <c r="J2" s="21" t="s">
        <v>58</v>
      </c>
      <c r="K2" s="2" t="s">
        <v>57</v>
      </c>
      <c r="L2" s="21" t="s">
        <v>58</v>
      </c>
      <c r="M2" s="2">
        <v>12</v>
      </c>
      <c r="N2" s="21">
        <f t="shared" ref="N2:N7" si="1">(M2/$M$17)*100</f>
        <v>1.5056461731493098</v>
      </c>
      <c r="O2" s="2">
        <v>0</v>
      </c>
      <c r="P2" s="21">
        <f t="shared" ref="P2:P7" si="2">(O2/$O$17)*100</f>
        <v>0</v>
      </c>
      <c r="Q2" s="2">
        <v>0</v>
      </c>
      <c r="R2" s="21">
        <f t="shared" ref="R2:R7" si="3">(Q2/$Q$17)*100</f>
        <v>0</v>
      </c>
      <c r="S2" s="2">
        <v>7</v>
      </c>
      <c r="T2" s="21">
        <f t="shared" ref="T2:T7" si="4">(S2/$S$17)*100</f>
        <v>1.2173913043478262</v>
      </c>
      <c r="U2" s="2">
        <v>19</v>
      </c>
      <c r="V2" s="21">
        <f t="shared" ref="V2:V7" si="5">(U2/$U$17)*100</f>
        <v>3.7924151696606789</v>
      </c>
      <c r="W2" s="2">
        <v>3</v>
      </c>
      <c r="X2" s="21">
        <f>(W2/W17)*100</f>
        <v>0.65217391304347827</v>
      </c>
      <c r="Y2" s="2">
        <v>1</v>
      </c>
      <c r="Z2" s="21">
        <f>(Y2/Y17)*(100)</f>
        <v>0.55248618784530379</v>
      </c>
      <c r="AA2" s="2">
        <v>0</v>
      </c>
      <c r="AB2" s="21">
        <v>0</v>
      </c>
      <c r="AC2" s="2">
        <v>17</v>
      </c>
      <c r="AD2" s="21">
        <f>AC2/241*100</f>
        <v>7.0539419087136928</v>
      </c>
      <c r="AE2" s="2">
        <v>3</v>
      </c>
      <c r="AF2" s="21">
        <f t="shared" ref="AF2:AF15" si="6">AE2/$AE$17*100</f>
        <v>1.639344262295082</v>
      </c>
      <c r="AG2" s="2">
        <v>0</v>
      </c>
      <c r="AH2" s="21">
        <v>0</v>
      </c>
      <c r="AI2" s="2">
        <v>0</v>
      </c>
      <c r="AJ2" s="21">
        <v>0</v>
      </c>
      <c r="AK2" s="2" t="s">
        <v>57</v>
      </c>
      <c r="AL2" s="21" t="s">
        <v>58</v>
      </c>
      <c r="AM2" s="2">
        <v>0</v>
      </c>
      <c r="AN2" s="22">
        <f t="shared" ref="AN2:AN15" si="7">(AM2/$AM$17)*100</f>
        <v>0</v>
      </c>
      <c r="AO2" s="2" t="s">
        <v>57</v>
      </c>
      <c r="AP2" s="21" t="s">
        <v>58</v>
      </c>
      <c r="AQ2" s="2">
        <v>0</v>
      </c>
      <c r="AR2" s="21">
        <v>0</v>
      </c>
      <c r="AS2" s="2">
        <v>0</v>
      </c>
      <c r="AT2" s="21">
        <f t="shared" ref="AT2:AT16" si="8">(AS2/$AO$17)*100</f>
        <v>0</v>
      </c>
      <c r="AU2" s="2" t="s">
        <v>57</v>
      </c>
      <c r="AV2" s="21" t="s">
        <v>58</v>
      </c>
      <c r="AW2" s="2" t="s">
        <v>57</v>
      </c>
      <c r="AX2" s="21" t="s">
        <v>58</v>
      </c>
    </row>
    <row r="3" spans="1:50" x14ac:dyDescent="0.25">
      <c r="A3" s="12" t="s">
        <v>68</v>
      </c>
      <c r="B3" s="12" t="s">
        <v>88</v>
      </c>
      <c r="C3" s="2">
        <v>1</v>
      </c>
      <c r="D3" s="21">
        <f t="shared" si="0"/>
        <v>0.99009900990099009</v>
      </c>
      <c r="E3" s="2">
        <v>1</v>
      </c>
      <c r="F3" s="21">
        <f>(E3/$E$17)*100</f>
        <v>0.47169811320754718</v>
      </c>
      <c r="G3" s="2">
        <v>0</v>
      </c>
      <c r="H3" s="21">
        <f>(G3/$G$17)*100</f>
        <v>0</v>
      </c>
      <c r="I3" s="2">
        <v>0</v>
      </c>
      <c r="J3" s="21">
        <f>(I3/$I$17)*100</f>
        <v>0</v>
      </c>
      <c r="K3" s="2">
        <v>3</v>
      </c>
      <c r="L3" s="21">
        <f>(K3/$K$17)*100</f>
        <v>0.54545454545454553</v>
      </c>
      <c r="M3" s="2">
        <v>13</v>
      </c>
      <c r="N3" s="21">
        <f t="shared" si="1"/>
        <v>1.6311166875784191</v>
      </c>
      <c r="O3" s="2">
        <v>6</v>
      </c>
      <c r="P3" s="21">
        <f t="shared" si="2"/>
        <v>0.84151472650771386</v>
      </c>
      <c r="Q3" s="2">
        <v>1</v>
      </c>
      <c r="R3" s="21">
        <f t="shared" si="3"/>
        <v>0.20040080160320639</v>
      </c>
      <c r="S3" s="2">
        <v>10</v>
      </c>
      <c r="T3" s="21">
        <f t="shared" si="4"/>
        <v>1.7391304347826086</v>
      </c>
      <c r="U3" s="2">
        <v>28</v>
      </c>
      <c r="V3" s="21">
        <f t="shared" si="5"/>
        <v>5.5888223552894214</v>
      </c>
      <c r="W3" s="2">
        <v>17</v>
      </c>
      <c r="X3" s="21">
        <f>W3/W17*100</f>
        <v>3.6956521739130435</v>
      </c>
      <c r="Y3" s="2">
        <v>0</v>
      </c>
      <c r="Z3" s="21">
        <v>0</v>
      </c>
      <c r="AA3" s="2">
        <v>0</v>
      </c>
      <c r="AB3" s="21">
        <v>0</v>
      </c>
      <c r="AC3" s="2">
        <v>6</v>
      </c>
      <c r="AD3" s="21">
        <f t="shared" ref="AD3:AD16" si="9">AC3/241*100</f>
        <v>2.4896265560165975</v>
      </c>
      <c r="AE3" s="2">
        <v>3</v>
      </c>
      <c r="AF3" s="21">
        <f t="shared" si="6"/>
        <v>1.639344262295082</v>
      </c>
      <c r="AG3" s="2">
        <v>8</v>
      </c>
      <c r="AH3" s="21">
        <f t="shared" ref="AH3:AH15" si="10">AG3/$AG$17*100</f>
        <v>2.9520295202952029</v>
      </c>
      <c r="AI3" s="2">
        <v>3</v>
      </c>
      <c r="AJ3" s="21">
        <f t="shared" ref="AJ3:AJ15" si="11">(AI3/$AI$17)*100</f>
        <v>0.5</v>
      </c>
      <c r="AK3" s="2">
        <v>0</v>
      </c>
      <c r="AL3" s="21">
        <v>0</v>
      </c>
      <c r="AM3" s="2">
        <v>0</v>
      </c>
      <c r="AN3" s="22">
        <f t="shared" si="7"/>
        <v>0</v>
      </c>
      <c r="AO3" s="2">
        <v>0</v>
      </c>
      <c r="AP3" s="21">
        <v>0</v>
      </c>
      <c r="AQ3" s="2">
        <v>3</v>
      </c>
      <c r="AR3" s="21">
        <v>0</v>
      </c>
      <c r="AS3" s="2">
        <v>1</v>
      </c>
      <c r="AT3" s="21">
        <f t="shared" si="8"/>
        <v>2.1276595744680851</v>
      </c>
      <c r="AU3" s="2">
        <v>0</v>
      </c>
      <c r="AV3" s="21">
        <f t="shared" ref="AV3:AV16" si="12">(AU3/$AO$17)*100</f>
        <v>0</v>
      </c>
      <c r="AW3" s="2">
        <v>0</v>
      </c>
      <c r="AX3" s="21">
        <f t="shared" ref="AX3:AX16" si="13">(AW3/$AO$17)*100</f>
        <v>0</v>
      </c>
    </row>
    <row r="4" spans="1:50" x14ac:dyDescent="0.25">
      <c r="A4" s="12" t="s">
        <v>67</v>
      </c>
      <c r="B4" s="12"/>
      <c r="C4" s="2">
        <v>7</v>
      </c>
      <c r="D4" s="21">
        <f t="shared" si="0"/>
        <v>6.9306930693069315</v>
      </c>
      <c r="E4" s="2">
        <v>2</v>
      </c>
      <c r="F4" s="21">
        <f>(E4/$E$17)*100</f>
        <v>0.94339622641509435</v>
      </c>
      <c r="G4" s="2">
        <v>1</v>
      </c>
      <c r="H4" s="21">
        <f>(G4/$G$17)*100</f>
        <v>0.35714285714285715</v>
      </c>
      <c r="I4" s="2">
        <v>0</v>
      </c>
      <c r="J4" s="21">
        <f>(I4/$I$17)*100</f>
        <v>0</v>
      </c>
      <c r="K4" s="2">
        <v>19</v>
      </c>
      <c r="L4" s="21">
        <f>(K4/$K$17)*100</f>
        <v>3.4545454545454546</v>
      </c>
      <c r="M4" s="2">
        <v>23</v>
      </c>
      <c r="N4" s="21">
        <f t="shared" si="1"/>
        <v>2.8858218318695106</v>
      </c>
      <c r="O4" s="2">
        <v>14</v>
      </c>
      <c r="P4" s="21">
        <f t="shared" si="2"/>
        <v>1.9635343618513323</v>
      </c>
      <c r="Q4" s="2">
        <v>23</v>
      </c>
      <c r="R4" s="21">
        <f t="shared" si="3"/>
        <v>4.6092184368737472</v>
      </c>
      <c r="S4" s="2">
        <v>49</v>
      </c>
      <c r="T4" s="21">
        <f t="shared" si="4"/>
        <v>8.5217391304347831</v>
      </c>
      <c r="U4" s="2">
        <v>18</v>
      </c>
      <c r="V4" s="21">
        <f t="shared" si="5"/>
        <v>3.5928143712574849</v>
      </c>
      <c r="W4" s="2">
        <v>14</v>
      </c>
      <c r="X4" s="21">
        <f>W4/W17*100</f>
        <v>3.0434782608695654</v>
      </c>
      <c r="Y4" s="2">
        <v>5</v>
      </c>
      <c r="Z4" s="21">
        <f>(Y4/Y17)*(100)</f>
        <v>2.7624309392265194</v>
      </c>
      <c r="AA4" s="2">
        <v>5</v>
      </c>
      <c r="AB4" s="21">
        <f>(AA4/110)*100</f>
        <v>4.5454545454545459</v>
      </c>
      <c r="AC4" s="2">
        <v>4</v>
      </c>
      <c r="AD4" s="21">
        <f t="shared" si="9"/>
        <v>1.6597510373443984</v>
      </c>
      <c r="AE4" s="2">
        <v>10</v>
      </c>
      <c r="AF4" s="21">
        <f t="shared" si="6"/>
        <v>5.4644808743169397</v>
      </c>
      <c r="AG4" s="2">
        <v>10</v>
      </c>
      <c r="AH4" s="21">
        <f t="shared" si="10"/>
        <v>3.6900369003690034</v>
      </c>
      <c r="AI4" s="2">
        <v>16</v>
      </c>
      <c r="AJ4" s="21">
        <f t="shared" si="11"/>
        <v>2.666666666666667</v>
      </c>
      <c r="AK4" s="2">
        <v>2</v>
      </c>
      <c r="AL4" s="21">
        <f t="shared" ref="AL4:AL15" si="14">(AK4/$AK$17)*100</f>
        <v>0.90909090909090906</v>
      </c>
      <c r="AM4" s="2">
        <v>0</v>
      </c>
      <c r="AN4" s="22">
        <f t="shared" si="7"/>
        <v>0</v>
      </c>
      <c r="AO4" s="2">
        <v>1</v>
      </c>
      <c r="AP4" s="21">
        <f t="shared" ref="AP4:AP15" si="15">(AO4/$AO$17)*100</f>
        <v>2.1276595744680851</v>
      </c>
      <c r="AQ4" s="2">
        <v>3</v>
      </c>
      <c r="AR4" s="21">
        <f t="shared" ref="AR4:AR15" si="16">(AQ4/$AO$17)*100</f>
        <v>6.3829787234042552</v>
      </c>
      <c r="AS4" s="2">
        <v>15</v>
      </c>
      <c r="AT4" s="21">
        <f t="shared" si="8"/>
        <v>31.914893617021278</v>
      </c>
      <c r="AU4" s="2">
        <v>6</v>
      </c>
      <c r="AV4" s="21">
        <f t="shared" si="12"/>
        <v>12.76595744680851</v>
      </c>
      <c r="AW4" s="2">
        <v>0</v>
      </c>
      <c r="AX4" s="21">
        <f t="shared" si="13"/>
        <v>0</v>
      </c>
    </row>
    <row r="5" spans="1:50" x14ac:dyDescent="0.25">
      <c r="A5" s="12" t="s">
        <v>66</v>
      </c>
      <c r="B5" s="12" t="s">
        <v>89</v>
      </c>
      <c r="C5" s="2">
        <v>1</v>
      </c>
      <c r="D5" s="21">
        <f t="shared" si="0"/>
        <v>0.99009900990099009</v>
      </c>
      <c r="E5" s="2">
        <v>1</v>
      </c>
      <c r="F5" s="21">
        <f>(E5/$E$17)*100</f>
        <v>0.47169811320754718</v>
      </c>
      <c r="G5" s="2">
        <v>3</v>
      </c>
      <c r="H5" s="21">
        <f>(G5/$G$17)*100</f>
        <v>1.0714285714285714</v>
      </c>
      <c r="I5" s="2">
        <v>4</v>
      </c>
      <c r="J5" s="21">
        <f>(I5/$I$17)*100</f>
        <v>1.4705882352941175</v>
      </c>
      <c r="K5" s="2">
        <v>13</v>
      </c>
      <c r="L5" s="21">
        <f>(K5/$K$17)*100</f>
        <v>2.3636363636363638</v>
      </c>
      <c r="M5" s="2">
        <v>38</v>
      </c>
      <c r="N5" s="21">
        <f t="shared" si="1"/>
        <v>4.7678795483061487</v>
      </c>
      <c r="O5" s="2">
        <v>44</v>
      </c>
      <c r="P5" s="21">
        <f t="shared" si="2"/>
        <v>6.1711079943899012</v>
      </c>
      <c r="Q5" s="2">
        <v>5</v>
      </c>
      <c r="R5" s="21">
        <f t="shared" si="3"/>
        <v>1.002004008016032</v>
      </c>
      <c r="S5" s="2">
        <v>47</v>
      </c>
      <c r="T5" s="21">
        <f t="shared" si="4"/>
        <v>8.1739130434782599</v>
      </c>
      <c r="U5" s="2">
        <v>28</v>
      </c>
      <c r="V5" s="21">
        <f t="shared" si="5"/>
        <v>5.5888223552894214</v>
      </c>
      <c r="W5" s="2">
        <v>18</v>
      </c>
      <c r="X5" s="21">
        <f>W5/W17*100</f>
        <v>3.9130434782608701</v>
      </c>
      <c r="Y5" s="2">
        <v>4</v>
      </c>
      <c r="Z5" s="21">
        <f>Y5/Y17*100</f>
        <v>2.2099447513812152</v>
      </c>
      <c r="AA5" s="2">
        <v>5</v>
      </c>
      <c r="AB5" s="21">
        <f>(AA5/110)*100</f>
        <v>4.5454545454545459</v>
      </c>
      <c r="AC5" s="2">
        <v>17</v>
      </c>
      <c r="AD5" s="21">
        <f t="shared" si="9"/>
        <v>7.0539419087136928</v>
      </c>
      <c r="AE5" s="2">
        <v>17</v>
      </c>
      <c r="AF5" s="21">
        <f t="shared" si="6"/>
        <v>9.2896174863387984</v>
      </c>
      <c r="AG5" s="2">
        <v>16</v>
      </c>
      <c r="AH5" s="21">
        <f t="shared" si="10"/>
        <v>5.9040590405904059</v>
      </c>
      <c r="AI5" s="2">
        <v>27</v>
      </c>
      <c r="AJ5" s="21">
        <f t="shared" si="11"/>
        <v>4.5</v>
      </c>
      <c r="AK5" s="2">
        <v>3</v>
      </c>
      <c r="AL5" s="21">
        <f t="shared" si="14"/>
        <v>1.3636363636363635</v>
      </c>
      <c r="AM5" s="2">
        <v>3</v>
      </c>
      <c r="AN5" s="22">
        <f t="shared" si="7"/>
        <v>5.1724137931034484</v>
      </c>
      <c r="AO5" s="2">
        <v>2</v>
      </c>
      <c r="AP5" s="21">
        <f t="shared" si="15"/>
        <v>4.2553191489361701</v>
      </c>
      <c r="AQ5" s="2">
        <v>12</v>
      </c>
      <c r="AR5" s="21">
        <f t="shared" si="16"/>
        <v>25.531914893617021</v>
      </c>
      <c r="AS5" s="2">
        <v>12</v>
      </c>
      <c r="AT5" s="21">
        <f t="shared" si="8"/>
        <v>25.531914893617021</v>
      </c>
      <c r="AU5" s="2">
        <v>5</v>
      </c>
      <c r="AV5" s="21">
        <f t="shared" si="12"/>
        <v>10.638297872340425</v>
      </c>
      <c r="AW5" s="2">
        <v>1</v>
      </c>
      <c r="AX5" s="21">
        <f t="shared" si="13"/>
        <v>2.1276595744680851</v>
      </c>
    </row>
    <row r="6" spans="1:50" x14ac:dyDescent="0.25">
      <c r="A6" s="12" t="s">
        <v>25</v>
      </c>
      <c r="B6" s="12"/>
      <c r="C6" s="2">
        <v>7</v>
      </c>
      <c r="D6" s="21">
        <f t="shared" si="0"/>
        <v>6.9306930693069315</v>
      </c>
      <c r="E6" s="2">
        <v>1</v>
      </c>
      <c r="F6" s="21">
        <f>(E6/$E$17)*100</f>
        <v>0.47169811320754718</v>
      </c>
      <c r="G6" s="2">
        <v>11</v>
      </c>
      <c r="H6" s="21">
        <f>(G6/$G$17)*100</f>
        <v>3.9285714285714284</v>
      </c>
      <c r="I6" s="2">
        <v>6</v>
      </c>
      <c r="J6" s="21">
        <f>(I6/$I$17)*100</f>
        <v>2.2058823529411766</v>
      </c>
      <c r="K6" s="2">
        <v>14</v>
      </c>
      <c r="L6" s="21">
        <f>(K6/$K$17)*100</f>
        <v>2.5454545454545454</v>
      </c>
      <c r="M6" s="2">
        <v>8</v>
      </c>
      <c r="N6" s="21">
        <f t="shared" si="1"/>
        <v>1.0037641154328731</v>
      </c>
      <c r="O6" s="2">
        <v>24</v>
      </c>
      <c r="P6" s="21">
        <f t="shared" si="2"/>
        <v>3.3660589060308554</v>
      </c>
      <c r="Q6" s="2">
        <v>9</v>
      </c>
      <c r="R6" s="21">
        <f t="shared" si="3"/>
        <v>1.8036072144288577</v>
      </c>
      <c r="S6" s="2">
        <v>19</v>
      </c>
      <c r="T6" s="21">
        <f t="shared" si="4"/>
        <v>3.3043478260869561</v>
      </c>
      <c r="U6" s="2">
        <v>21</v>
      </c>
      <c r="V6" s="21">
        <f t="shared" si="5"/>
        <v>4.1916167664670656</v>
      </c>
      <c r="W6" s="2">
        <v>11</v>
      </c>
      <c r="X6" s="21">
        <f>W6/W17*100</f>
        <v>2.3913043478260869</v>
      </c>
      <c r="Y6" s="2">
        <v>3</v>
      </c>
      <c r="Z6" s="21">
        <f>Y6/Y17*100</f>
        <v>1.6574585635359116</v>
      </c>
      <c r="AA6" s="2">
        <v>2</v>
      </c>
      <c r="AB6" s="21">
        <f t="shared" ref="AB6:AB15" si="17">(AA6/110)*100</f>
        <v>1.8181818181818181</v>
      </c>
      <c r="AC6" s="2">
        <v>10</v>
      </c>
      <c r="AD6" s="21">
        <f t="shared" si="9"/>
        <v>4.1493775933609953</v>
      </c>
      <c r="AE6" s="2">
        <v>11</v>
      </c>
      <c r="AF6" s="21">
        <f t="shared" si="6"/>
        <v>6.0109289617486334</v>
      </c>
      <c r="AG6" s="2">
        <v>16</v>
      </c>
      <c r="AH6" s="21">
        <f t="shared" si="10"/>
        <v>5.9040590405904059</v>
      </c>
      <c r="AI6" s="2">
        <v>13</v>
      </c>
      <c r="AJ6" s="21">
        <f t="shared" si="11"/>
        <v>2.166666666666667</v>
      </c>
      <c r="AK6" s="2">
        <v>0</v>
      </c>
      <c r="AL6" s="21">
        <f t="shared" si="14"/>
        <v>0</v>
      </c>
      <c r="AM6" s="2">
        <v>2</v>
      </c>
      <c r="AN6" s="22">
        <f t="shared" si="7"/>
        <v>3.4482758620689653</v>
      </c>
      <c r="AO6" s="2">
        <v>0</v>
      </c>
      <c r="AP6" s="21">
        <f t="shared" si="15"/>
        <v>0</v>
      </c>
      <c r="AQ6" s="2">
        <v>0</v>
      </c>
      <c r="AR6" s="21">
        <f t="shared" si="16"/>
        <v>0</v>
      </c>
      <c r="AS6" s="2">
        <v>1</v>
      </c>
      <c r="AT6" s="21">
        <f t="shared" si="8"/>
        <v>2.1276595744680851</v>
      </c>
      <c r="AU6" s="2">
        <v>2</v>
      </c>
      <c r="AV6" s="21">
        <f t="shared" si="12"/>
        <v>4.2553191489361701</v>
      </c>
      <c r="AW6" s="2">
        <v>0</v>
      </c>
      <c r="AX6" s="21">
        <f t="shared" si="13"/>
        <v>0</v>
      </c>
    </row>
    <row r="7" spans="1:50" x14ac:dyDescent="0.25">
      <c r="A7" s="12" t="s">
        <v>26</v>
      </c>
      <c r="B7" s="12" t="s">
        <v>90</v>
      </c>
      <c r="C7" s="15">
        <v>53</v>
      </c>
      <c r="D7" s="21">
        <f t="shared" si="0"/>
        <v>52.475247524752476</v>
      </c>
      <c r="E7" s="15">
        <v>11</v>
      </c>
      <c r="F7" s="21">
        <f>(E7/$E$17)*100</f>
        <v>5.1886792452830193</v>
      </c>
      <c r="G7" s="15">
        <v>6</v>
      </c>
      <c r="H7" s="21">
        <f>(G7/$G$17)*100</f>
        <v>2.1428571428571428</v>
      </c>
      <c r="I7" s="15">
        <v>12</v>
      </c>
      <c r="J7" s="21">
        <f>(I7/$I$17)*100</f>
        <v>4.4117647058823533</v>
      </c>
      <c r="K7" s="15">
        <v>92</v>
      </c>
      <c r="L7" s="21">
        <f>(K7/$K$17)*100</f>
        <v>16.727272727272727</v>
      </c>
      <c r="M7" s="15">
        <v>103</v>
      </c>
      <c r="N7" s="21">
        <f t="shared" si="1"/>
        <v>12.923462986198246</v>
      </c>
      <c r="O7" s="15">
        <v>121</v>
      </c>
      <c r="P7" s="21">
        <f t="shared" si="2"/>
        <v>16.970546984572231</v>
      </c>
      <c r="Q7" s="15">
        <v>49</v>
      </c>
      <c r="R7" s="21">
        <f t="shared" si="3"/>
        <v>9.8196392785571138</v>
      </c>
      <c r="S7" s="15">
        <v>51</v>
      </c>
      <c r="T7" s="21">
        <f t="shared" si="4"/>
        <v>8.8695652173913029</v>
      </c>
      <c r="U7" s="15">
        <v>21</v>
      </c>
      <c r="V7" s="21">
        <f t="shared" si="5"/>
        <v>4.1916167664670656</v>
      </c>
      <c r="W7" s="2">
        <v>29</v>
      </c>
      <c r="X7" s="21">
        <f>W7/W17*100</f>
        <v>6.3043478260869561</v>
      </c>
      <c r="Y7" s="2">
        <v>18</v>
      </c>
      <c r="Z7" s="21">
        <f>Y7/Y17*100</f>
        <v>9.94475138121547</v>
      </c>
      <c r="AA7" s="2">
        <v>12</v>
      </c>
      <c r="AB7" s="21">
        <f t="shared" si="17"/>
        <v>10.909090909090908</v>
      </c>
      <c r="AC7" s="2">
        <v>27</v>
      </c>
      <c r="AD7" s="21">
        <f t="shared" si="9"/>
        <v>11.20331950207469</v>
      </c>
      <c r="AE7" s="2">
        <v>19</v>
      </c>
      <c r="AF7" s="21">
        <f t="shared" si="6"/>
        <v>10.382513661202186</v>
      </c>
      <c r="AG7" s="2">
        <v>33</v>
      </c>
      <c r="AH7" s="21">
        <f t="shared" si="10"/>
        <v>12.177121771217712</v>
      </c>
      <c r="AI7" s="2">
        <v>59</v>
      </c>
      <c r="AJ7" s="21">
        <f t="shared" si="11"/>
        <v>9.8333333333333321</v>
      </c>
      <c r="AK7" s="2">
        <v>16</v>
      </c>
      <c r="AL7" s="21">
        <f t="shared" si="14"/>
        <v>7.2727272727272725</v>
      </c>
      <c r="AM7" s="2">
        <v>16</v>
      </c>
      <c r="AN7" s="22">
        <f t="shared" si="7"/>
        <v>27.586206896551722</v>
      </c>
      <c r="AO7" s="2">
        <v>4</v>
      </c>
      <c r="AP7" s="21">
        <f t="shared" si="15"/>
        <v>8.5106382978723403</v>
      </c>
      <c r="AQ7" s="2">
        <v>28</v>
      </c>
      <c r="AR7" s="21">
        <f t="shared" si="16"/>
        <v>59.574468085106382</v>
      </c>
      <c r="AS7" s="2">
        <v>0</v>
      </c>
      <c r="AT7" s="21">
        <f t="shared" si="8"/>
        <v>0</v>
      </c>
      <c r="AU7" s="2">
        <v>3</v>
      </c>
      <c r="AV7" s="21">
        <f t="shared" si="12"/>
        <v>6.3829787234042552</v>
      </c>
      <c r="AW7" s="2">
        <v>0</v>
      </c>
      <c r="AX7" s="21">
        <f t="shared" si="13"/>
        <v>0</v>
      </c>
    </row>
    <row r="8" spans="1:50" x14ac:dyDescent="0.25">
      <c r="A8" s="13" t="s">
        <v>65</v>
      </c>
      <c r="B8" s="13"/>
      <c r="C8" s="2" t="s">
        <v>57</v>
      </c>
      <c r="D8" s="21" t="s">
        <v>58</v>
      </c>
      <c r="E8" s="2" t="s">
        <v>57</v>
      </c>
      <c r="F8" s="21" t="s">
        <v>58</v>
      </c>
      <c r="G8" s="2" t="s">
        <v>57</v>
      </c>
      <c r="H8" s="21" t="s">
        <v>58</v>
      </c>
      <c r="I8" s="2" t="s">
        <v>57</v>
      </c>
      <c r="J8" s="21" t="s">
        <v>58</v>
      </c>
      <c r="K8" s="2" t="s">
        <v>57</v>
      </c>
      <c r="L8" s="21" t="s">
        <v>58</v>
      </c>
      <c r="M8" s="2" t="s">
        <v>57</v>
      </c>
      <c r="N8" s="21" t="s">
        <v>58</v>
      </c>
      <c r="O8" s="2" t="s">
        <v>57</v>
      </c>
      <c r="P8" s="21" t="s">
        <v>58</v>
      </c>
      <c r="Q8" s="2" t="s">
        <v>57</v>
      </c>
      <c r="R8" s="21" t="s">
        <v>58</v>
      </c>
      <c r="S8" s="2" t="s">
        <v>57</v>
      </c>
      <c r="T8" s="21" t="s">
        <v>58</v>
      </c>
      <c r="U8" s="2" t="s">
        <v>57</v>
      </c>
      <c r="V8" s="21" t="s">
        <v>58</v>
      </c>
      <c r="W8" s="2">
        <v>70</v>
      </c>
      <c r="X8" s="21">
        <f>W8/W17*100</f>
        <v>15.217391304347828</v>
      </c>
      <c r="Y8" s="2">
        <v>32</v>
      </c>
      <c r="Z8" s="21">
        <f>Y8/Y17*100</f>
        <v>17.679558011049721</v>
      </c>
      <c r="AA8" s="2">
        <v>12</v>
      </c>
      <c r="AB8" s="21">
        <f t="shared" si="17"/>
        <v>10.909090909090908</v>
      </c>
      <c r="AC8" s="2">
        <v>26</v>
      </c>
      <c r="AD8" s="21">
        <f t="shared" si="9"/>
        <v>10.78838174273859</v>
      </c>
      <c r="AE8" s="2">
        <v>17</v>
      </c>
      <c r="AF8" s="21">
        <f t="shared" si="6"/>
        <v>9.2896174863387984</v>
      </c>
      <c r="AG8" s="2">
        <v>47</v>
      </c>
      <c r="AH8" s="21">
        <f t="shared" si="10"/>
        <v>17.343173431734318</v>
      </c>
      <c r="AI8" s="2">
        <v>109</v>
      </c>
      <c r="AJ8" s="21">
        <f t="shared" si="11"/>
        <v>18.166666666666668</v>
      </c>
      <c r="AK8" s="2">
        <v>40</v>
      </c>
      <c r="AL8" s="21">
        <f t="shared" si="14"/>
        <v>18.181818181818183</v>
      </c>
      <c r="AM8" s="2">
        <v>11</v>
      </c>
      <c r="AN8" s="22">
        <f t="shared" si="7"/>
        <v>18.96551724137931</v>
      </c>
      <c r="AO8" s="2">
        <v>5</v>
      </c>
      <c r="AP8" s="21">
        <f t="shared" si="15"/>
        <v>10.638297872340425</v>
      </c>
      <c r="AQ8" s="2">
        <v>35</v>
      </c>
      <c r="AR8" s="21">
        <f t="shared" si="16"/>
        <v>74.468085106382972</v>
      </c>
      <c r="AS8" s="2">
        <v>13</v>
      </c>
      <c r="AT8" s="21">
        <f t="shared" si="8"/>
        <v>27.659574468085108</v>
      </c>
      <c r="AU8" s="2">
        <v>15</v>
      </c>
      <c r="AV8" s="21">
        <f t="shared" si="12"/>
        <v>31.914893617021278</v>
      </c>
      <c r="AW8" s="2">
        <v>10</v>
      </c>
      <c r="AX8" s="21">
        <f t="shared" si="13"/>
        <v>21.276595744680851</v>
      </c>
    </row>
    <row r="9" spans="1:50" x14ac:dyDescent="0.25">
      <c r="A9" s="12" t="s">
        <v>64</v>
      </c>
      <c r="B9" s="12" t="s">
        <v>91</v>
      </c>
      <c r="C9" s="2">
        <v>19</v>
      </c>
      <c r="D9" s="21">
        <f>(C9/$C$17)*100</f>
        <v>18.811881188118811</v>
      </c>
      <c r="E9" s="2">
        <v>21</v>
      </c>
      <c r="F9" s="21">
        <f t="shared" ref="F9:F16" si="18">(E9/$E$17)*100</f>
        <v>9.9056603773584904</v>
      </c>
      <c r="G9" s="2">
        <v>22</v>
      </c>
      <c r="H9" s="21">
        <f t="shared" ref="H9:H16" si="19">(G9/$G$17)*100</f>
        <v>7.8571428571428568</v>
      </c>
      <c r="I9" s="2">
        <v>59</v>
      </c>
      <c r="J9" s="21">
        <f t="shared" ref="J9:J16" si="20">(I9/$I$17)*100</f>
        <v>21.691176470588236</v>
      </c>
      <c r="K9" s="2">
        <v>129</v>
      </c>
      <c r="L9" s="21">
        <f t="shared" ref="L9:L16" si="21">(K9/$K$17)*100</f>
        <v>23.454545454545457</v>
      </c>
      <c r="M9" s="2">
        <v>172</v>
      </c>
      <c r="N9" s="21">
        <f t="shared" ref="N9:N16" si="22">(M9/$M$17)*100</f>
        <v>21.580928481806776</v>
      </c>
      <c r="O9" s="2">
        <v>133</v>
      </c>
      <c r="P9" s="21">
        <f t="shared" ref="P9:P16" si="23">(O9/$O$17)*100</f>
        <v>18.653576437587656</v>
      </c>
      <c r="Q9" s="2">
        <v>97</v>
      </c>
      <c r="R9" s="21">
        <f t="shared" ref="R9:R16" si="24">(Q9/$Q$17)*100</f>
        <v>19.438877755511022</v>
      </c>
      <c r="S9" s="2">
        <v>70</v>
      </c>
      <c r="T9" s="21">
        <f t="shared" ref="T9:T16" si="25">(S9/$S$17)*100</f>
        <v>12.173913043478262</v>
      </c>
      <c r="U9" s="2">
        <v>72</v>
      </c>
      <c r="V9" s="21">
        <f t="shared" ref="V9:V16" si="26">(U9/$U$17)*100</f>
        <v>14.37125748502994</v>
      </c>
      <c r="W9" s="2">
        <v>78</v>
      </c>
      <c r="X9" s="21">
        <f>W9/W17*100</f>
        <v>16.956521739130434</v>
      </c>
      <c r="Y9" s="2">
        <v>46</v>
      </c>
      <c r="Z9" s="21">
        <f>(Y9)/(Y17)*(100)</f>
        <v>25.414364640883981</v>
      </c>
      <c r="AA9" s="2">
        <v>13</v>
      </c>
      <c r="AB9" s="21">
        <f t="shared" si="17"/>
        <v>11.818181818181818</v>
      </c>
      <c r="AC9" s="2">
        <v>24</v>
      </c>
      <c r="AD9" s="21">
        <f t="shared" si="9"/>
        <v>9.9585062240663902</v>
      </c>
      <c r="AE9" s="2">
        <v>31</v>
      </c>
      <c r="AF9" s="21">
        <f t="shared" si="6"/>
        <v>16.939890710382514</v>
      </c>
      <c r="AG9" s="2">
        <v>34</v>
      </c>
      <c r="AH9" s="21">
        <f t="shared" si="10"/>
        <v>12.546125461254611</v>
      </c>
      <c r="AI9" s="2">
        <v>78</v>
      </c>
      <c r="AJ9" s="21">
        <f t="shared" si="11"/>
        <v>13</v>
      </c>
      <c r="AK9" s="2">
        <v>41</v>
      </c>
      <c r="AL9" s="21">
        <f t="shared" si="14"/>
        <v>18.636363636363637</v>
      </c>
      <c r="AM9" s="2">
        <v>11</v>
      </c>
      <c r="AN9" s="22">
        <f t="shared" si="7"/>
        <v>18.96551724137931</v>
      </c>
      <c r="AO9" s="2">
        <v>24</v>
      </c>
      <c r="AP9" s="21">
        <f t="shared" si="15"/>
        <v>51.063829787234042</v>
      </c>
      <c r="AQ9" s="2">
        <v>18</v>
      </c>
      <c r="AR9" s="21">
        <f t="shared" si="16"/>
        <v>38.297872340425535</v>
      </c>
      <c r="AS9" s="2">
        <v>11</v>
      </c>
      <c r="AT9" s="21">
        <f t="shared" si="8"/>
        <v>23.404255319148938</v>
      </c>
      <c r="AU9" s="2">
        <v>9</v>
      </c>
      <c r="AV9" s="21">
        <f t="shared" si="12"/>
        <v>19.148936170212767</v>
      </c>
      <c r="AW9" s="2">
        <v>7</v>
      </c>
      <c r="AX9" s="21">
        <f t="shared" si="13"/>
        <v>14.893617021276595</v>
      </c>
    </row>
    <row r="10" spans="1:50" x14ac:dyDescent="0.25">
      <c r="A10" s="12" t="s">
        <v>63</v>
      </c>
      <c r="B10" s="12"/>
      <c r="C10" s="23">
        <v>1</v>
      </c>
      <c r="D10" s="21">
        <f>(C10/$C$17)*100</f>
        <v>0.99009900990099009</v>
      </c>
      <c r="E10" s="23">
        <v>25</v>
      </c>
      <c r="F10" s="21">
        <f t="shared" si="18"/>
        <v>11.79245283018868</v>
      </c>
      <c r="G10" s="23">
        <v>75</v>
      </c>
      <c r="H10" s="21">
        <f t="shared" si="19"/>
        <v>26.785714285714285</v>
      </c>
      <c r="I10" s="23">
        <v>77</v>
      </c>
      <c r="J10" s="21">
        <f t="shared" si="20"/>
        <v>28.308823529411764</v>
      </c>
      <c r="K10" s="23">
        <v>153</v>
      </c>
      <c r="L10" s="21">
        <f t="shared" si="21"/>
        <v>27.81818181818182</v>
      </c>
      <c r="M10" s="23">
        <v>119</v>
      </c>
      <c r="N10" s="21">
        <f t="shared" si="22"/>
        <v>14.93099121706399</v>
      </c>
      <c r="O10" s="23">
        <v>137</v>
      </c>
      <c r="P10" s="21">
        <f t="shared" si="23"/>
        <v>19.214586255259466</v>
      </c>
      <c r="Q10" s="23">
        <v>95</v>
      </c>
      <c r="R10" s="21">
        <f t="shared" si="24"/>
        <v>19.038076152304608</v>
      </c>
      <c r="S10" s="23">
        <v>107</v>
      </c>
      <c r="T10" s="21">
        <f t="shared" si="25"/>
        <v>18.608695652173914</v>
      </c>
      <c r="U10" s="23">
        <v>105</v>
      </c>
      <c r="V10" s="21">
        <f t="shared" si="26"/>
        <v>20.958083832335326</v>
      </c>
      <c r="W10" s="2">
        <v>38</v>
      </c>
      <c r="X10" s="21">
        <f>W10/W17*100</f>
        <v>8.2608695652173907</v>
      </c>
      <c r="Y10" s="2">
        <v>15</v>
      </c>
      <c r="Z10" s="21">
        <f>Y10/Y17*100</f>
        <v>8.2872928176795568</v>
      </c>
      <c r="AA10" s="2">
        <v>6</v>
      </c>
      <c r="AB10" s="21">
        <f t="shared" si="17"/>
        <v>5.4545454545454541</v>
      </c>
      <c r="AC10" s="2">
        <v>17</v>
      </c>
      <c r="AD10" s="21">
        <f t="shared" si="9"/>
        <v>7.0539419087136928</v>
      </c>
      <c r="AE10" s="2">
        <v>9</v>
      </c>
      <c r="AF10" s="21">
        <f t="shared" si="6"/>
        <v>4.918032786885246</v>
      </c>
      <c r="AG10" s="2">
        <v>21</v>
      </c>
      <c r="AH10" s="21">
        <f t="shared" si="10"/>
        <v>7.7490774907749085</v>
      </c>
      <c r="AI10" s="2">
        <v>47</v>
      </c>
      <c r="AJ10" s="21">
        <f t="shared" si="11"/>
        <v>7.8333333333333339</v>
      </c>
      <c r="AK10" s="2">
        <v>29</v>
      </c>
      <c r="AL10" s="21">
        <f t="shared" si="14"/>
        <v>13.18181818181818</v>
      </c>
      <c r="AM10" s="2">
        <v>7</v>
      </c>
      <c r="AN10" s="22">
        <f t="shared" si="7"/>
        <v>12.068965517241379</v>
      </c>
      <c r="AO10" s="2">
        <v>2</v>
      </c>
      <c r="AP10" s="21">
        <f t="shared" si="15"/>
        <v>4.2553191489361701</v>
      </c>
      <c r="AQ10" s="2">
        <v>12</v>
      </c>
      <c r="AR10" s="21">
        <f t="shared" si="16"/>
        <v>25.531914893617021</v>
      </c>
      <c r="AS10" s="2">
        <v>8</v>
      </c>
      <c r="AT10" s="21">
        <f t="shared" si="8"/>
        <v>17.021276595744681</v>
      </c>
      <c r="AU10" s="2">
        <v>1</v>
      </c>
      <c r="AV10" s="21">
        <f t="shared" si="12"/>
        <v>2.1276595744680851</v>
      </c>
      <c r="AW10" s="2">
        <v>0</v>
      </c>
      <c r="AX10" s="21">
        <f t="shared" si="13"/>
        <v>0</v>
      </c>
    </row>
    <row r="11" spans="1:50" x14ac:dyDescent="0.25">
      <c r="A11" s="12" t="s">
        <v>62</v>
      </c>
      <c r="B11" s="12"/>
      <c r="C11" s="23"/>
      <c r="D11" s="21">
        <f>(C11/$C$17)*100</f>
        <v>0</v>
      </c>
      <c r="E11" s="23"/>
      <c r="F11" s="21">
        <f t="shared" si="18"/>
        <v>0</v>
      </c>
      <c r="G11" s="23"/>
      <c r="H11" s="21">
        <f t="shared" si="19"/>
        <v>0</v>
      </c>
      <c r="I11" s="23"/>
      <c r="J11" s="21">
        <f t="shared" si="20"/>
        <v>0</v>
      </c>
      <c r="K11" s="23"/>
      <c r="L11" s="21">
        <f t="shared" si="21"/>
        <v>0</v>
      </c>
      <c r="M11" s="23"/>
      <c r="N11" s="21">
        <f t="shared" si="22"/>
        <v>0</v>
      </c>
      <c r="O11" s="23"/>
      <c r="P11" s="21">
        <f t="shared" si="23"/>
        <v>0</v>
      </c>
      <c r="Q11" s="23"/>
      <c r="R11" s="21">
        <f t="shared" si="24"/>
        <v>0</v>
      </c>
      <c r="S11" s="23"/>
      <c r="T11" s="21">
        <f t="shared" si="25"/>
        <v>0</v>
      </c>
      <c r="U11" s="23"/>
      <c r="V11" s="21">
        <f t="shared" si="26"/>
        <v>0</v>
      </c>
      <c r="W11" s="2">
        <v>35</v>
      </c>
      <c r="X11" s="21">
        <f>W11/W17*100</f>
        <v>7.608695652173914</v>
      </c>
      <c r="Y11" s="2">
        <v>4</v>
      </c>
      <c r="Z11" s="21">
        <f>Y11/Y17*100</f>
        <v>2.2099447513812152</v>
      </c>
      <c r="AA11" s="2">
        <v>3</v>
      </c>
      <c r="AB11" s="21">
        <f t="shared" si="17"/>
        <v>2.7272727272727271</v>
      </c>
      <c r="AC11" s="2">
        <v>4</v>
      </c>
      <c r="AD11" s="21">
        <f t="shared" si="9"/>
        <v>1.6597510373443984</v>
      </c>
      <c r="AE11" s="2">
        <v>4</v>
      </c>
      <c r="AF11" s="21">
        <f t="shared" si="6"/>
        <v>2.1857923497267762</v>
      </c>
      <c r="AG11" s="2">
        <v>12</v>
      </c>
      <c r="AH11" s="21">
        <f t="shared" si="10"/>
        <v>4.428044280442804</v>
      </c>
      <c r="AI11" s="2">
        <v>10</v>
      </c>
      <c r="AJ11" s="21">
        <f t="shared" si="11"/>
        <v>1.6666666666666667</v>
      </c>
      <c r="AK11" s="2">
        <v>15</v>
      </c>
      <c r="AL11" s="21">
        <f t="shared" si="14"/>
        <v>6.8181818181818175</v>
      </c>
      <c r="AM11" s="2">
        <v>4</v>
      </c>
      <c r="AN11" s="22">
        <f t="shared" si="7"/>
        <v>6.8965517241379306</v>
      </c>
      <c r="AO11" s="2">
        <v>1</v>
      </c>
      <c r="AP11" s="21">
        <f t="shared" si="15"/>
        <v>2.1276595744680851</v>
      </c>
      <c r="AQ11" s="2">
        <v>3</v>
      </c>
      <c r="AR11" s="21">
        <f t="shared" si="16"/>
        <v>6.3829787234042552</v>
      </c>
      <c r="AS11" s="2">
        <v>1</v>
      </c>
      <c r="AT11" s="21">
        <f t="shared" si="8"/>
        <v>2.1276595744680851</v>
      </c>
      <c r="AU11" s="2">
        <v>1</v>
      </c>
      <c r="AV11" s="21">
        <f t="shared" si="12"/>
        <v>2.1276595744680851</v>
      </c>
      <c r="AW11" s="2">
        <v>5</v>
      </c>
      <c r="AX11" s="21">
        <f t="shared" si="13"/>
        <v>10.638297872340425</v>
      </c>
    </row>
    <row r="12" spans="1:50" x14ac:dyDescent="0.25">
      <c r="A12" s="12" t="s">
        <v>31</v>
      </c>
      <c r="B12" s="12" t="s">
        <v>92</v>
      </c>
      <c r="C12" s="2">
        <v>5</v>
      </c>
      <c r="D12" s="21">
        <f>(C12/$C$17)*100</f>
        <v>4.9504950495049505</v>
      </c>
      <c r="E12" s="2">
        <v>19</v>
      </c>
      <c r="F12" s="21">
        <f t="shared" si="18"/>
        <v>8.9622641509433958</v>
      </c>
      <c r="G12" s="2">
        <v>58</v>
      </c>
      <c r="H12" s="21">
        <f t="shared" si="19"/>
        <v>20.714285714285715</v>
      </c>
      <c r="I12" s="2">
        <v>34</v>
      </c>
      <c r="J12" s="21">
        <f t="shared" si="20"/>
        <v>12.5</v>
      </c>
      <c r="K12" s="2">
        <v>71</v>
      </c>
      <c r="L12" s="21">
        <f t="shared" si="21"/>
        <v>12.909090909090908</v>
      </c>
      <c r="M12" s="2">
        <v>127</v>
      </c>
      <c r="N12" s="21">
        <f t="shared" si="22"/>
        <v>15.934755332496863</v>
      </c>
      <c r="O12" s="2">
        <v>39</v>
      </c>
      <c r="P12" s="21">
        <f t="shared" si="23"/>
        <v>5.46984572230014</v>
      </c>
      <c r="Q12" s="2">
        <v>38</v>
      </c>
      <c r="R12" s="21">
        <f t="shared" si="24"/>
        <v>7.6152304609218442</v>
      </c>
      <c r="S12" s="2">
        <v>79</v>
      </c>
      <c r="T12" s="21">
        <f t="shared" si="25"/>
        <v>13.739130434782609</v>
      </c>
      <c r="U12" s="2">
        <v>46</v>
      </c>
      <c r="V12" s="21">
        <f t="shared" si="26"/>
        <v>9.1816367265469054</v>
      </c>
      <c r="W12" s="2">
        <v>65</v>
      </c>
      <c r="X12" s="21">
        <f>W12/W17*100</f>
        <v>14.130434782608695</v>
      </c>
      <c r="Y12" s="2">
        <v>14</v>
      </c>
      <c r="Z12" s="21">
        <f>Y12/Y17*100</f>
        <v>7.7348066298342539</v>
      </c>
      <c r="AA12" s="2">
        <v>12</v>
      </c>
      <c r="AB12" s="21">
        <f t="shared" si="17"/>
        <v>10.909090909090908</v>
      </c>
      <c r="AC12" s="2">
        <v>28</v>
      </c>
      <c r="AD12" s="21">
        <f t="shared" si="9"/>
        <v>11.618257261410788</v>
      </c>
      <c r="AE12" s="2">
        <v>14</v>
      </c>
      <c r="AF12" s="21">
        <f t="shared" si="6"/>
        <v>7.6502732240437163</v>
      </c>
      <c r="AG12" s="2">
        <v>21</v>
      </c>
      <c r="AH12" s="21">
        <f t="shared" si="10"/>
        <v>7.7490774907749085</v>
      </c>
      <c r="AI12" s="2">
        <v>63</v>
      </c>
      <c r="AJ12" s="21">
        <f t="shared" si="11"/>
        <v>10.5</v>
      </c>
      <c r="AK12" s="2">
        <v>15</v>
      </c>
      <c r="AL12" s="21">
        <f t="shared" si="14"/>
        <v>6.8181818181818175</v>
      </c>
      <c r="AM12" s="2">
        <v>3</v>
      </c>
      <c r="AN12" s="22">
        <f t="shared" si="7"/>
        <v>5.1724137931034484</v>
      </c>
      <c r="AO12" s="2">
        <v>4</v>
      </c>
      <c r="AP12" s="21">
        <f t="shared" si="15"/>
        <v>8.5106382978723403</v>
      </c>
      <c r="AQ12" s="2">
        <v>5</v>
      </c>
      <c r="AR12" s="21">
        <f t="shared" si="16"/>
        <v>10.638297872340425</v>
      </c>
      <c r="AS12" s="2">
        <v>9</v>
      </c>
      <c r="AT12" s="21">
        <f t="shared" si="8"/>
        <v>19.148936170212767</v>
      </c>
      <c r="AU12" s="2">
        <v>1</v>
      </c>
      <c r="AV12" s="21">
        <f t="shared" si="12"/>
        <v>2.1276595744680851</v>
      </c>
      <c r="AW12" s="2">
        <v>2</v>
      </c>
      <c r="AX12" s="21">
        <f t="shared" si="13"/>
        <v>4.2553191489361701</v>
      </c>
    </row>
    <row r="13" spans="1:50" x14ac:dyDescent="0.25">
      <c r="A13" s="12" t="s">
        <v>59</v>
      </c>
      <c r="B13" s="12"/>
      <c r="C13" s="2">
        <v>7</v>
      </c>
      <c r="D13" s="21">
        <f>(C13/$C$17)*100</f>
        <v>6.9306930693069315</v>
      </c>
      <c r="E13" s="2">
        <v>33</v>
      </c>
      <c r="F13" s="21">
        <f t="shared" si="18"/>
        <v>15.566037735849056</v>
      </c>
      <c r="G13" s="2">
        <v>52</v>
      </c>
      <c r="H13" s="21">
        <f t="shared" si="19"/>
        <v>18.571428571428573</v>
      </c>
      <c r="I13" s="2">
        <v>53</v>
      </c>
      <c r="J13" s="21">
        <f t="shared" si="20"/>
        <v>19.485294117647058</v>
      </c>
      <c r="K13" s="2">
        <v>44</v>
      </c>
      <c r="L13" s="21">
        <f t="shared" si="21"/>
        <v>8</v>
      </c>
      <c r="M13" s="2">
        <v>83</v>
      </c>
      <c r="N13" s="21">
        <f t="shared" si="22"/>
        <v>10.414052697616061</v>
      </c>
      <c r="O13" s="2">
        <v>67</v>
      </c>
      <c r="P13" s="21">
        <f t="shared" si="23"/>
        <v>9.3969144460028051</v>
      </c>
      <c r="Q13" s="2">
        <v>146</v>
      </c>
      <c r="R13" s="21">
        <f t="shared" si="24"/>
        <v>29.258517034068138</v>
      </c>
      <c r="S13" s="2">
        <v>78</v>
      </c>
      <c r="T13" s="21">
        <f t="shared" si="25"/>
        <v>13.565217391304349</v>
      </c>
      <c r="U13" s="2">
        <v>38</v>
      </c>
      <c r="V13" s="21">
        <f t="shared" si="26"/>
        <v>7.5848303393213579</v>
      </c>
      <c r="W13" s="2">
        <v>23</v>
      </c>
      <c r="X13" s="21">
        <f>W13/W17*100</f>
        <v>5</v>
      </c>
      <c r="Y13" s="2">
        <v>21</v>
      </c>
      <c r="Z13" s="21">
        <f>Y13/Y17*100</f>
        <v>11.602209944751381</v>
      </c>
      <c r="AA13" s="2">
        <v>17</v>
      </c>
      <c r="AB13" s="21">
        <f t="shared" si="17"/>
        <v>15.454545454545453</v>
      </c>
      <c r="AC13" s="2">
        <v>33</v>
      </c>
      <c r="AD13" s="21">
        <f t="shared" si="9"/>
        <v>13.692946058091287</v>
      </c>
      <c r="AE13" s="2">
        <v>8</v>
      </c>
      <c r="AF13" s="21">
        <f t="shared" si="6"/>
        <v>4.3715846994535523</v>
      </c>
      <c r="AG13" s="2">
        <v>25</v>
      </c>
      <c r="AH13" s="21">
        <f t="shared" si="10"/>
        <v>9.2250922509225095</v>
      </c>
      <c r="AI13" s="2">
        <v>105</v>
      </c>
      <c r="AJ13" s="21">
        <f t="shared" si="11"/>
        <v>17.5</v>
      </c>
      <c r="AK13" s="2">
        <v>28</v>
      </c>
      <c r="AL13" s="21">
        <f t="shared" si="14"/>
        <v>12.727272727272727</v>
      </c>
      <c r="AM13" s="2">
        <v>1</v>
      </c>
      <c r="AN13" s="22">
        <f t="shared" si="7"/>
        <v>1.7241379310344827</v>
      </c>
      <c r="AO13" s="2">
        <v>2</v>
      </c>
      <c r="AP13" s="21">
        <f t="shared" si="15"/>
        <v>4.2553191489361701</v>
      </c>
      <c r="AQ13" s="2">
        <v>7</v>
      </c>
      <c r="AR13" s="21">
        <f t="shared" si="16"/>
        <v>14.893617021276595</v>
      </c>
      <c r="AS13" s="2">
        <v>4</v>
      </c>
      <c r="AT13" s="21">
        <f t="shared" si="8"/>
        <v>8.5106382978723403</v>
      </c>
      <c r="AU13" s="2">
        <v>12</v>
      </c>
      <c r="AV13" s="21">
        <f t="shared" si="12"/>
        <v>25.531914893617021</v>
      </c>
      <c r="AW13" s="2">
        <v>10</v>
      </c>
      <c r="AX13" s="21">
        <f t="shared" si="13"/>
        <v>21.276595744680851</v>
      </c>
    </row>
    <row r="14" spans="1:50" x14ac:dyDescent="0.25">
      <c r="A14" s="12" t="s">
        <v>60</v>
      </c>
      <c r="B14" s="12" t="s">
        <v>93</v>
      </c>
      <c r="C14" s="2" t="s">
        <v>57</v>
      </c>
      <c r="D14" s="21" t="s">
        <v>58</v>
      </c>
      <c r="E14" s="2">
        <v>39</v>
      </c>
      <c r="F14" s="21">
        <f t="shared" si="18"/>
        <v>18.39622641509434</v>
      </c>
      <c r="G14" s="2">
        <v>0</v>
      </c>
      <c r="H14" s="21">
        <f t="shared" si="19"/>
        <v>0</v>
      </c>
      <c r="I14" s="2">
        <v>15</v>
      </c>
      <c r="J14" s="21">
        <f t="shared" si="20"/>
        <v>5.5147058823529411</v>
      </c>
      <c r="K14" s="2">
        <v>12</v>
      </c>
      <c r="L14" s="21">
        <f t="shared" si="21"/>
        <v>2.1818181818181821</v>
      </c>
      <c r="M14" s="2">
        <v>27</v>
      </c>
      <c r="N14" s="21">
        <f t="shared" si="22"/>
        <v>3.3877038895859477</v>
      </c>
      <c r="O14" s="2">
        <v>58</v>
      </c>
      <c r="P14" s="21">
        <f t="shared" si="23"/>
        <v>8.1346423562412333</v>
      </c>
      <c r="Q14" s="2">
        <v>8</v>
      </c>
      <c r="R14" s="21">
        <f t="shared" si="24"/>
        <v>1.6032064128256511</v>
      </c>
      <c r="S14" s="2">
        <v>36</v>
      </c>
      <c r="T14" s="21">
        <f t="shared" si="25"/>
        <v>6.2608695652173916</v>
      </c>
      <c r="U14" s="2">
        <v>34</v>
      </c>
      <c r="V14" s="21">
        <f t="shared" si="26"/>
        <v>6.7864271457085827</v>
      </c>
      <c r="W14" s="2">
        <v>51</v>
      </c>
      <c r="X14" s="21">
        <f>W14/W17*100</f>
        <v>11.086956521739131</v>
      </c>
      <c r="Y14" s="2">
        <v>12</v>
      </c>
      <c r="Z14" s="21">
        <f>Y14/Y17*100</f>
        <v>6.6298342541436464</v>
      </c>
      <c r="AA14" s="2">
        <v>14</v>
      </c>
      <c r="AB14" s="21">
        <f t="shared" si="17"/>
        <v>12.727272727272727</v>
      </c>
      <c r="AC14" s="2">
        <v>19</v>
      </c>
      <c r="AD14" s="21">
        <f t="shared" si="9"/>
        <v>7.8838174273858916</v>
      </c>
      <c r="AE14" s="2">
        <v>15</v>
      </c>
      <c r="AF14" s="21">
        <f t="shared" si="6"/>
        <v>8.1967213114754092</v>
      </c>
      <c r="AG14" s="2">
        <v>12</v>
      </c>
      <c r="AH14" s="21">
        <f t="shared" si="10"/>
        <v>4.428044280442804</v>
      </c>
      <c r="AI14" s="2">
        <v>41</v>
      </c>
      <c r="AJ14" s="21">
        <f t="shared" si="11"/>
        <v>6.833333333333333</v>
      </c>
      <c r="AK14" s="2">
        <v>23</v>
      </c>
      <c r="AL14" s="21">
        <f t="shared" si="14"/>
        <v>10.454545454545453</v>
      </c>
      <c r="AM14" s="2">
        <v>0</v>
      </c>
      <c r="AN14" s="22">
        <f t="shared" si="7"/>
        <v>0</v>
      </c>
      <c r="AO14" s="2">
        <v>2</v>
      </c>
      <c r="AP14" s="21">
        <f t="shared" si="15"/>
        <v>4.2553191489361701</v>
      </c>
      <c r="AQ14" s="2">
        <v>2</v>
      </c>
      <c r="AR14" s="21">
        <f t="shared" si="16"/>
        <v>4.2553191489361701</v>
      </c>
      <c r="AS14" s="2">
        <v>0</v>
      </c>
      <c r="AT14" s="21">
        <f t="shared" si="8"/>
        <v>0</v>
      </c>
      <c r="AU14" s="2">
        <v>11</v>
      </c>
      <c r="AV14" s="21">
        <f t="shared" si="12"/>
        <v>23.404255319148938</v>
      </c>
      <c r="AW14" s="2">
        <v>3</v>
      </c>
      <c r="AX14" s="21">
        <f t="shared" si="13"/>
        <v>6.3829787234042552</v>
      </c>
    </row>
    <row r="15" spans="1:50" x14ac:dyDescent="0.25">
      <c r="A15" s="12" t="s">
        <v>61</v>
      </c>
      <c r="B15" s="12"/>
      <c r="C15" s="2" t="s">
        <v>57</v>
      </c>
      <c r="D15" s="21" t="s">
        <v>58</v>
      </c>
      <c r="E15" s="2">
        <v>13</v>
      </c>
      <c r="F15" s="21">
        <f t="shared" si="18"/>
        <v>6.132075471698113</v>
      </c>
      <c r="G15" s="2">
        <v>12</v>
      </c>
      <c r="H15" s="21">
        <f t="shared" si="19"/>
        <v>4.2857142857142856</v>
      </c>
      <c r="I15" s="2">
        <v>3</v>
      </c>
      <c r="J15" s="21">
        <f t="shared" si="20"/>
        <v>1.1029411764705883</v>
      </c>
      <c r="K15" s="2">
        <v>0</v>
      </c>
      <c r="L15" s="21">
        <f t="shared" si="21"/>
        <v>0</v>
      </c>
      <c r="M15" s="2">
        <v>63</v>
      </c>
      <c r="N15" s="21">
        <f t="shared" si="22"/>
        <v>7.9046424090338769</v>
      </c>
      <c r="O15" s="2">
        <v>64</v>
      </c>
      <c r="P15" s="21">
        <f t="shared" si="23"/>
        <v>8.9761570827489479</v>
      </c>
      <c r="Q15" s="2">
        <v>18</v>
      </c>
      <c r="R15" s="21">
        <f t="shared" si="24"/>
        <v>3.6072144288577155</v>
      </c>
      <c r="S15" s="2">
        <v>22</v>
      </c>
      <c r="T15" s="21">
        <f t="shared" si="25"/>
        <v>3.8260869565217388</v>
      </c>
      <c r="U15" s="2">
        <v>37</v>
      </c>
      <c r="V15" s="21">
        <f t="shared" si="26"/>
        <v>7.3852295409181634</v>
      </c>
      <c r="W15" s="2">
        <v>8</v>
      </c>
      <c r="X15" s="21">
        <f>W15/W17*100</f>
        <v>1.7391304347826086</v>
      </c>
      <c r="Y15" s="2">
        <v>6</v>
      </c>
      <c r="Z15" s="21">
        <f>Y15/Y17*100</f>
        <v>3.3149171270718232</v>
      </c>
      <c r="AA15" s="2">
        <v>9</v>
      </c>
      <c r="AB15" s="21">
        <f t="shared" si="17"/>
        <v>8.1818181818181817</v>
      </c>
      <c r="AC15" s="2">
        <v>9</v>
      </c>
      <c r="AD15" s="21">
        <f t="shared" si="9"/>
        <v>3.7344398340248963</v>
      </c>
      <c r="AE15" s="2">
        <v>22</v>
      </c>
      <c r="AF15" s="21">
        <f t="shared" si="6"/>
        <v>12.021857923497267</v>
      </c>
      <c r="AG15" s="2">
        <v>16</v>
      </c>
      <c r="AH15" s="21">
        <f t="shared" si="10"/>
        <v>5.9040590405904059</v>
      </c>
      <c r="AI15" s="2">
        <v>29</v>
      </c>
      <c r="AJ15" s="21">
        <f t="shared" si="11"/>
        <v>4.833333333333333</v>
      </c>
      <c r="AK15" s="2">
        <v>8</v>
      </c>
      <c r="AL15" s="21">
        <f t="shared" si="14"/>
        <v>3.6363636363636362</v>
      </c>
      <c r="AM15" s="2">
        <v>0</v>
      </c>
      <c r="AN15" s="22">
        <f t="shared" si="7"/>
        <v>0</v>
      </c>
      <c r="AO15" s="2">
        <v>0</v>
      </c>
      <c r="AP15" s="21">
        <f t="shared" si="15"/>
        <v>0</v>
      </c>
      <c r="AQ15" s="2">
        <v>1</v>
      </c>
      <c r="AR15" s="21">
        <f t="shared" si="16"/>
        <v>2.1276595744680851</v>
      </c>
      <c r="AS15" s="2">
        <v>0</v>
      </c>
      <c r="AT15" s="21">
        <f t="shared" si="8"/>
        <v>0</v>
      </c>
      <c r="AU15" s="2">
        <v>21</v>
      </c>
      <c r="AV15" s="21">
        <f t="shared" si="12"/>
        <v>44.680851063829785</v>
      </c>
      <c r="AW15" s="2">
        <v>0</v>
      </c>
      <c r="AX15" s="21">
        <f t="shared" si="13"/>
        <v>0</v>
      </c>
    </row>
    <row r="16" spans="1:50" x14ac:dyDescent="0.25">
      <c r="A16" s="12" t="s">
        <v>56</v>
      </c>
      <c r="B16" s="12"/>
      <c r="C16" s="2" t="s">
        <v>57</v>
      </c>
      <c r="D16" s="21" t="s">
        <v>58</v>
      </c>
      <c r="E16" s="2">
        <v>46</v>
      </c>
      <c r="F16" s="21">
        <f t="shared" si="18"/>
        <v>21.69811320754717</v>
      </c>
      <c r="G16" s="2">
        <v>40</v>
      </c>
      <c r="H16" s="21">
        <f t="shared" si="19"/>
        <v>14.285714285714285</v>
      </c>
      <c r="I16" s="2">
        <v>9</v>
      </c>
      <c r="J16" s="21">
        <f t="shared" si="20"/>
        <v>3.3088235294117649</v>
      </c>
      <c r="K16" s="2">
        <v>0</v>
      </c>
      <c r="L16" s="21">
        <f t="shared" si="21"/>
        <v>0</v>
      </c>
      <c r="M16" s="2">
        <v>9</v>
      </c>
      <c r="N16" s="21">
        <f t="shared" si="22"/>
        <v>1.1292346298619824</v>
      </c>
      <c r="O16" s="2">
        <v>6</v>
      </c>
      <c r="P16" s="21">
        <f t="shared" si="23"/>
        <v>0.84151472650771386</v>
      </c>
      <c r="Q16" s="2">
        <v>10</v>
      </c>
      <c r="R16" s="21">
        <f t="shared" si="24"/>
        <v>2.0040080160320639</v>
      </c>
      <c r="S16" s="2">
        <v>0</v>
      </c>
      <c r="T16" s="21">
        <f t="shared" si="25"/>
        <v>0</v>
      </c>
      <c r="U16" s="2">
        <v>34</v>
      </c>
      <c r="V16" s="21">
        <f t="shared" si="26"/>
        <v>6.7864271457085827</v>
      </c>
      <c r="W16" s="2" t="s">
        <v>57</v>
      </c>
      <c r="X16" s="21" t="s">
        <v>58</v>
      </c>
      <c r="Y16" s="2" t="s">
        <v>57</v>
      </c>
      <c r="Z16" s="21" t="s">
        <v>58</v>
      </c>
      <c r="AA16" s="2" t="s">
        <v>57</v>
      </c>
      <c r="AB16" s="21" t="s">
        <v>58</v>
      </c>
      <c r="AC16" s="2">
        <v>0</v>
      </c>
      <c r="AD16" s="21">
        <f t="shared" si="9"/>
        <v>0</v>
      </c>
      <c r="AE16" s="2" t="s">
        <v>57</v>
      </c>
      <c r="AF16" s="21" t="s">
        <v>58</v>
      </c>
      <c r="AG16" s="2" t="s">
        <v>57</v>
      </c>
      <c r="AH16" s="21" t="s">
        <v>58</v>
      </c>
      <c r="AI16" s="2" t="s">
        <v>57</v>
      </c>
      <c r="AJ16" s="21" t="s">
        <v>58</v>
      </c>
      <c r="AK16" s="2" t="s">
        <v>57</v>
      </c>
      <c r="AL16" s="21" t="s">
        <v>58</v>
      </c>
      <c r="AM16" s="2" t="s">
        <v>57</v>
      </c>
      <c r="AN16" s="22" t="s">
        <v>58</v>
      </c>
      <c r="AO16" s="2" t="s">
        <v>57</v>
      </c>
      <c r="AP16" s="21" t="s">
        <v>58</v>
      </c>
      <c r="AQ16" s="2" t="s">
        <v>57</v>
      </c>
      <c r="AR16" s="21" t="s">
        <v>58</v>
      </c>
      <c r="AS16" s="2">
        <v>1</v>
      </c>
      <c r="AT16" s="21">
        <f t="shared" si="8"/>
        <v>2.1276595744680851</v>
      </c>
      <c r="AU16" s="2">
        <v>3</v>
      </c>
      <c r="AV16" s="21">
        <f t="shared" si="12"/>
        <v>6.3829787234042552</v>
      </c>
      <c r="AW16" s="2">
        <v>2</v>
      </c>
      <c r="AX16" s="21">
        <f t="shared" si="13"/>
        <v>4.2553191489361701</v>
      </c>
    </row>
    <row r="17" spans="1:50" ht="15.75" thickBot="1" x14ac:dyDescent="0.3">
      <c r="A17" s="14" t="s">
        <v>94</v>
      </c>
      <c r="B17" s="14"/>
      <c r="C17" s="17">
        <f>SUM(C2:C13)</f>
        <v>101</v>
      </c>
      <c r="D17" s="17"/>
      <c r="E17" s="17">
        <f>SUM(E2:E16)</f>
        <v>212</v>
      </c>
      <c r="F17" s="17"/>
      <c r="G17" s="17">
        <f>SUM(G2:G16)</f>
        <v>280</v>
      </c>
      <c r="H17" s="17"/>
      <c r="I17" s="17">
        <f>SUM(I2:I16)</f>
        <v>272</v>
      </c>
      <c r="J17" s="17"/>
      <c r="K17" s="17">
        <f>SUM(K2:K16)</f>
        <v>550</v>
      </c>
      <c r="L17" s="17"/>
      <c r="M17" s="17">
        <f>SUM(M2:M16)</f>
        <v>797</v>
      </c>
      <c r="N17" s="17"/>
      <c r="O17" s="17">
        <f>SUM(O2:O16)</f>
        <v>713</v>
      </c>
      <c r="P17" s="17"/>
      <c r="Q17" s="17">
        <f>SUM(Q2:Q16)</f>
        <v>499</v>
      </c>
      <c r="R17" s="17"/>
      <c r="S17" s="17">
        <f>SUM(S2:S16)</f>
        <v>575</v>
      </c>
      <c r="T17" s="17"/>
      <c r="U17" s="4">
        <f>SUM(U2:U16)</f>
        <v>501</v>
      </c>
      <c r="V17" s="4"/>
      <c r="W17" s="5">
        <v>460</v>
      </c>
      <c r="X17" s="5"/>
      <c r="Y17" s="5">
        <v>181</v>
      </c>
      <c r="Z17" s="5"/>
      <c r="AA17" s="5">
        <f>SUM(AA2:AA15)</f>
        <v>110</v>
      </c>
      <c r="AB17" s="5"/>
      <c r="AC17" s="5">
        <f>SUM(AC2:AC16)</f>
        <v>241</v>
      </c>
      <c r="AD17" s="5"/>
      <c r="AE17" s="5">
        <f>SUM(AE2:AE15)</f>
        <v>183</v>
      </c>
      <c r="AF17" s="5"/>
      <c r="AG17" s="5">
        <f>SUM(AG2:AG15)</f>
        <v>271</v>
      </c>
      <c r="AH17" s="5"/>
      <c r="AI17" s="5">
        <f>SUM(AI2:AI15)</f>
        <v>600</v>
      </c>
      <c r="AJ17" s="5"/>
      <c r="AK17" s="5">
        <f>SUM(AK2:AK15)</f>
        <v>220</v>
      </c>
      <c r="AL17" s="6"/>
      <c r="AM17" s="5">
        <v>58</v>
      </c>
      <c r="AN17" s="6"/>
      <c r="AO17" s="5">
        <f>SUM(AO2:AO15)</f>
        <v>47</v>
      </c>
      <c r="AP17" s="6"/>
      <c r="AQ17" s="5">
        <f>SUM(AQ2:AQ15)</f>
        <v>129</v>
      </c>
      <c r="AR17" s="5"/>
      <c r="AS17" s="5">
        <f>SUM(AS2:AS16)</f>
        <v>76</v>
      </c>
      <c r="AT17" s="5"/>
      <c r="AU17" s="5">
        <f>SUM(AU2:AU16)</f>
        <v>90</v>
      </c>
      <c r="AV17" s="5"/>
      <c r="AW17" s="5">
        <f>SUM(AW2:AW16)</f>
        <v>40</v>
      </c>
      <c r="AX17" s="6"/>
    </row>
    <row r="18" spans="1:50" ht="15.75" thickTop="1" x14ac:dyDescent="0.25">
      <c r="AA18" t="s">
        <v>33</v>
      </c>
    </row>
    <row r="24" spans="1:50" x14ac:dyDescent="0.25">
      <c r="T24" s="24"/>
    </row>
    <row r="25" spans="1:50" x14ac:dyDescent="0.25">
      <c r="T25" s="25"/>
    </row>
    <row r="26" spans="1:50" x14ac:dyDescent="0.25">
      <c r="T26" s="2"/>
    </row>
    <row r="27" spans="1:50" x14ac:dyDescent="0.25">
      <c r="T27" s="2"/>
    </row>
    <row r="28" spans="1:50" x14ac:dyDescent="0.25">
      <c r="T28" s="2"/>
    </row>
    <row r="29" spans="1:50" x14ac:dyDescent="0.25">
      <c r="T29" s="2"/>
    </row>
    <row r="30" spans="1:50" x14ac:dyDescent="0.25">
      <c r="T30" s="2"/>
    </row>
    <row r="31" spans="1:50" x14ac:dyDescent="0.25">
      <c r="T31" s="15"/>
    </row>
    <row r="32" spans="1:50" x14ac:dyDescent="0.25">
      <c r="T32" s="2"/>
    </row>
    <row r="33" spans="20:20" x14ac:dyDescent="0.25">
      <c r="T33" s="2"/>
    </row>
    <row r="34" spans="20:20" x14ac:dyDescent="0.25">
      <c r="T34" s="16"/>
    </row>
    <row r="35" spans="20:20" x14ac:dyDescent="0.25">
      <c r="T35" s="16"/>
    </row>
    <row r="36" spans="20:20" x14ac:dyDescent="0.25">
      <c r="T36" s="2"/>
    </row>
    <row r="37" spans="20:20" x14ac:dyDescent="0.25">
      <c r="T37" s="2"/>
    </row>
    <row r="38" spans="20:20" x14ac:dyDescent="0.25">
      <c r="T38" s="2"/>
    </row>
    <row r="39" spans="20:20" x14ac:dyDescent="0.25">
      <c r="T39" s="2"/>
    </row>
    <row r="40" spans="20:20" x14ac:dyDescent="0.25">
      <c r="T40" s="2"/>
    </row>
  </sheetData>
  <mergeCells count="11">
    <mergeCell ref="E10:E11"/>
    <mergeCell ref="C10:C11"/>
    <mergeCell ref="G10:G11"/>
    <mergeCell ref="U10:U11"/>
    <mergeCell ref="T24:T25"/>
    <mergeCell ref="S10:S11"/>
    <mergeCell ref="Q10:Q11"/>
    <mergeCell ref="O10:O11"/>
    <mergeCell ref="M10:M11"/>
    <mergeCell ref="K10:K11"/>
    <mergeCell ref="I10:I11"/>
  </mergeCells>
  <pageMargins left="0.7" right="0.7" top="0.75" bottom="0.75" header="0.3" footer="0.3"/>
  <pageSetup orientation="portrait" horizontalDpi="300" verticalDpi="300" r:id="rId1"/>
  <ignoredErrors>
    <ignoredError sqref="AE17 AG17 AI17 AK17 AO17 AQ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C23" sqref="C23"/>
    </sheetView>
  </sheetViews>
  <sheetFormatPr defaultRowHeight="15" x14ac:dyDescent="0.25"/>
  <cols>
    <col min="1" max="1" width="29.5703125" customWidth="1"/>
    <col min="2" max="2" width="30.85546875" customWidth="1"/>
    <col min="3" max="4" width="20" style="7" customWidth="1"/>
  </cols>
  <sheetData>
    <row r="1" spans="1:4" x14ac:dyDescent="0.25">
      <c r="A1" s="9" t="s">
        <v>52</v>
      </c>
      <c r="B1" s="9" t="s">
        <v>44</v>
      </c>
      <c r="C1" s="10" t="s">
        <v>45</v>
      </c>
      <c r="D1" s="10" t="s">
        <v>46</v>
      </c>
    </row>
    <row r="2" spans="1:4" x14ac:dyDescent="0.25">
      <c r="A2" s="1" t="s">
        <v>21</v>
      </c>
      <c r="B2" t="s">
        <v>53</v>
      </c>
      <c r="C2" s="8">
        <v>40.356947350383997</v>
      </c>
      <c r="D2" s="8">
        <v>-121.510655727979</v>
      </c>
    </row>
    <row r="3" spans="1:4" x14ac:dyDescent="0.25">
      <c r="A3" s="1" t="s">
        <v>22</v>
      </c>
      <c r="B3" t="s">
        <v>51</v>
      </c>
      <c r="C3" s="8">
        <v>40.318527546344399</v>
      </c>
      <c r="D3" s="8">
        <v>-121.53028131070199</v>
      </c>
    </row>
    <row r="4" spans="1:4" x14ac:dyDescent="0.25">
      <c r="A4" s="1" t="s">
        <v>23</v>
      </c>
      <c r="B4" t="s">
        <v>50</v>
      </c>
      <c r="C4" s="8">
        <v>40.306413829632703</v>
      </c>
      <c r="D4" s="8">
        <v>-121.56509304216</v>
      </c>
    </row>
    <row r="5" spans="1:4" x14ac:dyDescent="0.25">
      <c r="A5" s="1" t="s">
        <v>24</v>
      </c>
      <c r="B5" t="s">
        <v>50</v>
      </c>
      <c r="C5" s="8">
        <v>40.306413829632703</v>
      </c>
      <c r="D5" s="8">
        <v>-121.56509304216</v>
      </c>
    </row>
    <row r="6" spans="1:4" x14ac:dyDescent="0.25">
      <c r="A6" s="1" t="s">
        <v>25</v>
      </c>
      <c r="B6" t="s">
        <v>50</v>
      </c>
      <c r="C6" s="8">
        <v>40.306413829632703</v>
      </c>
      <c r="D6" s="8">
        <v>-121.56509304216</v>
      </c>
    </row>
    <row r="7" spans="1:4" x14ac:dyDescent="0.25">
      <c r="A7" s="1" t="s">
        <v>26</v>
      </c>
      <c r="B7" t="s">
        <v>49</v>
      </c>
      <c r="C7" s="8">
        <v>40.217155488973603</v>
      </c>
      <c r="D7" s="8">
        <v>-121.633460811303</v>
      </c>
    </row>
    <row r="8" spans="1:4" x14ac:dyDescent="0.25">
      <c r="A8" s="3" t="s">
        <v>27</v>
      </c>
      <c r="B8" t="s">
        <v>49</v>
      </c>
      <c r="C8" s="8">
        <v>40.217155488973603</v>
      </c>
      <c r="D8" s="8">
        <v>-121.633460811303</v>
      </c>
    </row>
    <row r="9" spans="1:4" x14ac:dyDescent="0.25">
      <c r="A9" s="1" t="s">
        <v>28</v>
      </c>
      <c r="B9" t="s">
        <v>49</v>
      </c>
      <c r="C9" s="8">
        <v>40.217155488973603</v>
      </c>
      <c r="D9" s="8">
        <v>-121.633460811303</v>
      </c>
    </row>
    <row r="10" spans="1:4" x14ac:dyDescent="0.25">
      <c r="A10" s="1" t="s">
        <v>29</v>
      </c>
      <c r="B10" t="s">
        <v>48</v>
      </c>
      <c r="C10" s="8">
        <v>40.186502051651303</v>
      </c>
      <c r="D10" s="8">
        <v>-121.708899202667</v>
      </c>
    </row>
    <row r="11" spans="1:4" x14ac:dyDescent="0.25">
      <c r="A11" s="1" t="s">
        <v>30</v>
      </c>
      <c r="B11" t="s">
        <v>48</v>
      </c>
      <c r="C11" s="8">
        <v>40.186502051651303</v>
      </c>
      <c r="D11" s="8">
        <v>-121.708899202667</v>
      </c>
    </row>
    <row r="12" spans="1:4" x14ac:dyDescent="0.25">
      <c r="A12" s="1" t="s">
        <v>31</v>
      </c>
      <c r="B12" t="s">
        <v>48</v>
      </c>
      <c r="C12" s="8">
        <v>40.186502051651303</v>
      </c>
      <c r="D12" s="8">
        <v>-121.708899202667</v>
      </c>
    </row>
    <row r="13" spans="1:4" x14ac:dyDescent="0.25">
      <c r="A13" s="1" t="s">
        <v>42</v>
      </c>
      <c r="B13" t="s">
        <v>47</v>
      </c>
      <c r="C13" s="8">
        <v>40.181158917889299</v>
      </c>
      <c r="D13" s="8">
        <v>-121.792256767353</v>
      </c>
    </row>
    <row r="14" spans="1:4" x14ac:dyDescent="0.25">
      <c r="A14" s="1" t="s">
        <v>32</v>
      </c>
      <c r="B14" t="s">
        <v>47</v>
      </c>
      <c r="C14" s="8">
        <v>40.181158917889299</v>
      </c>
      <c r="D14" s="8">
        <v>-121.792256767353</v>
      </c>
    </row>
    <row r="15" spans="1:4" x14ac:dyDescent="0.25">
      <c r="A15" s="1" t="s">
        <v>43</v>
      </c>
      <c r="B15" t="s">
        <v>47</v>
      </c>
      <c r="C15" s="8">
        <v>40.181158917889299</v>
      </c>
      <c r="D15" s="8">
        <v>-121.792256767353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2007-2020 SR redds</vt:lpstr>
      <vt:lpstr>nearest temp-logger</vt:lpstr>
    </vt:vector>
  </TitlesOfParts>
  <Company>CDFW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Matt@Wildlife</dc:creator>
  <cp:lastModifiedBy>Inigo Peng</cp:lastModifiedBy>
  <dcterms:created xsi:type="dcterms:W3CDTF">2017-06-30T19:04:52Z</dcterms:created>
  <dcterms:modified xsi:type="dcterms:W3CDTF">2021-11-01T22:23:06Z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Matt.Johnson@wildlife.ca.gov</vt:lpwstr>
  </property>
  <property fmtid="{D5CDD505-2E9C-101B-9397-08002B2CF9AE}" pid="5" name="MSIP_Label_6e685f86-ed8d-482b-be3a-2b7af73f9b7f_SetDate">
    <vt:lpwstr>2021-03-12T19:33:26.7945858Z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Extended_MSFT_Method">
    <vt:lpwstr>Automatic</vt:lpwstr>
  </property>
  <property fmtid="{D5CDD505-2E9C-101B-9397-08002B2CF9AE}" pid="9" name="Sensitivity">
    <vt:lpwstr>General</vt:lpwstr>
  </property>
</Properties>
</file>